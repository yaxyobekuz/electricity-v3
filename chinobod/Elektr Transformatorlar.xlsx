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chinobod\"/>
    </mc:Choice>
  </mc:AlternateContent>
  <xr:revisionPtr revIDLastSave="0" documentId="13_ncr:1_{24BA9347-DA97-4E20-9A9E-8838F6058BE8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7 oy" sheetId="3" r:id="rId1"/>
    <sheet name="Avgust" sheetId="4" r:id="rId2"/>
    <sheet name="Sentabr" sheetId="5" r:id="rId3"/>
  </sheets>
  <definedNames>
    <definedName name="_xlnm._FilterDatabase" localSheetId="0" hidden="1">'7 oy'!$A$2:$O$298</definedName>
    <definedName name="_xlnm._FilterDatabase" localSheetId="1" hidden="1">Avgust!$A$2:$O$298</definedName>
    <definedName name="_xlnm._FilterDatabase" localSheetId="2" hidden="1">Sentabr!$A$2:$O$298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98" i="5" l="1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98" i="3" l="1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</calcChain>
</file>

<file path=xl/sharedStrings.xml><?xml version="1.0" encoding="utf-8"?>
<sst xmlns="http://schemas.openxmlformats.org/spreadsheetml/2006/main" count="5109" uniqueCount="616">
  <si>
    <t>Transformatorlar Sentabr Holatiga Ko'ra</t>
  </si>
  <si>
    <t>Podstansiya</t>
  </si>
  <si>
    <t>Fider</t>
  </si>
  <si>
    <t>TP Nomi</t>
  </si>
  <si>
    <t xml:space="preserve">Umumiy oqim
</t>
  </si>
  <si>
    <t>Foydali oqim</t>
  </si>
  <si>
    <t xml:space="preserve">Yo’qotish
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</si>
  <si>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</si>
  <si>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</si>
  <si>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</si>
  <si>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</si>
  <si>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</si>
  <si>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</si>
  <si>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</si>
  <si>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</si>
  <si>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</si>
  <si>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Чинобод-110/35-10 кВ</t>
  </si>
  <si>
    <t>Ифтихор</t>
  </si>
  <si>
    <t>11.03.2025</t>
  </si>
  <si>
    <t>А.Тожибоев</t>
  </si>
  <si>
    <t>Шур</t>
  </si>
  <si>
    <t>Нурафшон</t>
  </si>
  <si>
    <t>04.04.2025</t>
  </si>
  <si>
    <t>07.09.2026</t>
  </si>
  <si>
    <t>20.11.2025</t>
  </si>
  <si>
    <t>12.08.2025</t>
  </si>
  <si>
    <t>Омонарик</t>
  </si>
  <si>
    <t>21.04.2025</t>
  </si>
  <si>
    <t>27.10.2026</t>
  </si>
  <si>
    <t>10.12.2026</t>
  </si>
  <si>
    <t>20.11.2026</t>
  </si>
  <si>
    <t>28.02.2025</t>
  </si>
  <si>
    <t>Захкаш</t>
  </si>
  <si>
    <t>24.03.2026</t>
  </si>
  <si>
    <t>09.04.2026</t>
  </si>
  <si>
    <t>10.04.2026</t>
  </si>
  <si>
    <t>29.09.2025</t>
  </si>
  <si>
    <t>Сарнавул</t>
  </si>
  <si>
    <t>03.10.2025</t>
  </si>
  <si>
    <t>16.04.2026</t>
  </si>
  <si>
    <t>05.11.2026</t>
  </si>
  <si>
    <t>23.04.2026</t>
  </si>
  <si>
    <t>02.05.2026</t>
  </si>
  <si>
    <t>31.12.2026</t>
  </si>
  <si>
    <t>27.05.2025</t>
  </si>
  <si>
    <t>09.05.2025</t>
  </si>
  <si>
    <t>01.10.2025</t>
  </si>
  <si>
    <t>14.12.2026</t>
  </si>
  <si>
    <t>28.07.2025</t>
  </si>
  <si>
    <t>09.05.2026</t>
  </si>
  <si>
    <t>29.05.2025</t>
  </si>
  <si>
    <t>Дарё буйи</t>
  </si>
  <si>
    <t>16.05.2026</t>
  </si>
  <si>
    <t>Ботир</t>
  </si>
  <si>
    <t>03.02.2025</t>
  </si>
  <si>
    <t>11.12.2025</t>
  </si>
  <si>
    <t>Кахрамон</t>
  </si>
  <si>
    <t>10.09.2026</t>
  </si>
  <si>
    <t>Кияли</t>
  </si>
  <si>
    <t>29.12.2026</t>
  </si>
  <si>
    <t>06.05.2026</t>
  </si>
  <si>
    <t>30.10.2025</t>
  </si>
  <si>
    <t>24.03.2025</t>
  </si>
  <si>
    <t>06.02.2025</t>
  </si>
  <si>
    <t>Туда</t>
  </si>
  <si>
    <t>16.09.2025</t>
  </si>
  <si>
    <t>11.08.2026</t>
  </si>
  <si>
    <t>23.05.2026</t>
  </si>
  <si>
    <t>19.12.2025</t>
  </si>
  <si>
    <t>16.04.2025</t>
  </si>
  <si>
    <t>05.03.2025</t>
  </si>
  <si>
    <t>09.04.2025</t>
  </si>
  <si>
    <t>25.06.2026</t>
  </si>
  <si>
    <t>14.05.2025</t>
  </si>
  <si>
    <t>02.05.2025</t>
  </si>
  <si>
    <t>Гузар</t>
  </si>
  <si>
    <t>22.09.2026</t>
  </si>
  <si>
    <t>17.02.2025</t>
  </si>
  <si>
    <t>29.08.2025</t>
  </si>
  <si>
    <t>08.12.2025</t>
  </si>
  <si>
    <t>20.04.2026</t>
  </si>
  <si>
    <t>10.02.2026</t>
  </si>
  <si>
    <t>47А</t>
  </si>
  <si>
    <t>11.08.2025</t>
  </si>
  <si>
    <t>Кургонча</t>
  </si>
  <si>
    <t>02.06.2026</t>
  </si>
  <si>
    <t>Фаровон</t>
  </si>
  <si>
    <t>04.02.2026</t>
  </si>
  <si>
    <t>27.02.2025</t>
  </si>
  <si>
    <t>28.12.2026</t>
  </si>
  <si>
    <t>09.09.2025</t>
  </si>
  <si>
    <t>06.10.2025</t>
  </si>
  <si>
    <t>13.03.2026</t>
  </si>
  <si>
    <t>09.06.2026</t>
  </si>
  <si>
    <t>Тумор</t>
  </si>
  <si>
    <t>30.09.2026</t>
  </si>
  <si>
    <t>13.02.2026</t>
  </si>
  <si>
    <t>30.06.2025</t>
  </si>
  <si>
    <t>14.05.2026</t>
  </si>
  <si>
    <t>16.06.2026</t>
  </si>
  <si>
    <t>17.03.2026</t>
  </si>
  <si>
    <t>14.04.2026</t>
  </si>
  <si>
    <t>13.11.2026</t>
  </si>
  <si>
    <t>Куштепасарой 35-10кВ</t>
  </si>
  <si>
    <t>Илгор</t>
  </si>
  <si>
    <t>11.02.2025</t>
  </si>
  <si>
    <t>Догистон</t>
  </si>
  <si>
    <t>20.10.2026</t>
  </si>
  <si>
    <t>23.06.2026</t>
  </si>
  <si>
    <t>06.03.2026</t>
  </si>
  <si>
    <t>Файзобод</t>
  </si>
  <si>
    <t>Гулшан</t>
  </si>
  <si>
    <t>08.07.2026</t>
  </si>
  <si>
    <t>25.03.2026</t>
  </si>
  <si>
    <t>Товулди (Пучугой)</t>
  </si>
  <si>
    <t>04.06.2026</t>
  </si>
  <si>
    <t>Товулди</t>
  </si>
  <si>
    <t>19.11.2026</t>
  </si>
  <si>
    <t>Тулкиобод</t>
  </si>
  <si>
    <t>16.02.2026</t>
  </si>
  <si>
    <t>Алам</t>
  </si>
  <si>
    <t>12.03.2026</t>
  </si>
  <si>
    <t>28.11.2025</t>
  </si>
  <si>
    <t>Эскихакулобод</t>
  </si>
  <si>
    <t>28.10.2025</t>
  </si>
  <si>
    <t>02.07.2026</t>
  </si>
  <si>
    <t>05.03.2026</t>
  </si>
  <si>
    <t>25.02.2025</t>
  </si>
  <si>
    <t>09.07.2026</t>
  </si>
  <si>
    <t>27.08.2026</t>
  </si>
  <si>
    <t>29.09.2026</t>
  </si>
  <si>
    <t>06.08.2026</t>
  </si>
  <si>
    <t>02.04.2025</t>
  </si>
  <si>
    <t>Кумтепа</t>
  </si>
  <si>
    <t>17.02.2026</t>
  </si>
  <si>
    <t>18.06.2026</t>
  </si>
  <si>
    <t>08.08.2025</t>
  </si>
  <si>
    <t>04.06.2025</t>
  </si>
  <si>
    <t>30.09.2025</t>
  </si>
  <si>
    <t>03.12.2026</t>
  </si>
  <si>
    <t>06.04.2026</t>
  </si>
  <si>
    <t>10.11.2025</t>
  </si>
  <si>
    <t>05.08.2026</t>
  </si>
  <si>
    <t>25.12.2025</t>
  </si>
  <si>
    <t>06.11.2025</t>
  </si>
  <si>
    <t>22.12.2026</t>
  </si>
  <si>
    <t>25.08.2026</t>
  </si>
  <si>
    <t>13.02.2025</t>
  </si>
  <si>
    <t>17.06.2025</t>
  </si>
  <si>
    <t>29.04.2026</t>
  </si>
  <si>
    <t>07.04.2025</t>
  </si>
  <si>
    <t>28.05.2026</t>
  </si>
  <si>
    <t>21.10.2025</t>
  </si>
  <si>
    <t>Сирмок</t>
  </si>
  <si>
    <t>02.10.2026</t>
  </si>
  <si>
    <t>16.07.2025</t>
  </si>
  <si>
    <t>19.11.2025</t>
  </si>
  <si>
    <t>20.03.2026</t>
  </si>
  <si>
    <t>26.02.2026</t>
  </si>
  <si>
    <t>17.03.2025</t>
  </si>
  <si>
    <t>Аълам</t>
  </si>
  <si>
    <t>16.07.2026</t>
  </si>
  <si>
    <t>08.10.2026</t>
  </si>
  <si>
    <t>27.08.2025</t>
  </si>
  <si>
    <t>23.02.2026</t>
  </si>
  <si>
    <t>29.05.2026</t>
  </si>
  <si>
    <t>Адолат</t>
  </si>
  <si>
    <t>18.07.2025</t>
  </si>
  <si>
    <t>30.03.2026</t>
  </si>
  <si>
    <t>13.10.2026</t>
  </si>
  <si>
    <t>Улмас</t>
  </si>
  <si>
    <t>09.06.2025</t>
  </si>
  <si>
    <t>22.05.2025</t>
  </si>
  <si>
    <t>15.12.2026</t>
  </si>
  <si>
    <t>17.12.2025</t>
  </si>
  <si>
    <t>18.11.2026</t>
  </si>
  <si>
    <t>30.12.2025</t>
  </si>
  <si>
    <t>09.11.2026</t>
  </si>
  <si>
    <t>10.02.2025</t>
  </si>
  <si>
    <t>18.08.2026</t>
  </si>
  <si>
    <t>19.06.2025</t>
  </si>
  <si>
    <t>30.10.2026</t>
  </si>
  <si>
    <t>05.08.2025</t>
  </si>
  <si>
    <t>03.08.2026</t>
  </si>
  <si>
    <t>15.08.2025</t>
  </si>
  <si>
    <t>25.09.2026</t>
  </si>
  <si>
    <t>01.12.2025</t>
  </si>
  <si>
    <t>25.11.2026</t>
  </si>
  <si>
    <t>23.12.2026</t>
  </si>
  <si>
    <t>21.05.2026</t>
  </si>
  <si>
    <t>19.03.2025</t>
  </si>
  <si>
    <t>23.11.2026</t>
  </si>
  <si>
    <t>Олтинкўл 35-10 кВ</t>
  </si>
  <si>
    <t>Навнихол</t>
  </si>
  <si>
    <t>02.09.2026</t>
  </si>
  <si>
    <t>09.12.2025</t>
  </si>
  <si>
    <t>Сиза</t>
  </si>
  <si>
    <t>07.02.2025</t>
  </si>
  <si>
    <t>13.07.2026</t>
  </si>
  <si>
    <t>20.08.2026</t>
  </si>
  <si>
    <t>31.03.2026</t>
  </si>
  <si>
    <t>18.11.2025</t>
  </si>
  <si>
    <t>Октепа</t>
  </si>
  <si>
    <t>21.02.2025</t>
  </si>
  <si>
    <t>22.09.2025</t>
  </si>
  <si>
    <t>28.08.2026</t>
  </si>
  <si>
    <t>Насриддинобод</t>
  </si>
  <si>
    <t>05.02.2026</t>
  </si>
  <si>
    <t>02.12.2026</t>
  </si>
  <si>
    <t>09.10.2025</t>
  </si>
  <si>
    <t>26.11.2026</t>
  </si>
  <si>
    <t>14.09.2026</t>
  </si>
  <si>
    <t>15.05.2025</t>
  </si>
  <si>
    <t>27.10.2025</t>
  </si>
  <si>
    <t>21.07.2025</t>
  </si>
  <si>
    <t>Янгихаёт</t>
  </si>
  <si>
    <t>23.07.2026</t>
  </si>
  <si>
    <t>14.03.2025</t>
  </si>
  <si>
    <t>11.03.2026</t>
  </si>
  <si>
    <t>17.08.2026</t>
  </si>
  <si>
    <t>23.09.2026</t>
  </si>
  <si>
    <t>19.10.2026</t>
  </si>
  <si>
    <t>16.05.2025</t>
  </si>
  <si>
    <t>29.10.2026</t>
  </si>
  <si>
    <t>02.08.2026</t>
  </si>
  <si>
    <t>07.11.2025</t>
  </si>
  <si>
    <t>23.10.2025</t>
  </si>
  <si>
    <t>03.11.2026</t>
  </si>
  <si>
    <t>09.08.2026</t>
  </si>
  <si>
    <t>23.03.2026</t>
  </si>
  <si>
    <t>13.08.2026</t>
  </si>
  <si>
    <t>10.03.2026</t>
  </si>
  <si>
    <t>29.04.2025</t>
  </si>
  <si>
    <t>02.06.2025</t>
  </si>
  <si>
    <t>16.08.2026</t>
  </si>
  <si>
    <t>05.11.2025</t>
  </si>
  <si>
    <t>18.03.2025</t>
  </si>
  <si>
    <t>04.12.2026</t>
  </si>
  <si>
    <t>24.12.2025</t>
  </si>
  <si>
    <t>30.06.2026</t>
  </si>
  <si>
    <t>19.05.2026</t>
  </si>
  <si>
    <t>22.12.2025</t>
  </si>
  <si>
    <t>24.08.2026</t>
  </si>
  <si>
    <t>05.12.2025</t>
  </si>
  <si>
    <t>Юз чинор</t>
  </si>
  <si>
    <t>15.10.2026</t>
  </si>
  <si>
    <t>23.09.2025</t>
  </si>
  <si>
    <t>14.08.2026</t>
  </si>
  <si>
    <t>09.03.2026</t>
  </si>
  <si>
    <t>12.05.2025</t>
  </si>
  <si>
    <t>Ниёзматчек</t>
  </si>
  <si>
    <t>28.07.2026</t>
  </si>
  <si>
    <t>17.04.2025</t>
  </si>
  <si>
    <t>24.04.2026</t>
  </si>
  <si>
    <t>Маллчек</t>
  </si>
  <si>
    <t>14.07.2025</t>
  </si>
  <si>
    <t>21.12.2026</t>
  </si>
  <si>
    <t>06.11.2026</t>
  </si>
  <si>
    <t>23.08.2026</t>
  </si>
  <si>
    <t>21.09.2026</t>
  </si>
  <si>
    <t>03.03.2026</t>
  </si>
  <si>
    <t>25.07.2025</t>
  </si>
  <si>
    <t>27.06.2025</t>
  </si>
  <si>
    <t>19.09.2025</t>
  </si>
  <si>
    <t>Ўлмас</t>
  </si>
  <si>
    <t>23.10.2026</t>
  </si>
  <si>
    <t>01.10.2026</t>
  </si>
  <si>
    <t>07.07.2026</t>
  </si>
  <si>
    <t>19.03.2026</t>
  </si>
  <si>
    <t>01.04.2025</t>
  </si>
  <si>
    <t>23.06.2025</t>
  </si>
  <si>
    <t>01.08.2025</t>
  </si>
  <si>
    <t>16.12.2026</t>
  </si>
  <si>
    <t>18.12.2025</t>
  </si>
  <si>
    <t>19.02.2026</t>
  </si>
  <si>
    <t>08.06.2026</t>
  </si>
  <si>
    <t>Омонарик МФЙ</t>
  </si>
  <si>
    <t>Навнихол МФЙ</t>
  </si>
  <si>
    <t xml:space="preserve">ИФТИХОР МФЙ  </t>
  </si>
  <si>
    <t xml:space="preserve">ИФТИХОР МФЙ </t>
  </si>
  <si>
    <t>Нурафшон МФЙ</t>
  </si>
  <si>
    <t>Ботир МФЙ</t>
  </si>
  <si>
    <t xml:space="preserve">ИФТИХОР МФЙ   </t>
  </si>
  <si>
    <t>Чинобод МФЙ</t>
  </si>
  <si>
    <t>Сиза ш\х чегара</t>
  </si>
  <si>
    <t>Тўмор МФЙ</t>
  </si>
  <si>
    <t>Ўлмас МФЙ</t>
  </si>
  <si>
    <t>Кияли МФЙ</t>
  </si>
  <si>
    <t>Омонрик МФЙ</t>
  </si>
  <si>
    <t>Догистон МФЙ</t>
  </si>
  <si>
    <t>Илгор МФЙ</t>
  </si>
  <si>
    <t>Фаровон МФЙ</t>
  </si>
  <si>
    <t>Тулкобод МФЙ</t>
  </si>
  <si>
    <t>Товулди МФЙ</t>
  </si>
  <si>
    <t>Сирмок МФЙ</t>
  </si>
  <si>
    <t>Кумтепа МФЙ</t>
  </si>
  <si>
    <t>Сарнавул МФЙ</t>
  </si>
  <si>
    <t>Алам МФЙ</t>
  </si>
  <si>
    <t>Адолат МФЙ</t>
  </si>
  <si>
    <t>Насриддинобод МФЙ</t>
  </si>
  <si>
    <t>Аълам МФЙ</t>
  </si>
  <si>
    <t>Маллачек МФЙ</t>
  </si>
  <si>
    <t>Кахрамон МФЙ</t>
  </si>
  <si>
    <t>Шур МФЙ</t>
  </si>
  <si>
    <t>ишламиди</t>
  </si>
  <si>
    <t>Сарнаул МФЙ</t>
  </si>
  <si>
    <t>Кургонча МФЙ</t>
  </si>
  <si>
    <t>Ифтихор МФЙ</t>
  </si>
  <si>
    <t>Ботир, Тўмор МФЙ</t>
  </si>
  <si>
    <t>Бирлик</t>
  </si>
  <si>
    <t>1</t>
  </si>
  <si>
    <t>340</t>
  </si>
  <si>
    <t>28A</t>
  </si>
  <si>
    <t>85</t>
  </si>
  <si>
    <t>84</t>
  </si>
  <si>
    <t>167</t>
  </si>
  <si>
    <t>364</t>
  </si>
  <si>
    <t>186</t>
  </si>
  <si>
    <t>292</t>
  </si>
  <si>
    <t>96</t>
  </si>
  <si>
    <t>153А</t>
  </si>
  <si>
    <t>269</t>
  </si>
  <si>
    <t>76</t>
  </si>
  <si>
    <t>1A</t>
  </si>
  <si>
    <t>167A</t>
  </si>
  <si>
    <t>105</t>
  </si>
  <si>
    <t>95</t>
  </si>
  <si>
    <t>29A</t>
  </si>
  <si>
    <t>81</t>
  </si>
  <si>
    <t>83</t>
  </si>
  <si>
    <t>28</t>
  </si>
  <si>
    <t>90</t>
  </si>
  <si>
    <t>88</t>
  </si>
  <si>
    <t>286</t>
  </si>
  <si>
    <t>82</t>
  </si>
  <si>
    <t>83A</t>
  </si>
  <si>
    <t>94</t>
  </si>
  <si>
    <t>295</t>
  </si>
  <si>
    <t>99</t>
  </si>
  <si>
    <t>358</t>
  </si>
  <si>
    <t>91</t>
  </si>
  <si>
    <t>167/1</t>
  </si>
  <si>
    <t>130</t>
  </si>
  <si>
    <t>105A</t>
  </si>
  <si>
    <t>6</t>
  </si>
  <si>
    <t>7</t>
  </si>
  <si>
    <t>8</t>
  </si>
  <si>
    <t>10</t>
  </si>
  <si>
    <t>12</t>
  </si>
  <si>
    <t>14</t>
  </si>
  <si>
    <t>15</t>
  </si>
  <si>
    <t>19</t>
  </si>
  <si>
    <t>20</t>
  </si>
  <si>
    <t>24</t>
  </si>
  <si>
    <t>27</t>
  </si>
  <si>
    <t>29</t>
  </si>
  <si>
    <t>30</t>
  </si>
  <si>
    <t>33</t>
  </si>
  <si>
    <t>34</t>
  </si>
  <si>
    <t>36</t>
  </si>
  <si>
    <t>39</t>
  </si>
  <si>
    <t>40</t>
  </si>
  <si>
    <t>41</t>
  </si>
  <si>
    <t>42</t>
  </si>
  <si>
    <t>43</t>
  </si>
  <si>
    <t>44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</si>
  <si>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</si>
  <si>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</si>
  <si>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</si>
  <si>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</si>
  <si>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</si>
  <si>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</si>
  <si>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</si>
  <si>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</si>
  <si>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</si>
  <si>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</si>
  <si>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</si>
  <si>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</si>
  <si>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</si>
  <si>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</si>
  <si>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</si>
  <si>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</si>
  <si>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</si>
  <si>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</si>
  <si>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</si>
  <si>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</si>
  <si>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</si>
  <si>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</si>
  <si>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</si>
  <si>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</si>
  <si>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</si>
  <si>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</si>
  <si>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</si>
  <si>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77</t>
  </si>
  <si>
    <t>78</t>
  </si>
  <si>
    <t>79</t>
  </si>
  <si>
    <t>86</t>
  </si>
  <si>
    <t>87</t>
  </si>
  <si>
    <t>89</t>
  </si>
  <si>
    <t>97</t>
  </si>
  <si>
    <t>100</t>
  </si>
  <si>
    <t>102</t>
  </si>
  <si>
    <t>104</t>
  </si>
  <si>
    <t>106</t>
  </si>
  <si>
    <t>109</t>
  </si>
  <si>
    <t>112</t>
  </si>
  <si>
    <t>113</t>
  </si>
  <si>
    <t>116</t>
  </si>
  <si>
    <t>117</t>
  </si>
  <si>
    <t>118</t>
  </si>
  <si>
    <t>122</t>
  </si>
  <si>
    <t>123</t>
  </si>
  <si>
    <t>124</t>
  </si>
  <si>
    <t>125</t>
  </si>
  <si>
    <t>126</t>
  </si>
  <si>
    <t>128</t>
  </si>
  <si>
    <t>131</t>
  </si>
  <si>
    <t>133</t>
  </si>
  <si>
    <t>134</t>
  </si>
  <si>
    <t>135</t>
  </si>
  <si>
    <t>136</t>
  </si>
  <si>
    <t>138</t>
  </si>
  <si>
    <t>139</t>
  </si>
  <si>
    <t>141</t>
  </si>
  <si>
    <t>144</t>
  </si>
  <si>
    <t>146</t>
  </si>
  <si>
    <t>147</t>
  </si>
  <si>
    <t>150</t>
  </si>
  <si>
    <t>151</t>
  </si>
  <si>
    <t>152</t>
  </si>
  <si>
    <t>153</t>
  </si>
  <si>
    <t>155</t>
  </si>
  <si>
    <t>156</t>
  </si>
  <si>
    <t>157</t>
  </si>
  <si>
    <t>158</t>
  </si>
  <si>
    <t>160</t>
  </si>
  <si>
    <t>163</t>
  </si>
  <si>
    <t>164</t>
  </si>
  <si>
    <t>165</t>
  </si>
  <si>
    <t>166</t>
  </si>
  <si>
    <t>169</t>
  </si>
  <si>
    <t>170</t>
  </si>
  <si>
    <t>171</t>
  </si>
  <si>
    <t>173</t>
  </si>
  <si>
    <t>174</t>
  </si>
  <si>
    <t>175</t>
  </si>
  <si>
    <t>176</t>
  </si>
  <si>
    <t>179</t>
  </si>
  <si>
    <t>180</t>
  </si>
  <si>
    <t>181</t>
  </si>
  <si>
    <t>182</t>
  </si>
  <si>
    <t>183</t>
  </si>
  <si>
    <t>184</t>
  </si>
  <si>
    <t>187</t>
  </si>
  <si>
    <t>188</t>
  </si>
  <si>
    <t>190</t>
  </si>
  <si>
    <t>192</t>
  </si>
  <si>
    <t>193</t>
  </si>
  <si>
    <t>194</t>
  </si>
  <si>
    <t>197</t>
  </si>
  <si>
    <t>199</t>
  </si>
  <si>
    <t>200</t>
  </si>
  <si>
    <t>203</t>
  </si>
  <si>
    <t>204</t>
  </si>
  <si>
    <t>205</t>
  </si>
  <si>
    <t>206</t>
  </si>
  <si>
    <t>208</t>
  </si>
  <si>
    <t>209</t>
  </si>
  <si>
    <t>210</t>
  </si>
  <si>
    <t>213</t>
  </si>
  <si>
    <t>214</t>
  </si>
  <si>
    <t>215</t>
  </si>
  <si>
    <t>217</t>
  </si>
  <si>
    <t>219</t>
  </si>
  <si>
    <t>220</t>
  </si>
  <si>
    <t>222</t>
  </si>
  <si>
    <t>223</t>
  </si>
  <si>
    <t>224</t>
  </si>
  <si>
    <t>226</t>
  </si>
  <si>
    <t>228</t>
  </si>
  <si>
    <t>229</t>
  </si>
  <si>
    <t>233</t>
  </si>
  <si>
    <t>251</t>
  </si>
  <si>
    <t>256</t>
  </si>
  <si>
    <t>257</t>
  </si>
  <si>
    <t>258</t>
  </si>
  <si>
    <t>259</t>
  </si>
  <si>
    <t>260</t>
  </si>
  <si>
    <t>261</t>
  </si>
  <si>
    <t>263</t>
  </si>
  <si>
    <t>264</t>
  </si>
  <si>
    <t>266</t>
  </si>
  <si>
    <t>267</t>
  </si>
  <si>
    <t>268</t>
  </si>
  <si>
    <t>272</t>
  </si>
  <si>
    <t>273</t>
  </si>
  <si>
    <t>274</t>
  </si>
  <si>
    <t>275</t>
  </si>
  <si>
    <t>277</t>
  </si>
  <si>
    <t>278</t>
  </si>
  <si>
    <t>279</t>
  </si>
  <si>
    <t>280</t>
  </si>
  <si>
    <t>281</t>
  </si>
  <si>
    <t>282</t>
  </si>
  <si>
    <t>284</t>
  </si>
  <si>
    <t>285</t>
  </si>
  <si>
    <t>287</t>
  </si>
  <si>
    <t>288</t>
  </si>
  <si>
    <t>289</t>
  </si>
  <si>
    <t>290</t>
  </si>
  <si>
    <t>291</t>
  </si>
  <si>
    <t>293</t>
  </si>
  <si>
    <t>294</t>
  </si>
  <si>
    <t>298</t>
  </si>
  <si>
    <t>302</t>
  </si>
  <si>
    <t>303</t>
  </si>
  <si>
    <t>304</t>
  </si>
  <si>
    <t>305</t>
  </si>
  <si>
    <t>306</t>
  </si>
  <si>
    <t>308</t>
  </si>
  <si>
    <t>309</t>
  </si>
  <si>
    <t>310</t>
  </si>
  <si>
    <t>311</t>
  </si>
  <si>
    <t>312</t>
  </si>
  <si>
    <t>313</t>
  </si>
  <si>
    <t>315</t>
  </si>
  <si>
    <t>318</t>
  </si>
  <si>
    <t>321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</si>
  <si>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</si>
  <si>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</si>
  <si>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</si>
  <si>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</si>
  <si>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</si>
  <si>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</si>
  <si>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</si>
  <si>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</si>
  <si>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</si>
  <si>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</si>
  <si>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</si>
  <si>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336</t>
  </si>
  <si>
    <t>337</t>
  </si>
  <si>
    <t>341</t>
  </si>
  <si>
    <t>347</t>
  </si>
  <si>
    <t>348</t>
  </si>
  <si>
    <t>350</t>
  </si>
  <si>
    <t>354</t>
  </si>
  <si>
    <t>355</t>
  </si>
  <si>
    <t>357</t>
  </si>
  <si>
    <t>360</t>
  </si>
  <si>
    <t>361</t>
  </si>
  <si>
    <t>362</t>
  </si>
  <si>
    <t>363</t>
  </si>
  <si>
    <t>365</t>
  </si>
  <si>
    <t>366</t>
  </si>
  <si>
    <t>371</t>
  </si>
  <si>
    <t>372</t>
  </si>
  <si>
    <t>373</t>
  </si>
  <si>
    <t>385</t>
  </si>
  <si>
    <t>386</t>
  </si>
  <si>
    <t>387</t>
  </si>
  <si>
    <t>421</t>
  </si>
  <si>
    <t>422</t>
  </si>
  <si>
    <t>423</t>
  </si>
  <si>
    <t>116A</t>
  </si>
  <si>
    <t>122A</t>
  </si>
  <si>
    <t>124A</t>
  </si>
  <si>
    <t>125-A</t>
  </si>
  <si>
    <t>130-A</t>
  </si>
  <si>
    <t>131A</t>
  </si>
  <si>
    <t>134A</t>
  </si>
  <si>
    <t>138A</t>
  </si>
  <si>
    <t>150A</t>
  </si>
  <si>
    <t>156A</t>
  </si>
  <si>
    <t>15A</t>
  </si>
  <si>
    <t>160A</t>
  </si>
  <si>
    <t>163A</t>
  </si>
  <si>
    <t>166А</t>
  </si>
  <si>
    <t>179A</t>
  </si>
  <si>
    <t>188A</t>
  </si>
  <si>
    <t>193A</t>
  </si>
  <si>
    <t>199A</t>
  </si>
  <si>
    <t>214A</t>
  </si>
  <si>
    <t>226A</t>
  </si>
  <si>
    <t>233A</t>
  </si>
  <si>
    <t>24A</t>
  </si>
  <si>
    <t>258A</t>
  </si>
  <si>
    <t>264-1</t>
  </si>
  <si>
    <t>264A</t>
  </si>
  <si>
    <t>292А</t>
  </si>
  <si>
    <t>315A</t>
  </si>
  <si>
    <t>355А</t>
  </si>
  <si>
    <t>358A</t>
  </si>
  <si>
    <t>387A</t>
  </si>
  <si>
    <t>40A</t>
  </si>
  <si>
    <t>44А</t>
  </si>
  <si>
    <t>54A</t>
  </si>
  <si>
    <t>55A</t>
  </si>
  <si>
    <t>57A</t>
  </si>
  <si>
    <t>58А</t>
  </si>
  <si>
    <t>62A</t>
  </si>
  <si>
    <t>65A</t>
  </si>
  <si>
    <t>66A</t>
  </si>
  <si>
    <t>74A</t>
  </si>
  <si>
    <t>76A</t>
  </si>
  <si>
    <t>76B</t>
  </si>
  <si>
    <t>F.Jo'jaxona</t>
  </si>
  <si>
    <t>F.Tashlama</t>
  </si>
  <si>
    <t>F.Qiyali</t>
  </si>
  <si>
    <t>F.Kamoliy</t>
  </si>
  <si>
    <t>F.Xaqulobod</t>
  </si>
  <si>
    <t>F.Sirmoq</t>
  </si>
  <si>
    <t>F.Qaxramon</t>
  </si>
  <si>
    <t>F.Yangi qishloq</t>
  </si>
  <si>
    <t>F.Alpomish</t>
  </si>
  <si>
    <t>Transformatorlar Avgust Holatiga Ko'ra</t>
  </si>
  <si>
    <t>Transformatorlar 7 oy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</si>
</sst>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>
    <font>
      <sz val="10"/>
      <color rgb="FF000000"/>
      <name val="Arial"/>
      <scheme val="minor"/>
    </font>
    <font>
      <b/>
      <sz val="16"/>
      <color rgb="FF00FF00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3"/>
      <color indexed="8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FFFF00"/>
      <name val="Arial"/>
      <family val="2"/>
      <charset val="204"/>
      <scheme val="minor"/>
    </font>
    <font>
      <sz val="14"/>
      <color indexed="8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theme="1"/>
      <name val="Arial"/>
      <family val="2"/>
      <charset val="204"/>
      <scheme val="minor"/>
    </font>
    <font>
      <sz val="14"/>
      <color rgb="FF000000"/>
      <name val="Arial"/>
      <family val="2"/>
      <charset val="204"/>
      <scheme val="minor"/>
    </font>
    <font>
      <b/>
      <sz val="14"/>
      <color rgb="FFFFFF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6"/>
      <color indexed="8"/>
      <name val="Calibri"/>
      <family val="2"/>
      <charset val="204"/>
    </font>
    <font>
      <sz val="16"/>
      <color theme="1"/>
      <name val="Arial"/>
      <family val="2"/>
      <charset val="204"/>
      <scheme val="minor"/>
    </font>
    <font>
      <sz val="16"/>
      <name val="微软雅黑"/>
    </font>
    <font>
      <sz val="16"/>
      <color rgb="FF00000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4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12" fillId="0" borderId="0" xfId="0" applyFont="1"/>
    <xf numFmtId="0" fontId="16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12" fillId="0" borderId="0" xfId="0" applyFont="1"/>
    <xf numFmtId="164" fontId="18" fillId="0" borderId="1" xfId="0" applyNumberFormat="1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right" vertical="center" wrapText="1"/>
    </xf>
    <xf numFmtId="0" fontId="20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12" fillId="0" borderId="0" xfId="0" applyFont="1"/>
  </cellXfs>
  <cellStyles count="2">
    <cellStyle name="Обычный" xfId="0" builtinId="0"/>
    <cellStyle name="Обычный 2 3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3A4B-C9AE-4EEA-B663-9D410D6B8EA1}">
  <sheetPr>
    <outlinePr summaryBelow="0" summaryRight="0"/>
  </sheetPr>
  <dimension ref="A1:P590"/>
  <sheetViews>
    <sheetView tabSelected="1" zoomScale="55" zoomScaleNormal="5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3" sqref="C13"/>
    </sheetView>
  </sheetViews>
  <sheetFormatPr defaultColWidth="12.5703125" defaultRowHeight="15.75" customHeight="1"/>
  <cols>
    <col min="1" max="9" width="31.5703125" style="21" customWidth="1"/>
    <col min="10" max="11" width="31.5703125" style="22" customWidth="1"/>
    <col min="12" max="12" width="31.5703125" style="23" customWidth="1"/>
    <col min="13" max="15" width="31.5703125" style="21" customWidth="1"/>
    <col min="16" max="16384" width="12.5703125" style="21"/>
  </cols>
  <sheetData>
    <row r="1" spans="1:16" ht="30" customHeight="1">
      <c r="A1" s="36" t="s">
        <v>615</v>
      </c>
      <c r="B1" s="37"/>
      <c r="C1" s="37"/>
      <c r="D1" s="37"/>
      <c r="E1" s="37"/>
      <c r="F1" s="37"/>
      <c r="G1" s="37"/>
      <c r="H1" s="37"/>
      <c r="I1" s="37"/>
      <c r="J1" s="38"/>
      <c r="K1" s="38"/>
      <c r="L1" s="39"/>
      <c r="M1" s="37"/>
      <c r="N1" s="37"/>
      <c r="O1" s="37"/>
    </row>
    <row r="2" spans="1:16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0" t="s">
        <v>10</v>
      </c>
      <c r="K2" s="10" t="s">
        <v>11</v>
      </c>
      <c r="L2" s="8" t="s">
        <v>12</v>
      </c>
      <c r="M2" s="1" t="s">
        <v>13</v>
      </c>
      <c r="N2" s="1" t="s">
        <v>14</v>
      </c>
      <c r="O2" s="1" t="s">
        <v>15</v>
      </c>
    </row>
    <row r="3" spans="1:16" ht="30" customHeight="1">
      <c r="A3" s="7" t="s">
        <v>16</v>
      </c>
      <c r="B3" s="34" t="s">
        <v>605</v>
      </c>
      <c r="C3" s="34" t="s">
        <v>310</v>
      </c>
      <c r="D3" s="31">
        <v>59299.779110895346</v>
      </c>
      <c r="E3" s="32">
        <v>46605.262753378352</v>
      </c>
      <c r="F3" s="31">
        <f>+D3-E3</f>
        <v>12694.516357516994</v>
      </c>
      <c r="G3" s="33">
        <v>64</v>
      </c>
      <c r="H3" s="33">
        <v>0</v>
      </c>
      <c r="I3" s="18" t="s">
        <v>17</v>
      </c>
      <c r="J3" s="34">
        <v>40.865291666700003</v>
      </c>
      <c r="K3" s="34">
        <v>71.961494999999999</v>
      </c>
      <c r="L3" s="15">
        <v>160</v>
      </c>
      <c r="M3" s="12" t="s">
        <v>18</v>
      </c>
      <c r="N3" s="12"/>
      <c r="O3" s="24" t="s">
        <v>19</v>
      </c>
      <c r="P3" s="21">
        <v>7</v>
      </c>
    </row>
    <row r="4" spans="1:16" ht="30" customHeight="1">
      <c r="A4" s="7" t="s">
        <v>16</v>
      </c>
      <c r="B4" s="34" t="s">
        <v>606</v>
      </c>
      <c r="C4" s="34" t="s">
        <v>344</v>
      </c>
      <c r="D4" s="31">
        <v>96143.664020895332</v>
      </c>
      <c r="E4" s="32">
        <v>78839.632753378348</v>
      </c>
      <c r="F4" s="31">
        <f t="shared" ref="F4:F67" si="0">+D4-E4</f>
        <v>17304.031267516984</v>
      </c>
      <c r="G4" s="33">
        <v>38</v>
      </c>
      <c r="H4" s="33">
        <v>4</v>
      </c>
      <c r="I4" s="4" t="s">
        <v>21</v>
      </c>
      <c r="J4" s="34">
        <v>40.859666666700001</v>
      </c>
      <c r="K4" s="34">
        <v>72.121076666700006</v>
      </c>
      <c r="L4" s="15">
        <v>63</v>
      </c>
      <c r="M4" s="12" t="s">
        <v>22</v>
      </c>
      <c r="N4" s="12"/>
      <c r="O4" s="24" t="s">
        <v>19</v>
      </c>
    </row>
    <row r="5" spans="1:16" ht="30" customHeight="1">
      <c r="A5" s="7" t="s">
        <v>16</v>
      </c>
      <c r="B5" s="34" t="s">
        <v>607</v>
      </c>
      <c r="C5" s="34" t="s">
        <v>345</v>
      </c>
      <c r="D5" s="31">
        <v>131403.35093089534</v>
      </c>
      <c r="E5" s="32">
        <v>109688.00275337834</v>
      </c>
      <c r="F5" s="31">
        <f t="shared" si="0"/>
        <v>21715.348177516993</v>
      </c>
      <c r="G5" s="33">
        <v>22</v>
      </c>
      <c r="H5" s="33">
        <v>1</v>
      </c>
      <c r="I5" s="4" t="s">
        <v>20</v>
      </c>
      <c r="J5" s="34">
        <v>40.875443333299998</v>
      </c>
      <c r="K5" s="34">
        <v>71.966825</v>
      </c>
      <c r="L5" s="15">
        <v>250</v>
      </c>
      <c r="M5" s="12" t="s">
        <v>23</v>
      </c>
      <c r="N5" s="12"/>
      <c r="O5" s="24" t="s">
        <v>19</v>
      </c>
    </row>
    <row r="6" spans="1:16" ht="30" customHeight="1">
      <c r="A6" s="7" t="s">
        <v>16</v>
      </c>
      <c r="B6" s="34" t="s">
        <v>608</v>
      </c>
      <c r="C6" s="34" t="s">
        <v>346</v>
      </c>
      <c r="D6" s="31">
        <v>121609.16681089533</v>
      </c>
      <c r="E6" s="32">
        <v>101119.16275337835</v>
      </c>
      <c r="F6" s="31">
        <f t="shared" si="0"/>
        <v>20490.004057516984</v>
      </c>
      <c r="G6" s="33">
        <v>72</v>
      </c>
      <c r="H6" s="33">
        <v>0</v>
      </c>
      <c r="I6" s="4" t="s">
        <v>20</v>
      </c>
      <c r="J6" s="34">
        <v>40.879336666500002</v>
      </c>
      <c r="K6" s="34">
        <v>71.986581666700005</v>
      </c>
      <c r="L6" s="15">
        <v>160</v>
      </c>
      <c r="M6" s="12" t="s">
        <v>24</v>
      </c>
      <c r="N6" s="12"/>
      <c r="O6" s="24" t="s">
        <v>19</v>
      </c>
    </row>
    <row r="7" spans="1:16" ht="30" customHeight="1">
      <c r="A7" s="7" t="s">
        <v>16</v>
      </c>
      <c r="B7" s="34" t="s">
        <v>609</v>
      </c>
      <c r="C7" s="34" t="s">
        <v>347</v>
      </c>
      <c r="D7" s="31">
        <v>41003.572370895345</v>
      </c>
      <c r="E7" s="32">
        <v>30598.082753378349</v>
      </c>
      <c r="F7" s="31">
        <f t="shared" si="0"/>
        <v>10405.489617516996</v>
      </c>
      <c r="G7" s="33">
        <v>16</v>
      </c>
      <c r="H7" s="33">
        <v>0</v>
      </c>
      <c r="I7" s="4" t="s">
        <v>20</v>
      </c>
      <c r="J7" s="34">
        <v>40.874026666600002</v>
      </c>
      <c r="K7" s="34">
        <v>72.094549999700007</v>
      </c>
      <c r="L7" s="15">
        <v>400</v>
      </c>
      <c r="M7" s="12" t="s">
        <v>25</v>
      </c>
      <c r="N7" s="12"/>
      <c r="O7" s="24" t="s">
        <v>19</v>
      </c>
    </row>
    <row r="8" spans="1:16" ht="30" customHeight="1">
      <c r="A8" s="7" t="s">
        <v>16</v>
      </c>
      <c r="B8" s="34" t="s">
        <v>606</v>
      </c>
      <c r="C8" s="34" t="s">
        <v>348</v>
      </c>
      <c r="D8" s="31">
        <v>115004.90138089532</v>
      </c>
      <c r="E8" s="32">
        <v>95341.152753378337</v>
      </c>
      <c r="F8" s="31">
        <f t="shared" si="0"/>
        <v>19663.748627516979</v>
      </c>
      <c r="G8" s="33">
        <v>62</v>
      </c>
      <c r="H8" s="33">
        <v>2</v>
      </c>
      <c r="I8" s="4" t="s">
        <v>26</v>
      </c>
      <c r="J8" s="34">
        <v>40.859666666700001</v>
      </c>
      <c r="K8" s="34">
        <v>72.121076666700006</v>
      </c>
      <c r="L8" s="15">
        <v>100</v>
      </c>
      <c r="M8" s="12" t="s">
        <v>27</v>
      </c>
      <c r="N8" s="12"/>
      <c r="O8" s="24" t="s">
        <v>19</v>
      </c>
    </row>
    <row r="9" spans="1:16" ht="30" customHeight="1">
      <c r="A9" s="7" t="s">
        <v>16</v>
      </c>
      <c r="B9" s="34" t="s">
        <v>606</v>
      </c>
      <c r="C9" s="34" t="s">
        <v>349</v>
      </c>
      <c r="D9" s="31">
        <v>176868.95342089536</v>
      </c>
      <c r="E9" s="32">
        <v>149465.43275337835</v>
      </c>
      <c r="F9" s="31">
        <f t="shared" si="0"/>
        <v>27403.520667517005</v>
      </c>
      <c r="G9" s="33">
        <v>84</v>
      </c>
      <c r="H9" s="33">
        <v>4</v>
      </c>
      <c r="I9" s="4" t="s">
        <v>26</v>
      </c>
      <c r="J9" s="34">
        <v>40.861923333299998</v>
      </c>
      <c r="K9" s="34">
        <v>72.000451666700002</v>
      </c>
      <c r="L9" s="15">
        <v>250</v>
      </c>
      <c r="M9" s="12" t="s">
        <v>28</v>
      </c>
      <c r="N9" s="12"/>
      <c r="O9" s="24" t="s">
        <v>19</v>
      </c>
    </row>
    <row r="10" spans="1:16" ht="30" customHeight="1">
      <c r="A10" s="7" t="s">
        <v>16</v>
      </c>
      <c r="B10" s="34" t="s">
        <v>609</v>
      </c>
      <c r="C10" s="34" t="s">
        <v>350</v>
      </c>
      <c r="D10" s="31">
        <v>149032.19426089537</v>
      </c>
      <c r="E10" s="32">
        <v>125111.31275337836</v>
      </c>
      <c r="F10" s="31">
        <f t="shared" si="0"/>
        <v>23920.881507517013</v>
      </c>
      <c r="G10" s="33">
        <v>100</v>
      </c>
      <c r="H10" s="33">
        <v>0</v>
      </c>
      <c r="I10" s="4" t="s">
        <v>26</v>
      </c>
      <c r="J10" s="34">
        <v>40.876303333300001</v>
      </c>
      <c r="K10" s="34">
        <v>71.989218333300002</v>
      </c>
      <c r="L10" s="15">
        <v>160</v>
      </c>
      <c r="M10" s="12" t="s">
        <v>29</v>
      </c>
      <c r="N10" s="12"/>
      <c r="O10" s="24" t="s">
        <v>19</v>
      </c>
    </row>
    <row r="11" spans="1:16" ht="30" customHeight="1">
      <c r="A11" s="7" t="s">
        <v>16</v>
      </c>
      <c r="B11" s="34" t="s">
        <v>608</v>
      </c>
      <c r="C11" s="34" t="s">
        <v>351</v>
      </c>
      <c r="D11" s="31">
        <v>157041.51530089535</v>
      </c>
      <c r="E11" s="32">
        <v>132118.59275337835</v>
      </c>
      <c r="F11" s="31">
        <f t="shared" si="0"/>
        <v>24922.922547516995</v>
      </c>
      <c r="G11" s="33">
        <v>69</v>
      </c>
      <c r="H11" s="33">
        <v>0</v>
      </c>
      <c r="I11" s="4" t="s">
        <v>17</v>
      </c>
      <c r="J11" s="34">
        <v>40.880254999999998</v>
      </c>
      <c r="K11" s="34">
        <v>71.986491666700005</v>
      </c>
      <c r="L11" s="15">
        <v>400</v>
      </c>
      <c r="M11" s="12" t="s">
        <v>30</v>
      </c>
      <c r="N11" s="12"/>
      <c r="O11" s="24" t="s">
        <v>19</v>
      </c>
    </row>
    <row r="12" spans="1:16" ht="30" customHeight="1">
      <c r="A12" s="7" t="s">
        <v>16</v>
      </c>
      <c r="B12" s="34" t="s">
        <v>609</v>
      </c>
      <c r="C12" s="34" t="s">
        <v>352</v>
      </c>
      <c r="D12" s="31">
        <v>102965.71667089533</v>
      </c>
      <c r="E12" s="32">
        <v>84808.182753378351</v>
      </c>
      <c r="F12" s="31">
        <f t="shared" si="0"/>
        <v>18157.533917516979</v>
      </c>
      <c r="G12" s="33">
        <v>64</v>
      </c>
      <c r="H12" s="33">
        <v>1</v>
      </c>
      <c r="I12" s="4" t="s">
        <v>21</v>
      </c>
      <c r="J12" s="34">
        <v>40.881878333300001</v>
      </c>
      <c r="K12" s="34">
        <v>71.992743333299998</v>
      </c>
      <c r="L12" s="15">
        <v>60</v>
      </c>
      <c r="M12" s="12" t="s">
        <v>31</v>
      </c>
      <c r="N12" s="12"/>
      <c r="O12" s="24" t="s">
        <v>19</v>
      </c>
    </row>
    <row r="13" spans="1:16" ht="30" customHeight="1">
      <c r="A13" s="7" t="s">
        <v>16</v>
      </c>
      <c r="B13" s="34" t="s">
        <v>609</v>
      </c>
      <c r="C13" s="34" t="s">
        <v>353</v>
      </c>
      <c r="D13" s="31">
        <v>199537.78667089535</v>
      </c>
      <c r="E13" s="32">
        <v>169298.18275337835</v>
      </c>
      <c r="F13" s="31">
        <f t="shared" si="0"/>
        <v>30239.603917517001</v>
      </c>
      <c r="G13" s="33">
        <v>25</v>
      </c>
      <c r="H13" s="33">
        <v>1</v>
      </c>
      <c r="I13" s="4" t="s">
        <v>32</v>
      </c>
      <c r="J13" s="34">
        <v>40.8861933333</v>
      </c>
      <c r="K13" s="34">
        <v>71.991990000000001</v>
      </c>
      <c r="L13" s="15">
        <v>100</v>
      </c>
      <c r="M13" s="12" t="s">
        <v>33</v>
      </c>
      <c r="N13" s="12"/>
      <c r="O13" s="24" t="s">
        <v>19</v>
      </c>
    </row>
    <row r="14" spans="1:16" ht="30" customHeight="1">
      <c r="A14" s="7" t="s">
        <v>16</v>
      </c>
      <c r="B14" s="34" t="s">
        <v>609</v>
      </c>
      <c r="C14" s="34" t="s">
        <v>354</v>
      </c>
      <c r="D14" s="31">
        <v>200718.09419089538</v>
      </c>
      <c r="E14" s="32">
        <v>170330.82275337836</v>
      </c>
      <c r="F14" s="31">
        <f t="shared" si="0"/>
        <v>30387.271437517018</v>
      </c>
      <c r="G14" s="33">
        <v>108</v>
      </c>
      <c r="H14" s="33">
        <v>1</v>
      </c>
      <c r="I14" s="4" t="s">
        <v>32</v>
      </c>
      <c r="J14" s="34">
        <v>40.871985000000002</v>
      </c>
      <c r="K14" s="34">
        <v>72.001351666700003</v>
      </c>
      <c r="L14" s="15">
        <v>100</v>
      </c>
      <c r="M14" s="12"/>
      <c r="N14" s="12" t="s">
        <v>34</v>
      </c>
      <c r="O14" s="24" t="s">
        <v>19</v>
      </c>
    </row>
    <row r="15" spans="1:16" ht="30" customHeight="1">
      <c r="A15" s="7" t="s">
        <v>16</v>
      </c>
      <c r="B15" s="34" t="s">
        <v>605</v>
      </c>
      <c r="C15" s="34" t="s">
        <v>330</v>
      </c>
      <c r="D15" s="31">
        <v>160874.39435089537</v>
      </c>
      <c r="E15" s="32">
        <v>135471.94275337836</v>
      </c>
      <c r="F15" s="31">
        <f t="shared" si="0"/>
        <v>25402.451597517007</v>
      </c>
      <c r="G15" s="33">
        <v>70</v>
      </c>
      <c r="H15" s="33">
        <v>0</v>
      </c>
      <c r="I15" s="4" t="s">
        <v>17</v>
      </c>
      <c r="J15" s="34">
        <v>40.863475000000001</v>
      </c>
      <c r="K15" s="34">
        <v>71.947638333300006</v>
      </c>
      <c r="L15" s="15">
        <v>400</v>
      </c>
      <c r="M15" s="12" t="s">
        <v>35</v>
      </c>
      <c r="N15" s="12"/>
      <c r="O15" s="24" t="s">
        <v>19</v>
      </c>
    </row>
    <row r="16" spans="1:16" ht="30" customHeight="1">
      <c r="A16" s="7" t="s">
        <v>16</v>
      </c>
      <c r="B16" s="34" t="s">
        <v>607</v>
      </c>
      <c r="C16" s="34" t="s">
        <v>355</v>
      </c>
      <c r="D16" s="31">
        <v>172798.84472089534</v>
      </c>
      <c r="E16" s="32">
        <v>145904.53275337836</v>
      </c>
      <c r="F16" s="31">
        <f t="shared" si="0"/>
        <v>26894.311967516987</v>
      </c>
      <c r="G16" s="33">
        <v>44</v>
      </c>
      <c r="H16" s="33">
        <v>0</v>
      </c>
      <c r="I16" s="4" t="s">
        <v>26</v>
      </c>
      <c r="J16" s="34">
        <v>40.867853333299998</v>
      </c>
      <c r="K16" s="34">
        <v>71.9555883333</v>
      </c>
      <c r="L16" s="15">
        <v>160</v>
      </c>
      <c r="M16" s="12" t="s">
        <v>36</v>
      </c>
      <c r="N16" s="12"/>
      <c r="O16" s="24" t="s">
        <v>19</v>
      </c>
    </row>
    <row r="17" spans="1:15" ht="30" customHeight="1">
      <c r="A17" s="7" t="s">
        <v>16</v>
      </c>
      <c r="B17" s="34" t="s">
        <v>607</v>
      </c>
      <c r="C17" s="34" t="s">
        <v>356</v>
      </c>
      <c r="D17" s="31">
        <v>240418.97618089535</v>
      </c>
      <c r="E17" s="32">
        <v>205064.75275337836</v>
      </c>
      <c r="F17" s="31">
        <f t="shared" si="0"/>
        <v>35354.22342751699</v>
      </c>
      <c r="G17" s="33">
        <v>80</v>
      </c>
      <c r="H17" s="33">
        <v>1</v>
      </c>
      <c r="I17" s="4" t="s">
        <v>37</v>
      </c>
      <c r="J17" s="34">
        <v>40.871698333300003</v>
      </c>
      <c r="K17" s="34">
        <v>71.957906666699998</v>
      </c>
      <c r="L17" s="15">
        <v>160</v>
      </c>
      <c r="M17" s="12" t="s">
        <v>38</v>
      </c>
      <c r="N17" s="12"/>
      <c r="O17" s="24" t="s">
        <v>19</v>
      </c>
    </row>
    <row r="18" spans="1:15" ht="30" customHeight="1">
      <c r="A18" s="7" t="s">
        <v>16</v>
      </c>
      <c r="B18" s="34" t="s">
        <v>609</v>
      </c>
      <c r="C18" s="34" t="s">
        <v>357</v>
      </c>
      <c r="D18" s="31">
        <v>172484.56544089533</v>
      </c>
      <c r="E18" s="32">
        <v>145629.57275337834</v>
      </c>
      <c r="F18" s="31">
        <f t="shared" si="0"/>
        <v>26854.992687516991</v>
      </c>
      <c r="G18" s="33">
        <v>83</v>
      </c>
      <c r="H18" s="33">
        <v>3</v>
      </c>
      <c r="I18" s="4" t="s">
        <v>21</v>
      </c>
      <c r="J18" s="34">
        <v>40.881491666700001</v>
      </c>
      <c r="K18" s="34">
        <v>72.005658333300005</v>
      </c>
      <c r="L18" s="15">
        <v>400</v>
      </c>
      <c r="M18" s="12"/>
      <c r="N18" s="12" t="s">
        <v>39</v>
      </c>
      <c r="O18" s="24" t="s">
        <v>19</v>
      </c>
    </row>
    <row r="19" spans="1:15" ht="30" customHeight="1">
      <c r="A19" s="7" t="s">
        <v>16</v>
      </c>
      <c r="B19" s="34" t="s">
        <v>609</v>
      </c>
      <c r="C19" s="34" t="s">
        <v>358</v>
      </c>
      <c r="D19" s="31">
        <v>123075.99014089533</v>
      </c>
      <c r="E19" s="32">
        <v>102402.47275337834</v>
      </c>
      <c r="F19" s="31">
        <f t="shared" si="0"/>
        <v>20673.517387516986</v>
      </c>
      <c r="G19" s="33">
        <v>105</v>
      </c>
      <c r="H19" s="33">
        <v>0</v>
      </c>
      <c r="I19" s="4" t="s">
        <v>21</v>
      </c>
      <c r="J19" s="34">
        <v>40.882366666700001</v>
      </c>
      <c r="K19" s="34">
        <v>72.011693333300002</v>
      </c>
      <c r="L19" s="15">
        <v>63</v>
      </c>
      <c r="M19" s="12" t="s">
        <v>40</v>
      </c>
      <c r="N19" s="12"/>
      <c r="O19" s="24" t="s">
        <v>19</v>
      </c>
    </row>
    <row r="20" spans="1:15" ht="30" customHeight="1">
      <c r="A20" s="7" t="s">
        <v>16</v>
      </c>
      <c r="B20" s="34" t="s">
        <v>608</v>
      </c>
      <c r="C20" s="34" t="s">
        <v>359</v>
      </c>
      <c r="D20" s="31">
        <v>341678.83208089537</v>
      </c>
      <c r="E20" s="32">
        <v>293656.05275337835</v>
      </c>
      <c r="F20" s="31">
        <f t="shared" si="0"/>
        <v>48022.779327517026</v>
      </c>
      <c r="G20" s="33">
        <v>7</v>
      </c>
      <c r="H20" s="33">
        <v>4</v>
      </c>
      <c r="I20" s="4" t="s">
        <v>21</v>
      </c>
      <c r="J20" s="34">
        <v>40.867094999999999</v>
      </c>
      <c r="K20" s="34">
        <v>71.968564999999998</v>
      </c>
      <c r="L20" s="15">
        <v>160</v>
      </c>
      <c r="M20" s="12"/>
      <c r="N20" s="12" t="s">
        <v>41</v>
      </c>
      <c r="O20" s="24" t="s">
        <v>19</v>
      </c>
    </row>
    <row r="21" spans="1:15" ht="30" customHeight="1">
      <c r="A21" s="7" t="s">
        <v>16</v>
      </c>
      <c r="B21" s="34" t="s">
        <v>609</v>
      </c>
      <c r="C21" s="34" t="s">
        <v>360</v>
      </c>
      <c r="D21" s="31">
        <v>38036.961590895335</v>
      </c>
      <c r="E21" s="32">
        <v>28002.622753378346</v>
      </c>
      <c r="F21" s="31">
        <f t="shared" si="0"/>
        <v>10034.338837516989</v>
      </c>
      <c r="G21" s="33">
        <v>37</v>
      </c>
      <c r="H21" s="33">
        <v>1</v>
      </c>
      <c r="I21" s="4" t="s">
        <v>21</v>
      </c>
      <c r="J21" s="34">
        <v>40.865857601199998</v>
      </c>
      <c r="K21" s="34">
        <v>71.963380873199995</v>
      </c>
      <c r="L21" s="15">
        <v>160</v>
      </c>
      <c r="M21" s="12"/>
      <c r="N21" s="12" t="s">
        <v>42</v>
      </c>
      <c r="O21" s="24" t="s">
        <v>19</v>
      </c>
    </row>
    <row r="22" spans="1:15" ht="30" customHeight="1">
      <c r="A22" s="7" t="s">
        <v>16</v>
      </c>
      <c r="B22" s="34" t="s">
        <v>608</v>
      </c>
      <c r="C22" s="34" t="s">
        <v>361</v>
      </c>
      <c r="D22" s="31">
        <v>79379.648780895339</v>
      </c>
      <c r="E22" s="32">
        <v>64172.952753378355</v>
      </c>
      <c r="F22" s="31">
        <f t="shared" si="0"/>
        <v>15206.696027516984</v>
      </c>
      <c r="G22" s="33">
        <v>36</v>
      </c>
      <c r="H22" s="33">
        <v>0</v>
      </c>
      <c r="I22" s="4" t="s">
        <v>21</v>
      </c>
      <c r="J22" s="34">
        <v>40.868364999999997</v>
      </c>
      <c r="K22" s="34">
        <v>71.977401666700004</v>
      </c>
      <c r="L22" s="15">
        <v>160</v>
      </c>
      <c r="M22" s="12" t="s">
        <v>43</v>
      </c>
      <c r="N22" s="12"/>
      <c r="O22" s="24" t="s">
        <v>19</v>
      </c>
    </row>
    <row r="23" spans="1:15" ht="30" customHeight="1">
      <c r="A23" s="7" t="s">
        <v>16</v>
      </c>
      <c r="B23" s="34" t="s">
        <v>606</v>
      </c>
      <c r="C23" s="34" t="s">
        <v>362</v>
      </c>
      <c r="D23" s="31">
        <v>258158.7933808954</v>
      </c>
      <c r="E23" s="32">
        <v>220585.15275337838</v>
      </c>
      <c r="F23" s="31">
        <f t="shared" si="0"/>
        <v>37573.640627517016</v>
      </c>
      <c r="G23" s="33">
        <v>146</v>
      </c>
      <c r="H23" s="33">
        <v>3</v>
      </c>
      <c r="I23" s="3" t="s">
        <v>21</v>
      </c>
      <c r="J23" s="34">
        <v>40.866354999999999</v>
      </c>
      <c r="K23" s="34">
        <v>71.987798333300006</v>
      </c>
      <c r="L23" s="15">
        <v>63</v>
      </c>
      <c r="M23" s="12" t="s">
        <v>44</v>
      </c>
      <c r="N23" s="12"/>
      <c r="O23" s="24" t="s">
        <v>19</v>
      </c>
    </row>
    <row r="24" spans="1:15" ht="30" customHeight="1">
      <c r="A24" s="7" t="s">
        <v>16</v>
      </c>
      <c r="B24" s="34" t="s">
        <v>606</v>
      </c>
      <c r="C24" s="34" t="s">
        <v>363</v>
      </c>
      <c r="D24" s="31">
        <v>371513.20091089531</v>
      </c>
      <c r="E24" s="32">
        <v>319757.86275337829</v>
      </c>
      <c r="F24" s="31">
        <f t="shared" si="0"/>
        <v>51755.338157517021</v>
      </c>
      <c r="G24" s="33">
        <v>201</v>
      </c>
      <c r="H24" s="33">
        <v>0</v>
      </c>
      <c r="I24" s="3" t="s">
        <v>21</v>
      </c>
      <c r="J24" s="34">
        <v>40.8589916667</v>
      </c>
      <c r="K24" s="34">
        <v>72.007035000000002</v>
      </c>
      <c r="L24" s="15">
        <v>63</v>
      </c>
      <c r="M24" s="12" t="s">
        <v>45</v>
      </c>
      <c r="N24" s="12"/>
      <c r="O24" s="24" t="s">
        <v>19</v>
      </c>
    </row>
    <row r="25" spans="1:15" ht="30" customHeight="1">
      <c r="A25" s="7" t="s">
        <v>16</v>
      </c>
      <c r="B25" s="34" t="s">
        <v>608</v>
      </c>
      <c r="C25" s="34" t="s">
        <v>364</v>
      </c>
      <c r="D25" s="31">
        <v>417040.6511308953</v>
      </c>
      <c r="E25" s="32">
        <v>359589.40275337832</v>
      </c>
      <c r="F25" s="31">
        <f t="shared" si="0"/>
        <v>57451.248377516982</v>
      </c>
      <c r="G25" s="33">
        <v>48</v>
      </c>
      <c r="H25" s="33">
        <v>0</v>
      </c>
      <c r="I25" s="3" t="s">
        <v>17</v>
      </c>
      <c r="J25" s="34">
        <v>40.8780866667</v>
      </c>
      <c r="K25" s="34">
        <v>71.986896666700005</v>
      </c>
      <c r="L25" s="15">
        <v>250</v>
      </c>
      <c r="M25" s="12" t="s">
        <v>46</v>
      </c>
      <c r="N25" s="12"/>
      <c r="O25" s="24" t="s">
        <v>19</v>
      </c>
    </row>
    <row r="26" spans="1:15" ht="30" customHeight="1">
      <c r="A26" s="7" t="s">
        <v>16</v>
      </c>
      <c r="B26" s="34" t="s">
        <v>609</v>
      </c>
      <c r="C26" s="34" t="s">
        <v>365</v>
      </c>
      <c r="D26" s="31">
        <v>166210.82132089537</v>
      </c>
      <c r="E26" s="32">
        <v>140140.73275337837</v>
      </c>
      <c r="F26" s="31">
        <f t="shared" si="0"/>
        <v>26070.088567516999</v>
      </c>
      <c r="G26" s="33">
        <v>177</v>
      </c>
      <c r="H26" s="33">
        <v>1</v>
      </c>
      <c r="I26" s="3" t="s">
        <v>17</v>
      </c>
      <c r="J26" s="34">
        <v>40.888159999999999</v>
      </c>
      <c r="K26" s="34">
        <v>72.008324999999999</v>
      </c>
      <c r="L26" s="15">
        <v>100</v>
      </c>
      <c r="M26" s="12" t="s">
        <v>47</v>
      </c>
      <c r="N26" s="12"/>
      <c r="O26" s="24" t="s">
        <v>19</v>
      </c>
    </row>
    <row r="27" spans="1:15" ht="30" customHeight="1">
      <c r="A27" s="7" t="s">
        <v>16</v>
      </c>
      <c r="B27" s="34" t="s">
        <v>609</v>
      </c>
      <c r="C27" s="34" t="s">
        <v>366</v>
      </c>
      <c r="D27" s="31">
        <v>192104.85767089535</v>
      </c>
      <c r="E27" s="32">
        <v>162795.18275337835</v>
      </c>
      <c r="F27" s="31">
        <f t="shared" si="0"/>
        <v>29309.674917516997</v>
      </c>
      <c r="G27" s="33">
        <v>95</v>
      </c>
      <c r="H27" s="33">
        <v>9</v>
      </c>
      <c r="I27" s="17" t="s">
        <v>17</v>
      </c>
      <c r="J27" s="34">
        <v>40.879911666700004</v>
      </c>
      <c r="K27" s="34">
        <v>72.022811666699994</v>
      </c>
      <c r="L27" s="15">
        <v>100</v>
      </c>
      <c r="M27" s="12" t="s">
        <v>48</v>
      </c>
      <c r="N27" s="12"/>
      <c r="O27" s="24" t="s">
        <v>19</v>
      </c>
    </row>
    <row r="28" spans="1:15" ht="30" customHeight="1">
      <c r="A28" s="7" t="s">
        <v>16</v>
      </c>
      <c r="B28" s="34" t="s">
        <v>610</v>
      </c>
      <c r="C28" s="34" t="s">
        <v>367</v>
      </c>
      <c r="D28" s="31">
        <v>194148.07304089537</v>
      </c>
      <c r="E28" s="32">
        <v>164582.77275337838</v>
      </c>
      <c r="F28" s="31">
        <f t="shared" si="0"/>
        <v>29565.300287516991</v>
      </c>
      <c r="G28" s="33">
        <v>133</v>
      </c>
      <c r="H28" s="33">
        <v>1</v>
      </c>
      <c r="I28" s="3" t="s">
        <v>17</v>
      </c>
      <c r="J28" s="34">
        <v>40.880920000000003</v>
      </c>
      <c r="K28" s="34">
        <v>72.040239999999997</v>
      </c>
      <c r="L28" s="20">
        <v>100</v>
      </c>
      <c r="M28" s="12"/>
      <c r="N28" s="12" t="s">
        <v>49</v>
      </c>
      <c r="O28" s="24" t="s">
        <v>19</v>
      </c>
    </row>
    <row r="29" spans="1:15" ht="30" customHeight="1">
      <c r="A29" s="7" t="s">
        <v>16</v>
      </c>
      <c r="B29" s="34" t="s">
        <v>610</v>
      </c>
      <c r="C29" s="34" t="s">
        <v>368</v>
      </c>
      <c r="D29" s="31">
        <v>147323.66072089534</v>
      </c>
      <c r="E29" s="32">
        <v>123616.53275337834</v>
      </c>
      <c r="F29" s="31">
        <f t="shared" si="0"/>
        <v>23707.127967516994</v>
      </c>
      <c r="G29" s="33">
        <v>126</v>
      </c>
      <c r="H29" s="33">
        <v>0</v>
      </c>
      <c r="I29" s="3"/>
      <c r="J29" s="34">
        <v>40.881768333300002</v>
      </c>
      <c r="K29" s="34">
        <v>72.055153333299998</v>
      </c>
      <c r="L29" s="20">
        <v>63</v>
      </c>
      <c r="M29" s="12" t="s">
        <v>50</v>
      </c>
      <c r="N29" s="12"/>
      <c r="O29" s="24" t="s">
        <v>19</v>
      </c>
    </row>
    <row r="30" spans="1:15" ht="30" customHeight="1">
      <c r="A30" s="7" t="s">
        <v>16</v>
      </c>
      <c r="B30" s="34" t="s">
        <v>610</v>
      </c>
      <c r="C30" s="34" t="s">
        <v>369</v>
      </c>
      <c r="D30" s="31">
        <v>218469.03278089533</v>
      </c>
      <c r="E30" s="32">
        <v>185860.95275337834</v>
      </c>
      <c r="F30" s="31">
        <f t="shared" si="0"/>
        <v>32608.08002751699</v>
      </c>
      <c r="G30" s="33">
        <v>163</v>
      </c>
      <c r="H30" s="33">
        <v>0</v>
      </c>
      <c r="I30" s="3" t="s">
        <v>51</v>
      </c>
      <c r="J30" s="34">
        <v>40.882671666699999</v>
      </c>
      <c r="K30" s="34">
        <v>72.072426666699997</v>
      </c>
      <c r="L30" s="25">
        <v>100</v>
      </c>
      <c r="M30" s="12"/>
      <c r="N30" s="12" t="s">
        <v>52</v>
      </c>
      <c r="O30" s="24" t="s">
        <v>19</v>
      </c>
    </row>
    <row r="31" spans="1:15" ht="30" customHeight="1">
      <c r="A31" s="7" t="s">
        <v>16</v>
      </c>
      <c r="B31" s="34" t="s">
        <v>610</v>
      </c>
      <c r="C31" s="34" t="s">
        <v>370</v>
      </c>
      <c r="D31" s="31">
        <v>43831.125770895342</v>
      </c>
      <c r="E31" s="32">
        <v>33071.882753378348</v>
      </c>
      <c r="F31" s="31">
        <f t="shared" si="0"/>
        <v>10759.243017516994</v>
      </c>
      <c r="G31" s="33">
        <v>19</v>
      </c>
      <c r="H31" s="33">
        <v>0</v>
      </c>
      <c r="I31" s="3" t="s">
        <v>53</v>
      </c>
      <c r="J31" s="34">
        <v>40.877465000000001</v>
      </c>
      <c r="K31" s="34">
        <v>72.08811</v>
      </c>
      <c r="L31" s="15">
        <v>100</v>
      </c>
      <c r="M31" s="12" t="s">
        <v>54</v>
      </c>
      <c r="N31" s="12"/>
      <c r="O31" s="24" t="s">
        <v>19</v>
      </c>
    </row>
    <row r="32" spans="1:15" ht="30" customHeight="1">
      <c r="A32" s="7" t="s">
        <v>16</v>
      </c>
      <c r="B32" s="34" t="s">
        <v>610</v>
      </c>
      <c r="C32" s="34" t="s">
        <v>371</v>
      </c>
      <c r="D32" s="31">
        <v>170584.08791089535</v>
      </c>
      <c r="E32" s="32">
        <v>143966.86275337834</v>
      </c>
      <c r="F32" s="31">
        <f t="shared" si="0"/>
        <v>26617.225157517008</v>
      </c>
      <c r="G32" s="33">
        <v>84</v>
      </c>
      <c r="H32" s="33">
        <v>1</v>
      </c>
      <c r="I32" s="3" t="s">
        <v>20</v>
      </c>
      <c r="J32" s="34">
        <v>40.879755000000003</v>
      </c>
      <c r="K32" s="34">
        <v>72.084291666699997</v>
      </c>
      <c r="L32" s="15">
        <v>100</v>
      </c>
      <c r="M32" s="12" t="s">
        <v>55</v>
      </c>
      <c r="N32" s="12"/>
      <c r="O32" s="24" t="s">
        <v>19</v>
      </c>
    </row>
    <row r="33" spans="1:15" ht="30" customHeight="1">
      <c r="A33" s="7" t="s">
        <v>16</v>
      </c>
      <c r="B33" s="34" t="s">
        <v>611</v>
      </c>
      <c r="C33" s="34" t="s">
        <v>372</v>
      </c>
      <c r="D33" s="31">
        <v>183530.74604089538</v>
      </c>
      <c r="E33" s="32">
        <v>155293.77275337838</v>
      </c>
      <c r="F33" s="31">
        <f t="shared" si="0"/>
        <v>28236.973287517001</v>
      </c>
      <c r="G33" s="33">
        <v>110</v>
      </c>
      <c r="H33" s="33">
        <v>3</v>
      </c>
      <c r="I33" s="3" t="s">
        <v>56</v>
      </c>
      <c r="J33" s="34">
        <v>40.874026666699997</v>
      </c>
      <c r="K33" s="34">
        <v>72.094549999999998</v>
      </c>
      <c r="L33" s="15">
        <v>160</v>
      </c>
      <c r="M33" s="12" t="s">
        <v>57</v>
      </c>
      <c r="N33" s="12"/>
      <c r="O33" s="24" t="s">
        <v>19</v>
      </c>
    </row>
    <row r="34" spans="1:15" ht="30" customHeight="1">
      <c r="A34" s="7" t="s">
        <v>16</v>
      </c>
      <c r="B34" s="34" t="s">
        <v>611</v>
      </c>
      <c r="C34" s="34" t="s">
        <v>373</v>
      </c>
      <c r="D34" s="31">
        <v>86140.813820895346</v>
      </c>
      <c r="E34" s="32">
        <v>70088.232753378354</v>
      </c>
      <c r="F34" s="31">
        <f t="shared" si="0"/>
        <v>16052.581067516992</v>
      </c>
      <c r="G34" s="33">
        <v>101</v>
      </c>
      <c r="H34" s="33">
        <v>0</v>
      </c>
      <c r="I34" s="3" t="s">
        <v>58</v>
      </c>
      <c r="J34" s="34">
        <v>40.863348333300003</v>
      </c>
      <c r="K34" s="34">
        <v>72.082953333299997</v>
      </c>
      <c r="L34" s="15">
        <v>160</v>
      </c>
      <c r="M34" s="12" t="s">
        <v>59</v>
      </c>
      <c r="N34" s="12"/>
      <c r="O34" s="24" t="s">
        <v>19</v>
      </c>
    </row>
    <row r="35" spans="1:15" ht="30" customHeight="1">
      <c r="A35" s="7" t="s">
        <v>16</v>
      </c>
      <c r="B35" s="34" t="s">
        <v>612</v>
      </c>
      <c r="C35" s="34" t="s">
        <v>374</v>
      </c>
      <c r="D35" s="31">
        <v>59225.689850895338</v>
      </c>
      <c r="E35" s="32">
        <v>46540.442753378346</v>
      </c>
      <c r="F35" s="31">
        <f t="shared" si="0"/>
        <v>12685.247097516993</v>
      </c>
      <c r="G35" s="33">
        <v>87</v>
      </c>
      <c r="H35" s="33">
        <v>2</v>
      </c>
      <c r="I35" s="3" t="s">
        <v>58</v>
      </c>
      <c r="J35" s="34">
        <v>40.848415000000003</v>
      </c>
      <c r="K35" s="34">
        <v>72.071595000000002</v>
      </c>
      <c r="L35" s="15">
        <v>63</v>
      </c>
      <c r="M35" s="12" t="s">
        <v>60</v>
      </c>
      <c r="N35" s="12"/>
      <c r="O35" s="24" t="s">
        <v>19</v>
      </c>
    </row>
    <row r="36" spans="1:15" ht="30" customHeight="1">
      <c r="A36" s="7" t="s">
        <v>16</v>
      </c>
      <c r="B36" s="34" t="s">
        <v>611</v>
      </c>
      <c r="C36" s="34" t="s">
        <v>375</v>
      </c>
      <c r="D36" s="31">
        <v>321021.13019089535</v>
      </c>
      <c r="E36" s="32">
        <v>275582.82275337836</v>
      </c>
      <c r="F36" s="31">
        <f t="shared" si="0"/>
        <v>45438.307437516982</v>
      </c>
      <c r="G36" s="33">
        <v>215</v>
      </c>
      <c r="H36" s="33">
        <v>18</v>
      </c>
      <c r="I36" s="3" t="s">
        <v>32</v>
      </c>
      <c r="J36" s="34">
        <v>40.8672316667</v>
      </c>
      <c r="K36" s="34">
        <v>72.104288333300005</v>
      </c>
      <c r="L36" s="15">
        <v>100</v>
      </c>
      <c r="M36" s="12" t="s">
        <v>61</v>
      </c>
      <c r="N36" s="12"/>
      <c r="O36" s="24" t="s">
        <v>19</v>
      </c>
    </row>
    <row r="37" spans="1:15" ht="30" customHeight="1">
      <c r="A37" s="7" t="s">
        <v>16</v>
      </c>
      <c r="B37" s="34" t="s">
        <v>611</v>
      </c>
      <c r="C37" s="34" t="s">
        <v>376</v>
      </c>
      <c r="D37" s="31">
        <v>211560.80936089536</v>
      </c>
      <c r="E37" s="32">
        <v>179817.01275337837</v>
      </c>
      <c r="F37" s="31">
        <f t="shared" si="0"/>
        <v>31743.796607516997</v>
      </c>
      <c r="G37" s="33">
        <v>98</v>
      </c>
      <c r="H37" s="33">
        <v>1</v>
      </c>
      <c r="I37" s="3" t="s">
        <v>17</v>
      </c>
      <c r="J37" s="34">
        <v>40.875253333300002</v>
      </c>
      <c r="K37" s="34">
        <v>72.108715000000004</v>
      </c>
      <c r="L37" s="15">
        <v>100</v>
      </c>
      <c r="M37" s="12" t="s">
        <v>62</v>
      </c>
      <c r="N37" s="12"/>
      <c r="O37" s="24" t="s">
        <v>19</v>
      </c>
    </row>
    <row r="38" spans="1:15" ht="30" customHeight="1">
      <c r="A38" s="7" t="s">
        <v>16</v>
      </c>
      <c r="B38" s="34" t="s">
        <v>611</v>
      </c>
      <c r="C38" s="34" t="s">
        <v>377</v>
      </c>
      <c r="D38" s="31">
        <v>57382.899530895338</v>
      </c>
      <c r="E38" s="32">
        <v>44928.202753378348</v>
      </c>
      <c r="F38" s="31">
        <f t="shared" si="0"/>
        <v>12454.696777516991</v>
      </c>
      <c r="G38" s="33">
        <v>106</v>
      </c>
      <c r="H38" s="33">
        <v>0</v>
      </c>
      <c r="I38" s="3" t="s">
        <v>58</v>
      </c>
      <c r="J38" s="34">
        <v>40.867996666700002</v>
      </c>
      <c r="K38" s="34">
        <v>72.122466666700006</v>
      </c>
      <c r="L38" s="15">
        <v>40</v>
      </c>
      <c r="M38" s="12" t="s">
        <v>63</v>
      </c>
      <c r="N38" s="12"/>
      <c r="O38" s="24" t="s">
        <v>19</v>
      </c>
    </row>
    <row r="39" spans="1:15" ht="30" customHeight="1">
      <c r="A39" s="7" t="s">
        <v>16</v>
      </c>
      <c r="B39" s="34" t="s">
        <v>611</v>
      </c>
      <c r="C39" s="34" t="s">
        <v>378</v>
      </c>
      <c r="D39" s="31">
        <v>88453.742900895333</v>
      </c>
      <c r="E39" s="32">
        <v>72111.792753378351</v>
      </c>
      <c r="F39" s="31">
        <f t="shared" si="0"/>
        <v>16341.950147516982</v>
      </c>
      <c r="G39" s="33">
        <v>138</v>
      </c>
      <c r="H39" s="33">
        <v>1</v>
      </c>
      <c r="I39" s="3" t="s">
        <v>64</v>
      </c>
      <c r="J39" s="34">
        <v>40.856453333300003</v>
      </c>
      <c r="K39" s="34">
        <v>72.136276666699999</v>
      </c>
      <c r="L39" s="15">
        <v>100</v>
      </c>
      <c r="M39" s="12" t="s">
        <v>65</v>
      </c>
      <c r="N39" s="12"/>
      <c r="O39" s="24" t="s">
        <v>19</v>
      </c>
    </row>
    <row r="40" spans="1:15" ht="30" customHeight="1">
      <c r="A40" s="7" t="s">
        <v>16</v>
      </c>
      <c r="B40" s="34" t="s">
        <v>611</v>
      </c>
      <c r="C40" s="34" t="s">
        <v>379</v>
      </c>
      <c r="D40" s="31">
        <v>193911.32345089538</v>
      </c>
      <c r="E40" s="32">
        <v>164375.64275337837</v>
      </c>
      <c r="F40" s="31">
        <f t="shared" si="0"/>
        <v>29535.680697517004</v>
      </c>
      <c r="G40" s="33">
        <v>170</v>
      </c>
      <c r="H40" s="33">
        <v>1</v>
      </c>
      <c r="I40" s="3" t="s">
        <v>64</v>
      </c>
      <c r="J40" s="34">
        <v>40.848101666700003</v>
      </c>
      <c r="K40" s="34">
        <v>72.161588333300003</v>
      </c>
      <c r="L40" s="15">
        <v>100</v>
      </c>
      <c r="M40" s="12" t="s">
        <v>66</v>
      </c>
      <c r="N40" s="12"/>
      <c r="O40" s="24" t="s">
        <v>19</v>
      </c>
    </row>
    <row r="41" spans="1:15" ht="30" customHeight="1">
      <c r="A41" s="7" t="s">
        <v>16</v>
      </c>
      <c r="B41" s="34" t="s">
        <v>613</v>
      </c>
      <c r="C41" s="34" t="s">
        <v>380</v>
      </c>
      <c r="D41" s="31">
        <v>56721.216830895341</v>
      </c>
      <c r="E41" s="32">
        <v>44349.302753378346</v>
      </c>
      <c r="F41" s="31">
        <f t="shared" si="0"/>
        <v>12371.914077516994</v>
      </c>
      <c r="G41" s="33">
        <v>86</v>
      </c>
      <c r="H41" s="33">
        <v>2</v>
      </c>
      <c r="I41" s="3" t="s">
        <v>53</v>
      </c>
      <c r="J41" s="34">
        <v>40.823746666700004</v>
      </c>
      <c r="K41" s="34">
        <v>72.162056666699996</v>
      </c>
      <c r="L41" s="15">
        <v>160</v>
      </c>
      <c r="M41" s="12"/>
      <c r="N41" s="12" t="s">
        <v>67</v>
      </c>
      <c r="O41" s="24" t="s">
        <v>19</v>
      </c>
    </row>
    <row r="42" spans="1:15" ht="30" customHeight="1">
      <c r="A42" s="7" t="s">
        <v>16</v>
      </c>
      <c r="B42" s="34" t="s">
        <v>612</v>
      </c>
      <c r="C42" s="34" t="s">
        <v>381</v>
      </c>
      <c r="D42" s="31">
        <v>141617.66756089535</v>
      </c>
      <c r="E42" s="32">
        <v>118624.41275337835</v>
      </c>
      <c r="F42" s="31">
        <f t="shared" si="0"/>
        <v>22993.254807517005</v>
      </c>
      <c r="G42" s="33">
        <v>98</v>
      </c>
      <c r="H42" s="33">
        <v>1</v>
      </c>
      <c r="I42" s="3" t="s">
        <v>37</v>
      </c>
      <c r="J42" s="34">
        <v>40.8202666667</v>
      </c>
      <c r="K42" s="34">
        <v>72.1321616667</v>
      </c>
      <c r="L42" s="20">
        <v>160</v>
      </c>
      <c r="M42" s="12" t="s">
        <v>68</v>
      </c>
      <c r="N42" s="12"/>
      <c r="O42" s="24" t="s">
        <v>19</v>
      </c>
    </row>
    <row r="43" spans="1:15" ht="30" customHeight="1">
      <c r="A43" s="7" t="s">
        <v>16</v>
      </c>
      <c r="B43" s="34" t="s">
        <v>612</v>
      </c>
      <c r="C43" s="34" t="s">
        <v>382</v>
      </c>
      <c r="D43" s="31">
        <v>186996.53921089534</v>
      </c>
      <c r="E43" s="32">
        <v>158325.96275337835</v>
      </c>
      <c r="F43" s="31">
        <f t="shared" si="0"/>
        <v>28670.576457516989</v>
      </c>
      <c r="G43" s="33">
        <v>130</v>
      </c>
      <c r="H43" s="33">
        <v>1</v>
      </c>
      <c r="I43" s="3" t="s">
        <v>53</v>
      </c>
      <c r="J43" s="34">
        <v>40.829568333300003</v>
      </c>
      <c r="K43" s="34">
        <v>72.120596666699996</v>
      </c>
      <c r="L43" s="20">
        <v>160</v>
      </c>
      <c r="M43" s="12" t="s">
        <v>69</v>
      </c>
      <c r="N43" s="12"/>
      <c r="O43" s="24" t="s">
        <v>19</v>
      </c>
    </row>
    <row r="44" spans="1:15" ht="30" customHeight="1">
      <c r="A44" s="7" t="s">
        <v>16</v>
      </c>
      <c r="B44" s="34" t="s">
        <v>612</v>
      </c>
      <c r="C44" s="34" t="s">
        <v>383</v>
      </c>
      <c r="D44" s="31">
        <v>220516.32866089538</v>
      </c>
      <c r="E44" s="32">
        <v>187652.11275337837</v>
      </c>
      <c r="F44" s="31">
        <f t="shared" si="0"/>
        <v>32864.215907517006</v>
      </c>
      <c r="G44" s="33">
        <v>165</v>
      </c>
      <c r="H44" s="33">
        <v>1</v>
      </c>
      <c r="I44" s="3" t="s">
        <v>53</v>
      </c>
      <c r="J44" s="34">
        <v>40.815874208499999</v>
      </c>
      <c r="K44" s="34">
        <v>72.111179034499997</v>
      </c>
      <c r="L44" s="20">
        <v>100</v>
      </c>
      <c r="M44" s="12" t="s">
        <v>70</v>
      </c>
      <c r="N44" s="12"/>
      <c r="O44" s="24" t="s">
        <v>19</v>
      </c>
    </row>
    <row r="45" spans="1:15" ht="30" customHeight="1">
      <c r="A45" s="7" t="s">
        <v>16</v>
      </c>
      <c r="B45" s="34" t="s">
        <v>609</v>
      </c>
      <c r="C45" s="34" t="s">
        <v>384</v>
      </c>
      <c r="D45" s="31">
        <v>952943.23058089532</v>
      </c>
      <c r="E45" s="32">
        <v>828445.5527533784</v>
      </c>
      <c r="F45" s="31">
        <f t="shared" si="0"/>
        <v>124497.67782751692</v>
      </c>
      <c r="G45" s="33">
        <v>144</v>
      </c>
      <c r="H45" s="33">
        <v>0</v>
      </c>
      <c r="I45" s="3" t="s">
        <v>53</v>
      </c>
      <c r="J45" s="34">
        <v>40.875643333299998</v>
      </c>
      <c r="K45" s="34">
        <v>72.000879999999995</v>
      </c>
      <c r="L45" s="20">
        <v>160</v>
      </c>
      <c r="M45" s="12" t="s">
        <v>71</v>
      </c>
      <c r="N45" s="12"/>
      <c r="O45" s="24" t="s">
        <v>19</v>
      </c>
    </row>
    <row r="46" spans="1:15" ht="30" customHeight="1">
      <c r="A46" s="7" t="s">
        <v>16</v>
      </c>
      <c r="B46" s="34" t="s">
        <v>609</v>
      </c>
      <c r="C46" s="34" t="s">
        <v>385</v>
      </c>
      <c r="D46" s="31">
        <v>110027.63930089533</v>
      </c>
      <c r="E46" s="32">
        <v>90986.59275337834</v>
      </c>
      <c r="F46" s="31">
        <f t="shared" si="0"/>
        <v>19041.046547516991</v>
      </c>
      <c r="G46" s="33">
        <v>83</v>
      </c>
      <c r="H46" s="33">
        <v>2</v>
      </c>
      <c r="I46" s="3" t="s">
        <v>51</v>
      </c>
      <c r="J46" s="34">
        <v>40.88138</v>
      </c>
      <c r="K46" s="34">
        <v>72.003778333300005</v>
      </c>
      <c r="L46" s="20">
        <v>63</v>
      </c>
      <c r="M46" s="12" t="s">
        <v>72</v>
      </c>
      <c r="N46" s="12"/>
      <c r="O46" s="24" t="s">
        <v>19</v>
      </c>
    </row>
    <row r="47" spans="1:15" ht="30" customHeight="1">
      <c r="A47" s="7" t="s">
        <v>16</v>
      </c>
      <c r="B47" s="34" t="s">
        <v>610</v>
      </c>
      <c r="C47" s="34" t="s">
        <v>386</v>
      </c>
      <c r="D47" s="31">
        <v>169837.35458089533</v>
      </c>
      <c r="E47" s="32">
        <v>143313.55275337835</v>
      </c>
      <c r="F47" s="31">
        <f t="shared" si="0"/>
        <v>26523.801827516989</v>
      </c>
      <c r="G47" s="33">
        <v>117</v>
      </c>
      <c r="H47" s="33">
        <v>0</v>
      </c>
      <c r="I47" s="3" t="s">
        <v>51</v>
      </c>
      <c r="J47" s="34">
        <v>40.871155000000002</v>
      </c>
      <c r="K47" s="34">
        <v>72.043671666700007</v>
      </c>
      <c r="L47" s="20">
        <v>400</v>
      </c>
      <c r="M47" s="12" t="s">
        <v>73</v>
      </c>
      <c r="N47" s="12"/>
      <c r="O47" s="24" t="s">
        <v>19</v>
      </c>
    </row>
    <row r="48" spans="1:15" ht="30" customHeight="1">
      <c r="A48" s="7" t="s">
        <v>16</v>
      </c>
      <c r="B48" s="34" t="s">
        <v>613</v>
      </c>
      <c r="C48" s="34" t="s">
        <v>387</v>
      </c>
      <c r="D48" s="31">
        <v>56302.844540895341</v>
      </c>
      <c r="E48" s="32">
        <v>43983.272753378347</v>
      </c>
      <c r="F48" s="31">
        <f t="shared" si="0"/>
        <v>12319.571787516994</v>
      </c>
      <c r="G48" s="33">
        <v>72</v>
      </c>
      <c r="H48" s="33">
        <v>0</v>
      </c>
      <c r="I48" s="3" t="s">
        <v>51</v>
      </c>
      <c r="J48" s="34">
        <v>40.820733333200003</v>
      </c>
      <c r="K48" s="34">
        <v>72.163296666700006</v>
      </c>
      <c r="L48" s="20">
        <v>160</v>
      </c>
      <c r="M48" s="12" t="s">
        <v>74</v>
      </c>
      <c r="N48" s="12"/>
      <c r="O48" s="24" t="s">
        <v>19</v>
      </c>
    </row>
    <row r="49" spans="1:15" ht="30" customHeight="1">
      <c r="A49" s="7" t="s">
        <v>16</v>
      </c>
      <c r="B49" s="34" t="s">
        <v>613</v>
      </c>
      <c r="C49" s="34" t="s">
        <v>388</v>
      </c>
      <c r="D49" s="31">
        <v>136649.92667089534</v>
      </c>
      <c r="E49" s="32">
        <v>114278.18275337835</v>
      </c>
      <c r="F49" s="31">
        <f t="shared" si="0"/>
        <v>22371.743917516986</v>
      </c>
      <c r="G49" s="33">
        <v>97</v>
      </c>
      <c r="H49" s="33">
        <v>1</v>
      </c>
      <c r="I49" s="3" t="s">
        <v>75</v>
      </c>
      <c r="J49" s="34">
        <v>40.834948405699997</v>
      </c>
      <c r="K49" s="34">
        <v>72.194619056400001</v>
      </c>
      <c r="L49" s="20">
        <v>250</v>
      </c>
      <c r="M49" s="12" t="s">
        <v>76</v>
      </c>
      <c r="N49" s="12"/>
      <c r="O49" s="24" t="s">
        <v>19</v>
      </c>
    </row>
    <row r="50" spans="1:15" ht="30" customHeight="1">
      <c r="A50" s="7" t="s">
        <v>16</v>
      </c>
      <c r="B50" s="34" t="s">
        <v>607</v>
      </c>
      <c r="C50" s="34" t="s">
        <v>389</v>
      </c>
      <c r="D50" s="31">
        <v>257567.71950589539</v>
      </c>
      <c r="E50" s="32">
        <v>220068.02775337838</v>
      </c>
      <c r="F50" s="31">
        <f t="shared" si="0"/>
        <v>37499.691752517014</v>
      </c>
      <c r="G50" s="33">
        <v>158</v>
      </c>
      <c r="H50" s="33">
        <v>0</v>
      </c>
      <c r="I50" s="3" t="s">
        <v>75</v>
      </c>
      <c r="J50" s="34">
        <v>40.878189999999996</v>
      </c>
      <c r="K50" s="34">
        <v>71.958991666700001</v>
      </c>
      <c r="L50" s="20">
        <v>160</v>
      </c>
      <c r="M50" s="12" t="s">
        <v>77</v>
      </c>
      <c r="N50" s="12"/>
      <c r="O50" s="24" t="s">
        <v>19</v>
      </c>
    </row>
    <row r="51" spans="1:15" ht="30" customHeight="1">
      <c r="A51" s="7" t="s">
        <v>16</v>
      </c>
      <c r="B51" s="34" t="s">
        <v>607</v>
      </c>
      <c r="C51" s="34" t="s">
        <v>390</v>
      </c>
      <c r="D51" s="31">
        <v>173811.61130089537</v>
      </c>
      <c r="E51" s="32">
        <v>146790.59275337835</v>
      </c>
      <c r="F51" s="31">
        <f t="shared" si="0"/>
        <v>27021.018547517015</v>
      </c>
      <c r="G51" s="33">
        <v>113</v>
      </c>
      <c r="H51" s="33">
        <v>1</v>
      </c>
      <c r="I51" s="3" t="s">
        <v>56</v>
      </c>
      <c r="J51" s="34">
        <v>40.870921666699999</v>
      </c>
      <c r="K51" s="34">
        <v>71.95438</v>
      </c>
      <c r="L51" s="20">
        <v>250</v>
      </c>
      <c r="M51" s="12" t="s">
        <v>78</v>
      </c>
      <c r="N51" s="12"/>
      <c r="O51" s="24" t="s">
        <v>19</v>
      </c>
    </row>
    <row r="52" spans="1:15" ht="30" customHeight="1">
      <c r="A52" s="7" t="s">
        <v>16</v>
      </c>
      <c r="B52" s="34" t="s">
        <v>611</v>
      </c>
      <c r="C52" s="34" t="s">
        <v>391</v>
      </c>
      <c r="D52" s="31">
        <v>102919.79093089532</v>
      </c>
      <c r="E52" s="32">
        <v>84768.002753378343</v>
      </c>
      <c r="F52" s="31">
        <f t="shared" si="0"/>
        <v>18151.788177516981</v>
      </c>
      <c r="G52" s="33">
        <v>75</v>
      </c>
      <c r="H52" s="33">
        <v>0</v>
      </c>
      <c r="I52" s="3" t="s">
        <v>56</v>
      </c>
      <c r="J52" s="34">
        <v>40.872001666700001</v>
      </c>
      <c r="K52" s="34">
        <v>72.092106666700005</v>
      </c>
      <c r="L52" s="20">
        <v>160</v>
      </c>
      <c r="M52" s="12" t="s">
        <v>79</v>
      </c>
      <c r="N52" s="12"/>
      <c r="O52" s="24" t="s">
        <v>19</v>
      </c>
    </row>
    <row r="53" spans="1:15" ht="30" customHeight="1">
      <c r="A53" s="7" t="s">
        <v>16</v>
      </c>
      <c r="B53" s="34" t="s">
        <v>607</v>
      </c>
      <c r="C53" s="34" t="s">
        <v>392</v>
      </c>
      <c r="D53" s="31">
        <v>148542.93311089533</v>
      </c>
      <c r="E53" s="32">
        <v>124683.26275337834</v>
      </c>
      <c r="F53" s="31">
        <f t="shared" si="0"/>
        <v>23859.670357516996</v>
      </c>
      <c r="G53" s="33">
        <v>118</v>
      </c>
      <c r="H53" s="33">
        <v>0</v>
      </c>
      <c r="I53" s="3" t="s">
        <v>56</v>
      </c>
      <c r="J53" s="34">
        <v>40.872906666699997</v>
      </c>
      <c r="K53" s="34">
        <v>71.953943333300003</v>
      </c>
      <c r="L53" s="20">
        <v>40</v>
      </c>
      <c r="M53" s="12" t="s">
        <v>80</v>
      </c>
      <c r="N53" s="12"/>
      <c r="O53" s="24" t="s">
        <v>19</v>
      </c>
    </row>
    <row r="54" spans="1:15" ht="30" customHeight="1">
      <c r="A54" s="7" t="s">
        <v>16</v>
      </c>
      <c r="B54" s="34" t="s">
        <v>605</v>
      </c>
      <c r="C54" s="34" t="s">
        <v>322</v>
      </c>
      <c r="D54" s="31">
        <v>118682.96108089533</v>
      </c>
      <c r="E54" s="32">
        <v>98559.052753378346</v>
      </c>
      <c r="F54" s="31">
        <f t="shared" si="0"/>
        <v>20123.908327516983</v>
      </c>
      <c r="G54" s="33">
        <v>76</v>
      </c>
      <c r="H54" s="33">
        <v>4</v>
      </c>
      <c r="I54" s="3" t="s">
        <v>26</v>
      </c>
      <c r="J54" s="34">
        <v>40.877846666700002</v>
      </c>
      <c r="K54" s="34">
        <v>71.933464999999998</v>
      </c>
      <c r="L54" s="20">
        <v>63</v>
      </c>
      <c r="M54" s="12" t="s">
        <v>81</v>
      </c>
      <c r="N54" s="12"/>
      <c r="O54" s="24" t="s">
        <v>19</v>
      </c>
    </row>
    <row r="55" spans="1:15" ht="30" customHeight="1">
      <c r="A55" s="7" t="s">
        <v>16</v>
      </c>
      <c r="B55" s="34" t="s">
        <v>607</v>
      </c>
      <c r="C55" s="34" t="s">
        <v>393</v>
      </c>
      <c r="D55" s="31">
        <v>156702.27290089533</v>
      </c>
      <c r="E55" s="32">
        <v>131821.79275337834</v>
      </c>
      <c r="F55" s="31">
        <f t="shared" si="0"/>
        <v>24880.480147516995</v>
      </c>
      <c r="G55" s="33">
        <v>106</v>
      </c>
      <c r="H55" s="33">
        <v>1</v>
      </c>
      <c r="I55" s="3" t="s">
        <v>26</v>
      </c>
      <c r="J55" s="34">
        <v>40.873988333299998</v>
      </c>
      <c r="K55" s="34">
        <v>71.962540000000004</v>
      </c>
      <c r="L55" s="20">
        <v>100</v>
      </c>
      <c r="M55" s="12" t="s">
        <v>83</v>
      </c>
      <c r="N55" s="12"/>
      <c r="O55" s="24" t="s">
        <v>19</v>
      </c>
    </row>
    <row r="56" spans="1:15" ht="30" customHeight="1">
      <c r="A56" s="7" t="s">
        <v>16</v>
      </c>
      <c r="B56" s="34" t="s">
        <v>607</v>
      </c>
      <c r="C56" s="34" t="s">
        <v>394</v>
      </c>
      <c r="D56" s="31">
        <v>58377.743870895334</v>
      </c>
      <c r="E56" s="32">
        <v>45798.582753378345</v>
      </c>
      <c r="F56" s="31">
        <f t="shared" si="0"/>
        <v>12579.161117516989</v>
      </c>
      <c r="G56" s="33">
        <v>30</v>
      </c>
      <c r="H56" s="33">
        <v>0</v>
      </c>
      <c r="I56" s="3" t="s">
        <v>84</v>
      </c>
      <c r="J56" s="34">
        <v>40.870921666500003</v>
      </c>
      <c r="K56" s="34">
        <v>71.95438</v>
      </c>
      <c r="L56" s="20">
        <v>160</v>
      </c>
      <c r="M56" s="12"/>
      <c r="N56" s="12" t="s">
        <v>85</v>
      </c>
      <c r="O56" s="24" t="s">
        <v>19</v>
      </c>
    </row>
    <row r="57" spans="1:15" ht="30" customHeight="1">
      <c r="A57" s="7" t="s">
        <v>16</v>
      </c>
      <c r="B57" s="34" t="s">
        <v>607</v>
      </c>
      <c r="C57" s="34" t="s">
        <v>395</v>
      </c>
      <c r="D57" s="31">
        <v>210096.14630089537</v>
      </c>
      <c r="E57" s="32">
        <v>178535.59275337835</v>
      </c>
      <c r="F57" s="31">
        <f t="shared" si="0"/>
        <v>31560.553547517018</v>
      </c>
      <c r="G57" s="33">
        <v>66</v>
      </c>
      <c r="H57" s="33">
        <v>0</v>
      </c>
      <c r="I57" s="3" t="s">
        <v>86</v>
      </c>
      <c r="J57" s="34">
        <v>40.875286666699999</v>
      </c>
      <c r="K57" s="34">
        <v>71.9537066667</v>
      </c>
      <c r="L57" s="20">
        <v>100</v>
      </c>
      <c r="M57" s="12" t="s">
        <v>87</v>
      </c>
      <c r="N57" s="12"/>
      <c r="O57" s="24" t="s">
        <v>19</v>
      </c>
    </row>
    <row r="58" spans="1:15" ht="30" customHeight="1">
      <c r="A58" s="7" t="s">
        <v>16</v>
      </c>
      <c r="B58" s="34" t="s">
        <v>605</v>
      </c>
      <c r="C58" s="34" t="s">
        <v>328</v>
      </c>
      <c r="D58" s="31">
        <v>139967.54132089537</v>
      </c>
      <c r="E58" s="32">
        <v>117180.73275337835</v>
      </c>
      <c r="F58" s="31">
        <f t="shared" si="0"/>
        <v>22786.808567517015</v>
      </c>
      <c r="G58" s="33">
        <v>82</v>
      </c>
      <c r="H58" s="33">
        <v>0</v>
      </c>
      <c r="I58" s="3" t="s">
        <v>75</v>
      </c>
      <c r="J58" s="34">
        <v>40.870680129199997</v>
      </c>
      <c r="K58" s="34">
        <v>71.958324657800006</v>
      </c>
      <c r="L58" s="20">
        <v>100</v>
      </c>
      <c r="M58" s="12" t="s">
        <v>88</v>
      </c>
      <c r="N58" s="12"/>
      <c r="O58" s="24" t="s">
        <v>19</v>
      </c>
    </row>
    <row r="59" spans="1:15" ht="30" customHeight="1">
      <c r="A59" s="7" t="s">
        <v>16</v>
      </c>
      <c r="B59" s="34" t="s">
        <v>605</v>
      </c>
      <c r="C59" s="34" t="s">
        <v>334</v>
      </c>
      <c r="D59" s="31">
        <v>262695.12035089533</v>
      </c>
      <c r="E59" s="32">
        <v>224553.94275337836</v>
      </c>
      <c r="F59" s="31">
        <f t="shared" si="0"/>
        <v>38141.177597516973</v>
      </c>
      <c r="G59" s="33">
        <v>124</v>
      </c>
      <c r="H59" s="33">
        <v>1</v>
      </c>
      <c r="I59" s="3" t="s">
        <v>53</v>
      </c>
      <c r="J59" s="34">
        <v>40.867751666700002</v>
      </c>
      <c r="K59" s="34">
        <v>71.964714999999998</v>
      </c>
      <c r="L59" s="20">
        <v>100</v>
      </c>
      <c r="M59" s="12" t="s">
        <v>89</v>
      </c>
      <c r="N59" s="12"/>
      <c r="O59" s="24" t="s">
        <v>19</v>
      </c>
    </row>
    <row r="60" spans="1:15" ht="30" customHeight="1">
      <c r="A60" s="7" t="s">
        <v>16</v>
      </c>
      <c r="B60" s="34" t="s">
        <v>605</v>
      </c>
      <c r="C60" s="34" t="s">
        <v>329</v>
      </c>
      <c r="D60" s="31">
        <v>212610.46055089537</v>
      </c>
      <c r="E60" s="32">
        <v>180735.34275337835</v>
      </c>
      <c r="F60" s="31">
        <f t="shared" si="0"/>
        <v>31875.117797517014</v>
      </c>
      <c r="G60" s="33">
        <v>69</v>
      </c>
      <c r="H60" s="33">
        <v>0</v>
      </c>
      <c r="I60" s="3" t="s">
        <v>53</v>
      </c>
      <c r="J60" s="34">
        <v>40.874960000000002</v>
      </c>
      <c r="K60" s="34">
        <v>71.946984999999998</v>
      </c>
      <c r="L60" s="20">
        <v>63</v>
      </c>
      <c r="M60" s="12" t="s">
        <v>90</v>
      </c>
      <c r="N60" s="12"/>
      <c r="O60" s="24" t="s">
        <v>19</v>
      </c>
    </row>
    <row r="61" spans="1:15" ht="30" customHeight="1">
      <c r="A61" s="7" t="s">
        <v>16</v>
      </c>
      <c r="B61" s="34" t="s">
        <v>605</v>
      </c>
      <c r="C61" s="34" t="s">
        <v>314</v>
      </c>
      <c r="D61" s="31">
        <v>40851.953420895341</v>
      </c>
      <c r="E61" s="32">
        <v>30465.432753378347</v>
      </c>
      <c r="F61" s="31">
        <f t="shared" si="0"/>
        <v>10386.520667516994</v>
      </c>
      <c r="G61" s="33">
        <v>18</v>
      </c>
      <c r="H61" s="33">
        <v>1</v>
      </c>
      <c r="I61" s="3" t="s">
        <v>75</v>
      </c>
      <c r="J61" s="34">
        <v>40.879668882099999</v>
      </c>
      <c r="K61" s="34">
        <v>71.946328058800006</v>
      </c>
      <c r="L61" s="14">
        <v>100</v>
      </c>
      <c r="M61" s="12" t="s">
        <v>91</v>
      </c>
      <c r="N61" s="12"/>
      <c r="O61" s="24" t="s">
        <v>19</v>
      </c>
    </row>
    <row r="62" spans="1:15" ht="30" customHeight="1">
      <c r="A62" s="7" t="s">
        <v>16</v>
      </c>
      <c r="B62" s="34" t="s">
        <v>605</v>
      </c>
      <c r="C62" s="34" t="s">
        <v>313</v>
      </c>
      <c r="D62" s="31">
        <v>147034.42457089535</v>
      </c>
      <c r="E62" s="32">
        <v>123363.48275337835</v>
      </c>
      <c r="F62" s="31">
        <f t="shared" si="0"/>
        <v>23670.941817516999</v>
      </c>
      <c r="G62" s="33">
        <v>49</v>
      </c>
      <c r="H62" s="33">
        <v>3</v>
      </c>
      <c r="I62" s="3" t="s">
        <v>26</v>
      </c>
      <c r="J62" s="34">
        <v>40.889975940799999</v>
      </c>
      <c r="K62" s="34">
        <v>71.955590816200001</v>
      </c>
      <c r="L62" s="14">
        <v>100</v>
      </c>
      <c r="M62" s="12" t="s">
        <v>92</v>
      </c>
      <c r="N62" s="12"/>
      <c r="O62" s="24" t="s">
        <v>19</v>
      </c>
    </row>
    <row r="63" spans="1:15" ht="30" customHeight="1">
      <c r="A63" s="7" t="s">
        <v>16</v>
      </c>
      <c r="B63" s="34" t="s">
        <v>608</v>
      </c>
      <c r="C63" s="34" t="s">
        <v>396</v>
      </c>
      <c r="D63" s="31">
        <v>532156.87886089529</v>
      </c>
      <c r="E63" s="32">
        <v>460303.51275337837</v>
      </c>
      <c r="F63" s="31">
        <f t="shared" si="0"/>
        <v>71853.366107516922</v>
      </c>
      <c r="G63" s="33">
        <v>27</v>
      </c>
      <c r="H63" s="33">
        <v>1</v>
      </c>
      <c r="I63" s="3" t="s">
        <v>86</v>
      </c>
      <c r="J63" s="34">
        <v>40.879336666500002</v>
      </c>
      <c r="K63" s="34">
        <v>71.986581666700005</v>
      </c>
      <c r="L63" s="14">
        <v>100</v>
      </c>
      <c r="M63" s="12"/>
      <c r="N63" s="12" t="s">
        <v>93</v>
      </c>
      <c r="O63" s="24" t="s">
        <v>19</v>
      </c>
    </row>
    <row r="64" spans="1:15" ht="30" customHeight="1">
      <c r="A64" s="7" t="s">
        <v>16</v>
      </c>
      <c r="B64" s="34" t="s">
        <v>608</v>
      </c>
      <c r="C64" s="34" t="s">
        <v>397</v>
      </c>
      <c r="D64" s="31">
        <v>533759.95922089531</v>
      </c>
      <c r="E64" s="32">
        <v>461706.03275337833</v>
      </c>
      <c r="F64" s="31">
        <f t="shared" si="0"/>
        <v>72053.926467516983</v>
      </c>
      <c r="G64" s="33">
        <v>145</v>
      </c>
      <c r="H64" s="33">
        <v>0</v>
      </c>
      <c r="I64" s="4" t="s">
        <v>94</v>
      </c>
      <c r="J64" s="34">
        <v>40.884120000000003</v>
      </c>
      <c r="K64" s="34">
        <v>71.971571666700001</v>
      </c>
      <c r="L64" s="14">
        <v>160</v>
      </c>
      <c r="M64" s="12" t="s">
        <v>95</v>
      </c>
      <c r="N64" s="12"/>
      <c r="O64" s="24" t="s">
        <v>19</v>
      </c>
    </row>
    <row r="65" spans="1:15" ht="30" customHeight="1">
      <c r="A65" s="7" t="s">
        <v>16</v>
      </c>
      <c r="B65" s="34" t="s">
        <v>605</v>
      </c>
      <c r="C65" s="34" t="s">
        <v>332</v>
      </c>
      <c r="D65" s="31">
        <v>188941.58231089538</v>
      </c>
      <c r="E65" s="32">
        <v>160027.66275337836</v>
      </c>
      <c r="F65" s="31">
        <f t="shared" si="0"/>
        <v>28913.919557517016</v>
      </c>
      <c r="G65" s="33">
        <v>60</v>
      </c>
      <c r="H65" s="33">
        <v>0</v>
      </c>
      <c r="I65" s="4" t="s">
        <v>94</v>
      </c>
      <c r="J65" s="34">
        <v>40.883293333300003</v>
      </c>
      <c r="K65" s="34">
        <v>71.964291666700007</v>
      </c>
      <c r="L65" s="14">
        <v>100</v>
      </c>
      <c r="M65" s="12" t="s">
        <v>96</v>
      </c>
      <c r="N65" s="12"/>
      <c r="O65" s="24" t="s">
        <v>19</v>
      </c>
    </row>
    <row r="66" spans="1:15" ht="30" customHeight="1">
      <c r="A66" s="7" t="s">
        <v>16</v>
      </c>
      <c r="B66" s="34" t="s">
        <v>609</v>
      </c>
      <c r="C66" s="34" t="s">
        <v>398</v>
      </c>
      <c r="D66" s="31">
        <v>379332.33818089537</v>
      </c>
      <c r="E66" s="32">
        <v>326598.75275337836</v>
      </c>
      <c r="F66" s="31">
        <f t="shared" si="0"/>
        <v>52733.585427517013</v>
      </c>
      <c r="G66" s="33">
        <v>86</v>
      </c>
      <c r="H66" s="33">
        <v>2</v>
      </c>
      <c r="I66" s="4" t="s">
        <v>94</v>
      </c>
      <c r="J66" s="34">
        <v>40.876348333300001</v>
      </c>
      <c r="K66" s="34">
        <v>71.981988333299995</v>
      </c>
      <c r="L66" s="14">
        <v>100</v>
      </c>
      <c r="M66" s="12" t="s">
        <v>97</v>
      </c>
      <c r="N66" s="12"/>
      <c r="O66" s="24" t="s">
        <v>19</v>
      </c>
    </row>
    <row r="67" spans="1:15" ht="30" customHeight="1">
      <c r="A67" s="7" t="s">
        <v>16</v>
      </c>
      <c r="B67" s="34" t="s">
        <v>605</v>
      </c>
      <c r="C67" s="34" t="s">
        <v>331</v>
      </c>
      <c r="D67" s="31">
        <v>147377.18741089533</v>
      </c>
      <c r="E67" s="32">
        <v>123663.36275337834</v>
      </c>
      <c r="F67" s="31">
        <f t="shared" si="0"/>
        <v>23713.824657516991</v>
      </c>
      <c r="G67" s="33">
        <v>72</v>
      </c>
      <c r="H67" s="33">
        <v>2</v>
      </c>
      <c r="I67" s="4" t="s">
        <v>94</v>
      </c>
      <c r="J67" s="34">
        <v>40.883031666699999</v>
      </c>
      <c r="K67" s="34">
        <v>71.961638333300002</v>
      </c>
      <c r="L67" s="14">
        <v>250</v>
      </c>
      <c r="M67" s="12" t="s">
        <v>98</v>
      </c>
      <c r="N67" s="12"/>
      <c r="O67" s="24" t="s">
        <v>19</v>
      </c>
    </row>
    <row r="68" spans="1:15" ht="30" customHeight="1">
      <c r="A68" s="7" t="s">
        <v>16</v>
      </c>
      <c r="B68" s="34" t="s">
        <v>605</v>
      </c>
      <c r="C68" s="34" t="s">
        <v>340</v>
      </c>
      <c r="D68" s="31">
        <v>284096.67521089537</v>
      </c>
      <c r="E68" s="32">
        <v>243277.96275337835</v>
      </c>
      <c r="F68" s="31">
        <f t="shared" ref="F68:F131" si="1">+D68-E68</f>
        <v>40818.712457517016</v>
      </c>
      <c r="G68" s="33">
        <v>75</v>
      </c>
      <c r="H68" s="33">
        <v>3</v>
      </c>
      <c r="I68" s="4" t="s">
        <v>86</v>
      </c>
      <c r="J68" s="34">
        <v>40.893335</v>
      </c>
      <c r="K68" s="34">
        <v>71.929253333299997</v>
      </c>
      <c r="L68" s="14">
        <v>160</v>
      </c>
      <c r="M68" s="12"/>
      <c r="N68" s="12" t="s">
        <v>99</v>
      </c>
      <c r="O68" s="24" t="s">
        <v>19</v>
      </c>
    </row>
    <row r="69" spans="1:15" ht="30" customHeight="1">
      <c r="A69" s="7" t="s">
        <v>16</v>
      </c>
      <c r="B69" s="34" t="s">
        <v>605</v>
      </c>
      <c r="C69" s="34" t="s">
        <v>336</v>
      </c>
      <c r="D69" s="31">
        <v>222910.46789089538</v>
      </c>
      <c r="E69" s="32">
        <v>189746.72275337836</v>
      </c>
      <c r="F69" s="31">
        <f t="shared" si="1"/>
        <v>33163.74513751702</v>
      </c>
      <c r="G69" s="33">
        <v>59</v>
      </c>
      <c r="H69" s="33">
        <v>0</v>
      </c>
      <c r="I69" s="4" t="s">
        <v>86</v>
      </c>
      <c r="J69" s="34">
        <v>40.891123333300001</v>
      </c>
      <c r="K69" s="34">
        <v>71.940986666699999</v>
      </c>
      <c r="L69" s="14">
        <v>100</v>
      </c>
      <c r="M69" s="12" t="s">
        <v>100</v>
      </c>
      <c r="N69" s="12"/>
      <c r="O69" s="24" t="s">
        <v>19</v>
      </c>
    </row>
    <row r="70" spans="1:15" ht="30" customHeight="1">
      <c r="A70" s="7" t="s">
        <v>16</v>
      </c>
      <c r="B70" s="34" t="s">
        <v>605</v>
      </c>
      <c r="C70" s="34" t="s">
        <v>326</v>
      </c>
      <c r="D70" s="31">
        <v>132770.24177089531</v>
      </c>
      <c r="E70" s="32">
        <v>110883.88275337833</v>
      </c>
      <c r="F70" s="31">
        <f t="shared" si="1"/>
        <v>21886.359017516981</v>
      </c>
      <c r="G70" s="33">
        <v>25</v>
      </c>
      <c r="H70" s="33">
        <v>1</v>
      </c>
      <c r="I70" s="6" t="s">
        <v>86</v>
      </c>
      <c r="J70" s="34">
        <v>40.880083115799998</v>
      </c>
      <c r="K70" s="34">
        <v>71.942641781600003</v>
      </c>
      <c r="L70" s="14">
        <v>250</v>
      </c>
      <c r="M70" s="12" t="s">
        <v>101</v>
      </c>
      <c r="N70" s="12"/>
      <c r="O70" s="24" t="s">
        <v>19</v>
      </c>
    </row>
    <row r="71" spans="1:15" ht="30" customHeight="1">
      <c r="A71" s="7" t="s">
        <v>16</v>
      </c>
      <c r="B71" s="34" t="s">
        <v>605</v>
      </c>
      <c r="C71" s="34" t="s">
        <v>319</v>
      </c>
      <c r="D71" s="31">
        <v>177851.07617089537</v>
      </c>
      <c r="E71" s="32">
        <v>150324.68275337835</v>
      </c>
      <c r="F71" s="31">
        <f t="shared" si="1"/>
        <v>27526.393417517014</v>
      </c>
      <c r="G71" s="33">
        <v>135</v>
      </c>
      <c r="H71" s="33">
        <v>1</v>
      </c>
      <c r="I71" s="6" t="s">
        <v>94</v>
      </c>
      <c r="J71" s="34">
        <v>40.874026666600002</v>
      </c>
      <c r="K71" s="34">
        <v>72.094549999700007</v>
      </c>
      <c r="L71" s="19">
        <v>100</v>
      </c>
      <c r="M71" s="12" t="s">
        <v>102</v>
      </c>
      <c r="N71" s="12"/>
      <c r="O71" s="24" t="s">
        <v>19</v>
      </c>
    </row>
    <row r="72" spans="1:15" ht="30" customHeight="1">
      <c r="A72" s="5" t="s">
        <v>103</v>
      </c>
      <c r="B72" s="34" t="s">
        <v>607</v>
      </c>
      <c r="C72" s="34" t="s">
        <v>399</v>
      </c>
      <c r="D72" s="31">
        <v>169675.09430089535</v>
      </c>
      <c r="E72" s="32">
        <v>143171.59275337835</v>
      </c>
      <c r="F72" s="31">
        <f t="shared" si="1"/>
        <v>26503.501547516993</v>
      </c>
      <c r="G72" s="33">
        <v>64</v>
      </c>
      <c r="H72" s="33">
        <v>1</v>
      </c>
      <c r="I72" s="6" t="s">
        <v>104</v>
      </c>
      <c r="J72" s="34">
        <v>40.875187246099998</v>
      </c>
      <c r="K72" s="34">
        <v>71.961364354899999</v>
      </c>
      <c r="L72" s="20">
        <v>60</v>
      </c>
      <c r="M72" s="12" t="s">
        <v>105</v>
      </c>
      <c r="N72" s="12"/>
      <c r="O72" s="24" t="s">
        <v>19</v>
      </c>
    </row>
    <row r="73" spans="1:15" ht="30" customHeight="1">
      <c r="A73" s="5" t="s">
        <v>103</v>
      </c>
      <c r="B73" s="34" t="s">
        <v>605</v>
      </c>
      <c r="C73" s="34" t="s">
        <v>338</v>
      </c>
      <c r="D73" s="31">
        <v>132350.58932089535</v>
      </c>
      <c r="E73" s="32">
        <v>110516.73275337835</v>
      </c>
      <c r="F73" s="31">
        <f t="shared" si="1"/>
        <v>21833.856567516996</v>
      </c>
      <c r="G73" s="33">
        <v>27</v>
      </c>
      <c r="H73" s="33">
        <v>0</v>
      </c>
      <c r="I73" s="3" t="s">
        <v>106</v>
      </c>
      <c r="J73" s="34">
        <v>40.876370000000001</v>
      </c>
      <c r="K73" s="34">
        <v>71.934290000000004</v>
      </c>
      <c r="L73" s="20">
        <v>100</v>
      </c>
      <c r="M73" s="12" t="s">
        <v>107</v>
      </c>
      <c r="N73" s="12"/>
      <c r="O73" s="24" t="s">
        <v>19</v>
      </c>
    </row>
    <row r="74" spans="1:15" ht="30" customHeight="1">
      <c r="A74" s="5" t="s">
        <v>103</v>
      </c>
      <c r="B74" s="34" t="s">
        <v>608</v>
      </c>
      <c r="C74" s="34" t="s">
        <v>400</v>
      </c>
      <c r="D74" s="31">
        <v>67123.236920895346</v>
      </c>
      <c r="E74" s="32">
        <v>53449.932753378351</v>
      </c>
      <c r="F74" s="31">
        <f t="shared" si="1"/>
        <v>13673.304167516995</v>
      </c>
      <c r="G74" s="33">
        <v>109</v>
      </c>
      <c r="H74" s="33">
        <v>1</v>
      </c>
      <c r="I74" s="3" t="s">
        <v>106</v>
      </c>
      <c r="J74" s="34">
        <v>40.871744999999997</v>
      </c>
      <c r="K74" s="34">
        <v>71.974869999999996</v>
      </c>
      <c r="L74" s="20">
        <v>160</v>
      </c>
      <c r="M74" s="12"/>
      <c r="N74" s="12" t="s">
        <v>108</v>
      </c>
      <c r="O74" s="24" t="s">
        <v>19</v>
      </c>
    </row>
    <row r="75" spans="1:15" ht="30" customHeight="1">
      <c r="A75" s="5" t="s">
        <v>103</v>
      </c>
      <c r="B75" s="34" t="s">
        <v>608</v>
      </c>
      <c r="C75" s="34" t="s">
        <v>401</v>
      </c>
      <c r="D75" s="31">
        <v>71933.918180895329</v>
      </c>
      <c r="E75" s="32">
        <v>57658.752753378343</v>
      </c>
      <c r="F75" s="31">
        <f t="shared" si="1"/>
        <v>14275.165427516986</v>
      </c>
      <c r="G75" s="33">
        <v>11</v>
      </c>
      <c r="H75" s="33">
        <v>0</v>
      </c>
      <c r="I75" s="3" t="s">
        <v>106</v>
      </c>
      <c r="J75" s="34">
        <v>40.876070782500001</v>
      </c>
      <c r="K75" s="34">
        <v>71.971403360400004</v>
      </c>
      <c r="L75" s="20">
        <v>250</v>
      </c>
      <c r="M75" s="12" t="s">
        <v>109</v>
      </c>
      <c r="N75" s="12"/>
      <c r="O75" s="24" t="s">
        <v>19</v>
      </c>
    </row>
    <row r="76" spans="1:15" ht="30" customHeight="1">
      <c r="A76" s="5" t="s">
        <v>103</v>
      </c>
      <c r="B76" s="34" t="s">
        <v>608</v>
      </c>
      <c r="C76" s="34" t="s">
        <v>402</v>
      </c>
      <c r="D76" s="31">
        <v>192898.55687089535</v>
      </c>
      <c r="E76" s="32">
        <v>163489.58275337834</v>
      </c>
      <c r="F76" s="31">
        <f t="shared" si="1"/>
        <v>29408.974117517006</v>
      </c>
      <c r="G76" s="33">
        <v>60</v>
      </c>
      <c r="H76" s="33">
        <v>0</v>
      </c>
      <c r="I76" s="3" t="s">
        <v>111</v>
      </c>
      <c r="J76" s="34">
        <v>40.882694999999998</v>
      </c>
      <c r="K76" s="34">
        <v>71.966549999999998</v>
      </c>
      <c r="L76" s="20">
        <v>250</v>
      </c>
      <c r="M76" s="12" t="s">
        <v>112</v>
      </c>
      <c r="N76" s="12"/>
      <c r="O76" s="24" t="s">
        <v>19</v>
      </c>
    </row>
    <row r="77" spans="1:15" ht="30" customHeight="1">
      <c r="A77" s="5" t="s">
        <v>103</v>
      </c>
      <c r="B77" s="34" t="s">
        <v>605</v>
      </c>
      <c r="C77" s="34" t="s">
        <v>325</v>
      </c>
      <c r="D77" s="31">
        <v>151036.52477089534</v>
      </c>
      <c r="E77" s="32">
        <v>126864.88275337833</v>
      </c>
      <c r="F77" s="31">
        <f t="shared" si="1"/>
        <v>24171.642017517006</v>
      </c>
      <c r="G77" s="33">
        <v>95</v>
      </c>
      <c r="H77" s="33">
        <v>0</v>
      </c>
      <c r="I77" s="3" t="s">
        <v>111</v>
      </c>
      <c r="J77" s="34">
        <v>40.881264999999999</v>
      </c>
      <c r="K77" s="34">
        <v>71.952876666700007</v>
      </c>
      <c r="L77" s="20">
        <v>160</v>
      </c>
      <c r="M77" s="12" t="s">
        <v>113</v>
      </c>
      <c r="N77" s="12"/>
      <c r="O77" s="24" t="s">
        <v>19</v>
      </c>
    </row>
    <row r="78" spans="1:15" ht="30" customHeight="1">
      <c r="A78" s="5" t="s">
        <v>103</v>
      </c>
      <c r="B78" s="34" t="s">
        <v>608</v>
      </c>
      <c r="C78" s="34" t="s">
        <v>403</v>
      </c>
      <c r="D78" s="31">
        <v>279943.83617089537</v>
      </c>
      <c r="E78" s="32">
        <v>239644.68275337835</v>
      </c>
      <c r="F78" s="31">
        <f t="shared" si="1"/>
        <v>40299.153417517024</v>
      </c>
      <c r="G78" s="33">
        <v>93</v>
      </c>
      <c r="H78" s="33">
        <v>0</v>
      </c>
      <c r="I78" s="3" t="s">
        <v>114</v>
      </c>
      <c r="J78" s="34">
        <v>40.879336666500002</v>
      </c>
      <c r="K78" s="34">
        <v>71.986581666700005</v>
      </c>
      <c r="L78" s="20">
        <v>100</v>
      </c>
      <c r="M78" s="12" t="s">
        <v>115</v>
      </c>
      <c r="N78" s="12"/>
      <c r="O78" s="24" t="s">
        <v>19</v>
      </c>
    </row>
    <row r="79" spans="1:15" ht="30" customHeight="1">
      <c r="A79" s="5" t="s">
        <v>103</v>
      </c>
      <c r="B79" s="34" t="s">
        <v>608</v>
      </c>
      <c r="C79" s="34" t="s">
        <v>404</v>
      </c>
      <c r="D79" s="31">
        <v>519167.57540089532</v>
      </c>
      <c r="E79" s="32">
        <v>448939.29275337834</v>
      </c>
      <c r="F79" s="31">
        <f t="shared" si="1"/>
        <v>70228.282647516986</v>
      </c>
      <c r="G79" s="33">
        <v>104</v>
      </c>
      <c r="H79" s="33">
        <v>3</v>
      </c>
      <c r="I79" s="3" t="s">
        <v>116</v>
      </c>
      <c r="J79" s="34">
        <v>40.874789999999997</v>
      </c>
      <c r="K79" s="34">
        <v>71.973321666700002</v>
      </c>
      <c r="L79" s="20">
        <v>160</v>
      </c>
      <c r="M79" s="12" t="s">
        <v>117</v>
      </c>
      <c r="N79" s="12"/>
      <c r="O79" s="24" t="s">
        <v>19</v>
      </c>
    </row>
    <row r="80" spans="1:15" ht="30" customHeight="1">
      <c r="A80" s="5" t="s">
        <v>103</v>
      </c>
      <c r="B80" s="34" t="s">
        <v>608</v>
      </c>
      <c r="C80" s="34" t="s">
        <v>405</v>
      </c>
      <c r="D80" s="31">
        <v>100301.06363089533</v>
      </c>
      <c r="E80" s="32">
        <v>82476.902753378337</v>
      </c>
      <c r="F80" s="31">
        <f t="shared" si="1"/>
        <v>17824.160877516988</v>
      </c>
      <c r="G80" s="33">
        <v>54</v>
      </c>
      <c r="H80" s="33">
        <v>2</v>
      </c>
      <c r="I80" s="3" t="s">
        <v>118</v>
      </c>
      <c r="J80" s="34">
        <v>40.870626666699998</v>
      </c>
      <c r="K80" s="34">
        <v>72.030681666700005</v>
      </c>
      <c r="L80" s="20">
        <v>160</v>
      </c>
      <c r="M80" s="12" t="s">
        <v>119</v>
      </c>
      <c r="N80" s="12"/>
      <c r="O80" s="24" t="s">
        <v>19</v>
      </c>
    </row>
    <row r="81" spans="1:15" ht="30" customHeight="1">
      <c r="A81" s="5" t="s">
        <v>103</v>
      </c>
      <c r="B81" s="34" t="s">
        <v>608</v>
      </c>
      <c r="C81" s="34" t="s">
        <v>406</v>
      </c>
      <c r="D81" s="31">
        <v>127109.53427089531</v>
      </c>
      <c r="E81" s="32">
        <v>105931.38275337833</v>
      </c>
      <c r="F81" s="31">
        <f t="shared" si="1"/>
        <v>21178.151517516977</v>
      </c>
      <c r="G81" s="33">
        <v>92</v>
      </c>
      <c r="H81" s="33">
        <v>1</v>
      </c>
      <c r="I81" s="3" t="s">
        <v>120</v>
      </c>
      <c r="J81" s="34">
        <v>40.885669999999998</v>
      </c>
      <c r="K81" s="34">
        <v>71.975136666699996</v>
      </c>
      <c r="L81" s="20">
        <v>160</v>
      </c>
      <c r="M81" s="12" t="s">
        <v>121</v>
      </c>
      <c r="N81" s="12"/>
      <c r="O81" s="24" t="s">
        <v>19</v>
      </c>
    </row>
    <row r="82" spans="1:15" ht="30" customHeight="1">
      <c r="A82" s="7" t="s">
        <v>16</v>
      </c>
      <c r="B82" s="34" t="s">
        <v>608</v>
      </c>
      <c r="C82" s="34" t="s">
        <v>407</v>
      </c>
      <c r="D82" s="31">
        <v>87647.722160895326</v>
      </c>
      <c r="E82" s="32">
        <v>71406.612753378344</v>
      </c>
      <c r="F82" s="31">
        <f t="shared" si="1"/>
        <v>16241.109407516982</v>
      </c>
      <c r="G82" s="33">
        <v>76</v>
      </c>
      <c r="H82" s="33">
        <v>3</v>
      </c>
      <c r="I82" s="3" t="s">
        <v>58</v>
      </c>
      <c r="J82" s="34">
        <v>40.875881666700003</v>
      </c>
      <c r="K82" s="34">
        <v>71.976506666700004</v>
      </c>
      <c r="L82" s="20">
        <v>63</v>
      </c>
      <c r="M82" s="12" t="s">
        <v>122</v>
      </c>
      <c r="N82" s="12"/>
      <c r="O82" s="24" t="s">
        <v>19</v>
      </c>
    </row>
    <row r="83" spans="1:15" ht="30" customHeight="1">
      <c r="A83" s="5" t="s">
        <v>103</v>
      </c>
      <c r="B83" s="34" t="s">
        <v>610</v>
      </c>
      <c r="C83" s="34" t="s">
        <v>408</v>
      </c>
      <c r="D83" s="31">
        <v>199804.86005089537</v>
      </c>
      <c r="E83" s="32">
        <v>169531.84275337835</v>
      </c>
      <c r="F83" s="31">
        <f t="shared" si="1"/>
        <v>30273.017297517014</v>
      </c>
      <c r="G83" s="33">
        <v>152</v>
      </c>
      <c r="H83" s="33">
        <v>1</v>
      </c>
      <c r="I83" s="3" t="s">
        <v>123</v>
      </c>
      <c r="J83" s="34">
        <v>40.876424999999998</v>
      </c>
      <c r="K83" s="34">
        <v>72.024273333300002</v>
      </c>
      <c r="L83" s="20">
        <v>100</v>
      </c>
      <c r="M83" s="12" t="s">
        <v>124</v>
      </c>
      <c r="N83" s="12"/>
      <c r="O83" s="24" t="s">
        <v>19</v>
      </c>
    </row>
    <row r="84" spans="1:15" ht="30" customHeight="1">
      <c r="A84" s="7" t="s">
        <v>16</v>
      </c>
      <c r="B84" s="34" t="s">
        <v>608</v>
      </c>
      <c r="C84" s="34" t="s">
        <v>409</v>
      </c>
      <c r="D84" s="31">
        <v>104875.79540089534</v>
      </c>
      <c r="E84" s="32">
        <v>86479.292753378351</v>
      </c>
      <c r="F84" s="31">
        <f t="shared" si="1"/>
        <v>18396.502647516987</v>
      </c>
      <c r="G84" s="33">
        <v>167</v>
      </c>
      <c r="H84" s="33">
        <v>1</v>
      </c>
      <c r="I84" s="3"/>
      <c r="J84" s="34">
        <v>40.870156999999999</v>
      </c>
      <c r="K84" s="34">
        <v>71.971063000000001</v>
      </c>
      <c r="L84" s="20">
        <v>100</v>
      </c>
      <c r="M84" s="12"/>
      <c r="N84" s="12" t="s">
        <v>125</v>
      </c>
      <c r="O84" s="24" t="s">
        <v>19</v>
      </c>
    </row>
    <row r="85" spans="1:15" ht="30" customHeight="1">
      <c r="A85" s="7" t="s">
        <v>16</v>
      </c>
      <c r="B85" s="34" t="s">
        <v>609</v>
      </c>
      <c r="C85" s="34" t="s">
        <v>410</v>
      </c>
      <c r="D85" s="31">
        <v>136854.35222089535</v>
      </c>
      <c r="E85" s="32">
        <v>114457.03275337834</v>
      </c>
      <c r="F85" s="31">
        <f t="shared" si="1"/>
        <v>22397.319467517009</v>
      </c>
      <c r="G85" s="33">
        <v>73</v>
      </c>
      <c r="H85" s="33">
        <v>1</v>
      </c>
      <c r="I85" s="3"/>
      <c r="J85" s="34">
        <v>40.8745966667</v>
      </c>
      <c r="K85" s="34">
        <v>71.988754999999998</v>
      </c>
      <c r="L85" s="20">
        <v>160</v>
      </c>
      <c r="M85" s="12" t="s">
        <v>126</v>
      </c>
      <c r="N85" s="12"/>
      <c r="O85" s="24" t="s">
        <v>19</v>
      </c>
    </row>
    <row r="86" spans="1:15" ht="30" customHeight="1">
      <c r="A86" s="7" t="s">
        <v>16</v>
      </c>
      <c r="B86" s="34" t="s">
        <v>610</v>
      </c>
      <c r="C86" s="34" t="s">
        <v>411</v>
      </c>
      <c r="D86" s="31">
        <v>115180.12328089532</v>
      </c>
      <c r="E86" s="32">
        <v>95494.45275337834</v>
      </c>
      <c r="F86" s="31">
        <f t="shared" si="1"/>
        <v>19685.670527516981</v>
      </c>
      <c r="G86" s="33">
        <v>55</v>
      </c>
      <c r="H86" s="33">
        <v>1</v>
      </c>
      <c r="I86" s="4"/>
      <c r="J86" s="34">
        <v>40.878901666700003</v>
      </c>
      <c r="K86" s="34">
        <v>72.031078333300002</v>
      </c>
      <c r="L86" s="20">
        <v>250</v>
      </c>
      <c r="M86" s="12" t="s">
        <v>127</v>
      </c>
      <c r="N86" s="12"/>
      <c r="O86" s="24" t="s">
        <v>19</v>
      </c>
    </row>
    <row r="87" spans="1:15" ht="30" customHeight="1">
      <c r="A87" s="7" t="s">
        <v>16</v>
      </c>
      <c r="B87" s="34" t="s">
        <v>610</v>
      </c>
      <c r="C87" s="34" t="s">
        <v>412</v>
      </c>
      <c r="D87" s="31">
        <v>86112.010220895332</v>
      </c>
      <c r="E87" s="32">
        <v>70063.032753378342</v>
      </c>
      <c r="F87" s="31">
        <f t="shared" si="1"/>
        <v>16048.97746751699</v>
      </c>
      <c r="G87" s="33">
        <v>34</v>
      </c>
      <c r="H87" s="33">
        <v>0</v>
      </c>
      <c r="I87" s="4"/>
      <c r="J87" s="34">
        <v>40.877465000000001</v>
      </c>
      <c r="K87" s="34">
        <v>72.08811</v>
      </c>
      <c r="L87" s="20">
        <v>100</v>
      </c>
      <c r="M87" s="12"/>
      <c r="N87" s="12" t="s">
        <v>128</v>
      </c>
      <c r="O87" s="24" t="s">
        <v>19</v>
      </c>
    </row>
    <row r="88" spans="1:15" ht="30" customHeight="1">
      <c r="A88" s="7" t="s">
        <v>16</v>
      </c>
      <c r="B88" s="34" t="s">
        <v>610</v>
      </c>
      <c r="C88" s="34" t="s">
        <v>413</v>
      </c>
      <c r="D88" s="31">
        <v>120890.83703089533</v>
      </c>
      <c r="E88" s="32">
        <v>100490.70275337834</v>
      </c>
      <c r="F88" s="31">
        <f t="shared" si="1"/>
        <v>20400.134277516991</v>
      </c>
      <c r="G88" s="33">
        <v>90</v>
      </c>
      <c r="H88" s="33">
        <v>2</v>
      </c>
      <c r="I88" s="4"/>
      <c r="J88" s="34">
        <v>40.875194999999998</v>
      </c>
      <c r="K88" s="34">
        <v>72.038955000000001</v>
      </c>
      <c r="L88" s="20">
        <v>100</v>
      </c>
      <c r="M88" s="12" t="s">
        <v>129</v>
      </c>
      <c r="N88" s="12"/>
      <c r="O88" s="24" t="s">
        <v>19</v>
      </c>
    </row>
    <row r="89" spans="1:15" ht="30" customHeight="1">
      <c r="A89" s="7" t="s">
        <v>16</v>
      </c>
      <c r="B89" s="34" t="s">
        <v>610</v>
      </c>
      <c r="C89" s="34" t="s">
        <v>414</v>
      </c>
      <c r="D89" s="31">
        <v>59701.989380895342</v>
      </c>
      <c r="E89" s="32">
        <v>46957.152753378352</v>
      </c>
      <c r="F89" s="31">
        <f t="shared" si="1"/>
        <v>12744.83662751699</v>
      </c>
      <c r="G89" s="33">
        <v>72</v>
      </c>
      <c r="H89" s="33">
        <v>0</v>
      </c>
      <c r="I89" s="4" t="s">
        <v>17</v>
      </c>
      <c r="J89" s="34">
        <v>40.879893333299997</v>
      </c>
      <c r="K89" s="34">
        <v>72.067336666700001</v>
      </c>
      <c r="L89" s="20">
        <v>250</v>
      </c>
      <c r="M89" s="12" t="s">
        <v>130</v>
      </c>
      <c r="N89" s="12"/>
      <c r="O89" s="24" t="s">
        <v>19</v>
      </c>
    </row>
    <row r="90" spans="1:15" ht="30" customHeight="1">
      <c r="A90" s="7" t="s">
        <v>16</v>
      </c>
      <c r="B90" s="34" t="s">
        <v>610</v>
      </c>
      <c r="C90" s="34" t="s">
        <v>415</v>
      </c>
      <c r="D90" s="31">
        <v>204404.63495089539</v>
      </c>
      <c r="E90" s="32">
        <v>173556.14275337837</v>
      </c>
      <c r="F90" s="31">
        <f t="shared" si="1"/>
        <v>30848.492197517015</v>
      </c>
      <c r="G90" s="33">
        <v>78</v>
      </c>
      <c r="H90" s="33">
        <v>0</v>
      </c>
      <c r="I90" s="4" t="s">
        <v>64</v>
      </c>
      <c r="J90" s="34">
        <v>40.878976666699998</v>
      </c>
      <c r="K90" s="34">
        <v>72.029004999999998</v>
      </c>
      <c r="L90" s="14">
        <v>250</v>
      </c>
      <c r="M90" s="12" t="s">
        <v>131</v>
      </c>
      <c r="N90" s="12"/>
      <c r="O90" s="24" t="s">
        <v>19</v>
      </c>
    </row>
    <row r="91" spans="1:15" ht="30" customHeight="1">
      <c r="A91" s="7" t="s">
        <v>16</v>
      </c>
      <c r="B91" s="34" t="s">
        <v>605</v>
      </c>
      <c r="C91" s="34" t="s">
        <v>342</v>
      </c>
      <c r="D91" s="31">
        <v>181886.62055089534</v>
      </c>
      <c r="E91" s="32">
        <v>153855.34275337835</v>
      </c>
      <c r="F91" s="31">
        <f t="shared" si="1"/>
        <v>28031.277797516988</v>
      </c>
      <c r="G91" s="33">
        <v>124</v>
      </c>
      <c r="H91" s="33">
        <v>1</v>
      </c>
      <c r="I91" s="4" t="s">
        <v>58</v>
      </c>
      <c r="J91" s="34">
        <v>40.881158094900002</v>
      </c>
      <c r="K91" s="34">
        <v>71.960061555699994</v>
      </c>
      <c r="L91" s="14">
        <v>250</v>
      </c>
      <c r="M91" s="12" t="s">
        <v>132</v>
      </c>
      <c r="N91" s="12"/>
      <c r="O91" s="24" t="s">
        <v>19</v>
      </c>
    </row>
    <row r="92" spans="1:15" ht="30" customHeight="1">
      <c r="A92" s="7" t="s">
        <v>16</v>
      </c>
      <c r="B92" s="34" t="s">
        <v>609</v>
      </c>
      <c r="C92" s="34" t="s">
        <v>416</v>
      </c>
      <c r="D92" s="31">
        <v>171775.43681089533</v>
      </c>
      <c r="E92" s="32">
        <v>145009.16275337833</v>
      </c>
      <c r="F92" s="31">
        <f t="shared" si="1"/>
        <v>26766.274057517003</v>
      </c>
      <c r="G92" s="33">
        <v>93</v>
      </c>
      <c r="H92" s="33">
        <v>2</v>
      </c>
      <c r="I92" s="4" t="s">
        <v>133</v>
      </c>
      <c r="J92" s="34">
        <v>40.880791666699999</v>
      </c>
      <c r="K92" s="34">
        <v>72.024038333299998</v>
      </c>
      <c r="L92" s="14">
        <v>160</v>
      </c>
      <c r="M92" s="12" t="s">
        <v>134</v>
      </c>
      <c r="N92" s="12"/>
      <c r="O92" s="24" t="s">
        <v>19</v>
      </c>
    </row>
    <row r="93" spans="1:15" ht="30" customHeight="1">
      <c r="A93" s="7" t="s">
        <v>16</v>
      </c>
      <c r="B93" s="34" t="s">
        <v>610</v>
      </c>
      <c r="C93" s="34" t="s">
        <v>417</v>
      </c>
      <c r="D93" s="31">
        <v>185000.92979089537</v>
      </c>
      <c r="E93" s="32">
        <v>156580.02275337838</v>
      </c>
      <c r="F93" s="31">
        <f t="shared" si="1"/>
        <v>28420.907037516998</v>
      </c>
      <c r="G93" s="33">
        <v>94</v>
      </c>
      <c r="H93" s="33">
        <v>1</v>
      </c>
      <c r="I93" s="4" t="s">
        <v>58</v>
      </c>
      <c r="J93" s="34">
        <v>40.880018333300001</v>
      </c>
      <c r="K93" s="34">
        <v>72.078343333299998</v>
      </c>
      <c r="L93" s="14">
        <v>100</v>
      </c>
      <c r="M93" s="12" t="s">
        <v>135</v>
      </c>
      <c r="N93" s="12"/>
      <c r="O93" s="24" t="s">
        <v>19</v>
      </c>
    </row>
    <row r="94" spans="1:15" ht="30" customHeight="1">
      <c r="A94" s="7" t="s">
        <v>16</v>
      </c>
      <c r="B94" s="34" t="s">
        <v>608</v>
      </c>
      <c r="C94" s="34" t="s">
        <v>418</v>
      </c>
      <c r="D94" s="31">
        <v>277086.99911089538</v>
      </c>
      <c r="E94" s="32">
        <v>237145.26275337837</v>
      </c>
      <c r="F94" s="31">
        <f t="shared" si="1"/>
        <v>39941.736357517017</v>
      </c>
      <c r="G94" s="33">
        <v>149</v>
      </c>
      <c r="H94" s="33">
        <v>1</v>
      </c>
      <c r="I94" s="3" t="s">
        <v>17</v>
      </c>
      <c r="J94" s="34">
        <v>40.878603333299999</v>
      </c>
      <c r="K94" s="34">
        <v>71.966620000000006</v>
      </c>
      <c r="L94" s="14">
        <v>100</v>
      </c>
      <c r="M94" s="12" t="s">
        <v>136</v>
      </c>
      <c r="N94" s="12"/>
      <c r="O94" s="24" t="s">
        <v>19</v>
      </c>
    </row>
    <row r="95" spans="1:15" ht="30" customHeight="1">
      <c r="A95" s="7" t="s">
        <v>16</v>
      </c>
      <c r="B95" s="34" t="s">
        <v>611</v>
      </c>
      <c r="C95" s="34" t="s">
        <v>419</v>
      </c>
      <c r="D95" s="31">
        <v>117712.19975089534</v>
      </c>
      <c r="E95" s="32">
        <v>97709.742753378348</v>
      </c>
      <c r="F95" s="31">
        <f t="shared" si="1"/>
        <v>20002.456997516987</v>
      </c>
      <c r="G95" s="33">
        <v>96</v>
      </c>
      <c r="H95" s="33">
        <v>2</v>
      </c>
      <c r="I95" s="5" t="s">
        <v>133</v>
      </c>
      <c r="J95" s="34">
        <v>40.858133333300003</v>
      </c>
      <c r="K95" s="34">
        <v>72.060698333299996</v>
      </c>
      <c r="L95" s="14">
        <v>100</v>
      </c>
      <c r="M95" s="12" t="s">
        <v>137</v>
      </c>
      <c r="N95" s="12"/>
      <c r="O95" s="24" t="s">
        <v>19</v>
      </c>
    </row>
    <row r="96" spans="1:15" ht="30" customHeight="1">
      <c r="A96" s="7" t="s">
        <v>16</v>
      </c>
      <c r="B96" s="34" t="s">
        <v>610</v>
      </c>
      <c r="C96" s="34" t="s">
        <v>420</v>
      </c>
      <c r="D96" s="31">
        <v>68999.791460895343</v>
      </c>
      <c r="E96" s="32">
        <v>55091.71275337835</v>
      </c>
      <c r="F96" s="31">
        <f t="shared" si="1"/>
        <v>13908.078707516994</v>
      </c>
      <c r="G96" s="33">
        <v>63</v>
      </c>
      <c r="H96" s="33">
        <v>2</v>
      </c>
      <c r="I96" s="5" t="s">
        <v>133</v>
      </c>
      <c r="J96" s="34">
        <v>40.879048333299998</v>
      </c>
      <c r="K96" s="34">
        <v>72.052588333299994</v>
      </c>
      <c r="L96" s="14">
        <v>100</v>
      </c>
      <c r="M96" s="12" t="s">
        <v>138</v>
      </c>
      <c r="N96" s="12"/>
      <c r="O96" s="24" t="s">
        <v>19</v>
      </c>
    </row>
    <row r="97" spans="1:15" ht="30" customHeight="1">
      <c r="A97" s="7" t="s">
        <v>16</v>
      </c>
      <c r="B97" s="34" t="s">
        <v>609</v>
      </c>
      <c r="C97" s="34" t="s">
        <v>421</v>
      </c>
      <c r="D97" s="31">
        <v>127831.22447089532</v>
      </c>
      <c r="E97" s="32">
        <v>106562.78275337834</v>
      </c>
      <c r="F97" s="31">
        <f t="shared" si="1"/>
        <v>21268.44171751698</v>
      </c>
      <c r="G97" s="33">
        <v>57</v>
      </c>
      <c r="H97" s="33">
        <v>0</v>
      </c>
      <c r="I97" s="5"/>
      <c r="J97" s="34">
        <v>40.877659999999999</v>
      </c>
      <c r="K97" s="34">
        <v>72.015798333299998</v>
      </c>
      <c r="L97" s="14">
        <v>160</v>
      </c>
      <c r="M97" s="12" t="s">
        <v>139</v>
      </c>
      <c r="N97" s="12"/>
      <c r="O97" s="24" t="s">
        <v>19</v>
      </c>
    </row>
    <row r="98" spans="1:15" ht="30" customHeight="1">
      <c r="A98" s="7" t="s">
        <v>16</v>
      </c>
      <c r="B98" s="34" t="s">
        <v>610</v>
      </c>
      <c r="C98" s="34" t="s">
        <v>422</v>
      </c>
      <c r="D98" s="31">
        <v>33443.34746089534</v>
      </c>
      <c r="E98" s="32">
        <v>23983.71275337835</v>
      </c>
      <c r="F98" s="31">
        <f t="shared" si="1"/>
        <v>9459.6347075169906</v>
      </c>
      <c r="G98" s="33">
        <v>15</v>
      </c>
      <c r="H98" s="33">
        <v>0</v>
      </c>
      <c r="I98" s="5" t="s">
        <v>17</v>
      </c>
      <c r="J98" s="34">
        <v>40.877465000000001</v>
      </c>
      <c r="K98" s="34">
        <v>72.08811</v>
      </c>
      <c r="L98" s="14">
        <v>160</v>
      </c>
      <c r="M98" s="12" t="s">
        <v>140</v>
      </c>
      <c r="N98" s="12"/>
      <c r="O98" s="24" t="s">
        <v>19</v>
      </c>
    </row>
    <row r="99" spans="1:15" ht="30" customHeight="1">
      <c r="A99" s="7" t="s">
        <v>16</v>
      </c>
      <c r="B99" s="34" t="s">
        <v>610</v>
      </c>
      <c r="C99" s="34" t="s">
        <v>423</v>
      </c>
      <c r="D99" s="31">
        <v>126534.66242089534</v>
      </c>
      <c r="E99" s="32">
        <v>105428.43275337835</v>
      </c>
      <c r="F99" s="31">
        <f t="shared" si="1"/>
        <v>21106.229667516993</v>
      </c>
      <c r="G99" s="33">
        <v>76</v>
      </c>
      <c r="H99" s="33">
        <v>1</v>
      </c>
      <c r="I99" s="5" t="s">
        <v>58</v>
      </c>
      <c r="J99" s="34">
        <v>40.875548333300003</v>
      </c>
      <c r="K99" s="34">
        <v>72.079404999999994</v>
      </c>
      <c r="L99" s="19">
        <v>160</v>
      </c>
      <c r="M99" s="12" t="s">
        <v>141</v>
      </c>
      <c r="N99" s="12"/>
      <c r="O99" s="24" t="s">
        <v>19</v>
      </c>
    </row>
    <row r="100" spans="1:15" ht="30" customHeight="1">
      <c r="A100" s="7" t="s">
        <v>16</v>
      </c>
      <c r="B100" s="34" t="s">
        <v>610</v>
      </c>
      <c r="C100" s="34" t="s">
        <v>424</v>
      </c>
      <c r="D100" s="31">
        <v>69634.430780895345</v>
      </c>
      <c r="E100" s="32">
        <v>55646.952753378355</v>
      </c>
      <c r="F100" s="31">
        <f t="shared" si="1"/>
        <v>13987.478027516991</v>
      </c>
      <c r="G100" s="33">
        <v>40</v>
      </c>
      <c r="H100" s="33">
        <v>1</v>
      </c>
      <c r="I100" s="12" t="s">
        <v>20</v>
      </c>
      <c r="J100" s="34">
        <v>40.883151666700002</v>
      </c>
      <c r="K100" s="34">
        <v>72.085181666699995</v>
      </c>
      <c r="L100" s="20">
        <v>63</v>
      </c>
      <c r="M100" s="12" t="s">
        <v>142</v>
      </c>
      <c r="N100" s="12"/>
      <c r="O100" s="24" t="s">
        <v>19</v>
      </c>
    </row>
    <row r="101" spans="1:15" ht="30" customHeight="1">
      <c r="A101" s="7" t="s">
        <v>16</v>
      </c>
      <c r="B101" s="34" t="s">
        <v>611</v>
      </c>
      <c r="C101" s="34" t="s">
        <v>425</v>
      </c>
      <c r="D101" s="31">
        <v>104273.64014089532</v>
      </c>
      <c r="E101" s="32">
        <v>85952.472753378344</v>
      </c>
      <c r="F101" s="31">
        <f t="shared" si="1"/>
        <v>18321.16738751698</v>
      </c>
      <c r="G101" s="33">
        <v>67</v>
      </c>
      <c r="H101" s="33">
        <v>1</v>
      </c>
      <c r="I101" s="12" t="s">
        <v>26</v>
      </c>
      <c r="J101" s="34">
        <v>40.858853333299997</v>
      </c>
      <c r="K101" s="34">
        <v>72.0770083333</v>
      </c>
      <c r="L101" s="20">
        <v>400</v>
      </c>
      <c r="M101" s="12" t="s">
        <v>143</v>
      </c>
      <c r="N101" s="12"/>
      <c r="O101" s="24" t="s">
        <v>19</v>
      </c>
    </row>
    <row r="102" spans="1:15" ht="30" customHeight="1">
      <c r="A102" s="7" t="s">
        <v>16</v>
      </c>
      <c r="B102" s="34" t="s">
        <v>611</v>
      </c>
      <c r="C102" s="34" t="s">
        <v>426</v>
      </c>
      <c r="D102" s="31">
        <v>27806.24291089534</v>
      </c>
      <c r="E102" s="32">
        <v>19051.862753378347</v>
      </c>
      <c r="F102" s="31">
        <f t="shared" si="1"/>
        <v>8754.3801575169928</v>
      </c>
      <c r="G102" s="33">
        <v>10</v>
      </c>
      <c r="H102" s="33">
        <v>0</v>
      </c>
      <c r="I102" s="12" t="s">
        <v>26</v>
      </c>
      <c r="J102" s="34">
        <v>40.874026666600002</v>
      </c>
      <c r="K102" s="34">
        <v>72.094549999700007</v>
      </c>
      <c r="L102" s="20">
        <v>320</v>
      </c>
      <c r="M102" s="12" t="s">
        <v>144</v>
      </c>
      <c r="N102" s="12"/>
      <c r="O102" s="24" t="s">
        <v>19</v>
      </c>
    </row>
    <row r="103" spans="1:15" ht="30" customHeight="1">
      <c r="A103" s="7" t="s">
        <v>16</v>
      </c>
      <c r="B103" s="34" t="s">
        <v>608</v>
      </c>
      <c r="C103" s="34" t="s">
        <v>427</v>
      </c>
      <c r="D103" s="31">
        <v>255989.48225089538</v>
      </c>
      <c r="E103" s="32">
        <v>218687.24275337838</v>
      </c>
      <c r="F103" s="31">
        <f t="shared" si="1"/>
        <v>37302.239497517003</v>
      </c>
      <c r="G103" s="33">
        <v>149</v>
      </c>
      <c r="H103" s="33">
        <v>3</v>
      </c>
      <c r="I103" s="12" t="s">
        <v>26</v>
      </c>
      <c r="J103" s="34">
        <v>40.876869999999997</v>
      </c>
      <c r="K103" s="34">
        <v>71.973841666699997</v>
      </c>
      <c r="L103" s="20">
        <v>160</v>
      </c>
      <c r="M103" s="12" t="s">
        <v>145</v>
      </c>
      <c r="N103" s="12"/>
      <c r="O103" s="24" t="s">
        <v>19</v>
      </c>
    </row>
    <row r="104" spans="1:15" ht="30" customHeight="1">
      <c r="A104" s="7" t="s">
        <v>16</v>
      </c>
      <c r="B104" s="34" t="s">
        <v>612</v>
      </c>
      <c r="C104" s="34" t="s">
        <v>428</v>
      </c>
      <c r="D104" s="31">
        <v>113991.17468089533</v>
      </c>
      <c r="E104" s="32">
        <v>94454.252753378343</v>
      </c>
      <c r="F104" s="31">
        <f t="shared" si="1"/>
        <v>19536.921927516989</v>
      </c>
      <c r="G104" s="33">
        <v>63</v>
      </c>
      <c r="H104" s="33">
        <v>0</v>
      </c>
      <c r="I104" s="12" t="s">
        <v>26</v>
      </c>
      <c r="J104" s="34">
        <v>40.849305000000001</v>
      </c>
      <c r="K104" s="34">
        <v>72.038023333300004</v>
      </c>
      <c r="L104" s="20">
        <v>100</v>
      </c>
      <c r="M104" s="12" t="s">
        <v>146</v>
      </c>
      <c r="N104" s="12"/>
      <c r="O104" s="24" t="s">
        <v>19</v>
      </c>
    </row>
    <row r="105" spans="1:15" ht="30" customHeight="1">
      <c r="A105" s="7" t="s">
        <v>16</v>
      </c>
      <c r="B105" s="34" t="s">
        <v>612</v>
      </c>
      <c r="C105" s="34" t="s">
        <v>429</v>
      </c>
      <c r="D105" s="31">
        <v>182811.53615089535</v>
      </c>
      <c r="E105" s="32">
        <v>154664.54275337834</v>
      </c>
      <c r="F105" s="31">
        <f t="shared" si="1"/>
        <v>28146.993397517013</v>
      </c>
      <c r="G105" s="33">
        <v>111</v>
      </c>
      <c r="H105" s="33">
        <v>33</v>
      </c>
      <c r="I105" s="12" t="s">
        <v>26</v>
      </c>
      <c r="J105" s="34">
        <v>40.848043333299998</v>
      </c>
      <c r="K105" s="34">
        <v>72.060901666700005</v>
      </c>
      <c r="L105" s="20">
        <v>160</v>
      </c>
      <c r="M105" s="12" t="s">
        <v>147</v>
      </c>
      <c r="N105" s="12"/>
      <c r="O105" s="24" t="s">
        <v>19</v>
      </c>
    </row>
    <row r="106" spans="1:15" ht="30" customHeight="1">
      <c r="A106" s="7" t="s">
        <v>16</v>
      </c>
      <c r="B106" s="34" t="s">
        <v>608</v>
      </c>
      <c r="C106" s="34" t="s">
        <v>430</v>
      </c>
      <c r="D106" s="31">
        <v>226845.03965089534</v>
      </c>
      <c r="E106" s="32">
        <v>193189.04275337834</v>
      </c>
      <c r="F106" s="31">
        <f t="shared" si="1"/>
        <v>33655.996897517005</v>
      </c>
      <c r="G106" s="33">
        <v>92</v>
      </c>
      <c r="H106" s="33">
        <v>0</v>
      </c>
      <c r="I106" s="12" t="s">
        <v>26</v>
      </c>
      <c r="J106" s="34">
        <v>40.8855233333</v>
      </c>
      <c r="K106" s="34">
        <v>71.964566666699994</v>
      </c>
      <c r="L106" s="20">
        <v>400</v>
      </c>
      <c r="M106" s="12" t="s">
        <v>148</v>
      </c>
      <c r="N106" s="12"/>
      <c r="O106" s="24" t="s">
        <v>19</v>
      </c>
    </row>
    <row r="107" spans="1:15" ht="30" customHeight="1">
      <c r="A107" s="7" t="s">
        <v>16</v>
      </c>
      <c r="B107" s="34" t="s">
        <v>611</v>
      </c>
      <c r="C107" s="34" t="s">
        <v>431</v>
      </c>
      <c r="D107" s="31">
        <v>92231.015000895335</v>
      </c>
      <c r="E107" s="32">
        <v>75416.492753378348</v>
      </c>
      <c r="F107" s="31">
        <f t="shared" si="1"/>
        <v>16814.522247516987</v>
      </c>
      <c r="G107" s="33">
        <v>115</v>
      </c>
      <c r="H107" s="33">
        <v>4</v>
      </c>
      <c r="I107" s="12" t="s">
        <v>37</v>
      </c>
      <c r="J107" s="34">
        <v>40.867975000000001</v>
      </c>
      <c r="K107" s="34">
        <v>72.100838333300004</v>
      </c>
      <c r="L107" s="20">
        <v>160</v>
      </c>
      <c r="M107" s="12" t="s">
        <v>149</v>
      </c>
      <c r="N107" s="12"/>
      <c r="O107" s="24" t="s">
        <v>19</v>
      </c>
    </row>
    <row r="108" spans="1:15" ht="30" customHeight="1">
      <c r="A108" s="7" t="s">
        <v>16</v>
      </c>
      <c r="B108" s="34" t="s">
        <v>611</v>
      </c>
      <c r="C108" s="34" t="s">
        <v>432</v>
      </c>
      <c r="D108" s="31">
        <v>131478.64034089533</v>
      </c>
      <c r="E108" s="32">
        <v>109753.87275337835</v>
      </c>
      <c r="F108" s="31">
        <f t="shared" si="1"/>
        <v>21724.767587516981</v>
      </c>
      <c r="G108" s="33">
        <v>77</v>
      </c>
      <c r="H108" s="33">
        <v>2</v>
      </c>
      <c r="I108" s="12" t="s">
        <v>53</v>
      </c>
      <c r="J108" s="34">
        <v>40.872354999999999</v>
      </c>
      <c r="K108" s="34">
        <v>72.101595000000003</v>
      </c>
      <c r="L108" s="20">
        <v>100</v>
      </c>
      <c r="M108" s="12" t="s">
        <v>150</v>
      </c>
      <c r="N108" s="12"/>
      <c r="O108" s="24" t="s">
        <v>19</v>
      </c>
    </row>
    <row r="109" spans="1:15" ht="30" customHeight="1">
      <c r="A109" s="7" t="s">
        <v>16</v>
      </c>
      <c r="B109" s="34" t="s">
        <v>611</v>
      </c>
      <c r="C109" s="34" t="s">
        <v>433</v>
      </c>
      <c r="D109" s="31">
        <v>80556.83591089533</v>
      </c>
      <c r="E109" s="32">
        <v>65202.862753378344</v>
      </c>
      <c r="F109" s="31">
        <f t="shared" si="1"/>
        <v>15353.973157516986</v>
      </c>
      <c r="G109" s="33">
        <v>116</v>
      </c>
      <c r="H109" s="33">
        <v>1</v>
      </c>
      <c r="I109" s="12" t="s">
        <v>53</v>
      </c>
      <c r="J109" s="34">
        <v>40.874026666600002</v>
      </c>
      <c r="K109" s="34">
        <v>72.094549999700007</v>
      </c>
      <c r="L109" s="20">
        <v>100</v>
      </c>
      <c r="M109" s="12" t="s">
        <v>151</v>
      </c>
      <c r="N109" s="12"/>
      <c r="O109" s="24" t="s">
        <v>19</v>
      </c>
    </row>
    <row r="110" spans="1:15" ht="30" customHeight="1">
      <c r="A110" s="7" t="s">
        <v>16</v>
      </c>
      <c r="B110" s="34" t="s">
        <v>608</v>
      </c>
      <c r="C110" s="34" t="s">
        <v>434</v>
      </c>
      <c r="D110" s="31">
        <v>88000.726280895338</v>
      </c>
      <c r="E110" s="32">
        <v>71715.452753378355</v>
      </c>
      <c r="F110" s="31">
        <f t="shared" si="1"/>
        <v>16285.273527516983</v>
      </c>
      <c r="G110" s="33">
        <v>27</v>
      </c>
      <c r="H110" s="33">
        <v>0</v>
      </c>
      <c r="I110" s="12" t="s">
        <v>53</v>
      </c>
      <c r="J110" s="34">
        <v>40.887851666700001</v>
      </c>
      <c r="K110" s="34">
        <v>71.969193333299998</v>
      </c>
      <c r="L110" s="20">
        <v>160</v>
      </c>
      <c r="M110" s="12" t="s">
        <v>152</v>
      </c>
      <c r="N110" s="12"/>
      <c r="O110" s="24" t="s">
        <v>19</v>
      </c>
    </row>
    <row r="111" spans="1:15" ht="30" customHeight="1">
      <c r="A111" s="5" t="s">
        <v>103</v>
      </c>
      <c r="B111" s="34" t="s">
        <v>610</v>
      </c>
      <c r="C111" s="34" t="s">
        <v>435</v>
      </c>
      <c r="D111" s="31">
        <v>165315.18938089535</v>
      </c>
      <c r="E111" s="32">
        <v>139357.15275337835</v>
      </c>
      <c r="F111" s="31">
        <f t="shared" si="1"/>
        <v>25958.036627516994</v>
      </c>
      <c r="G111" s="33">
        <v>101</v>
      </c>
      <c r="H111" s="33">
        <v>2</v>
      </c>
      <c r="I111" s="12" t="s">
        <v>153</v>
      </c>
      <c r="J111" s="34">
        <v>40.877478333299997</v>
      </c>
      <c r="K111" s="34">
        <v>72.076426666700002</v>
      </c>
      <c r="L111" s="20">
        <v>250</v>
      </c>
      <c r="M111" s="12" t="s">
        <v>154</v>
      </c>
      <c r="N111" s="12"/>
      <c r="O111" s="24" t="s">
        <v>19</v>
      </c>
    </row>
    <row r="112" spans="1:15" ht="30" customHeight="1">
      <c r="A112" s="5" t="s">
        <v>103</v>
      </c>
      <c r="B112" s="34" t="s">
        <v>611</v>
      </c>
      <c r="C112" s="34" t="s">
        <v>436</v>
      </c>
      <c r="D112" s="31">
        <v>124613.06225089534</v>
      </c>
      <c r="E112" s="32">
        <v>103747.24275337835</v>
      </c>
      <c r="F112" s="31">
        <f t="shared" si="1"/>
        <v>20865.81949751699</v>
      </c>
      <c r="G112" s="33">
        <v>89</v>
      </c>
      <c r="H112" s="33">
        <v>2</v>
      </c>
      <c r="I112" s="12" t="s">
        <v>118</v>
      </c>
      <c r="J112" s="34">
        <v>40.870533333300003</v>
      </c>
      <c r="K112" s="34">
        <v>72.120976666700003</v>
      </c>
      <c r="L112" s="20">
        <v>100</v>
      </c>
      <c r="M112" s="12" t="s">
        <v>155</v>
      </c>
      <c r="N112" s="12"/>
      <c r="O112" s="24" t="s">
        <v>19</v>
      </c>
    </row>
    <row r="113" spans="1:15" ht="30" customHeight="1">
      <c r="A113" s="5" t="s">
        <v>103</v>
      </c>
      <c r="B113" s="34" t="s">
        <v>611</v>
      </c>
      <c r="C113" s="34" t="s">
        <v>437</v>
      </c>
      <c r="D113" s="31">
        <v>93628.069610895327</v>
      </c>
      <c r="E113" s="32">
        <v>76638.762753378338</v>
      </c>
      <c r="F113" s="31">
        <f t="shared" si="1"/>
        <v>16989.306857516989</v>
      </c>
      <c r="G113" s="33">
        <v>46</v>
      </c>
      <c r="H113" s="33">
        <v>2</v>
      </c>
      <c r="I113" s="12" t="s">
        <v>110</v>
      </c>
      <c r="J113" s="34">
        <v>40.859666666700001</v>
      </c>
      <c r="K113" s="34">
        <v>72.121076666700006</v>
      </c>
      <c r="L113" s="20">
        <v>63</v>
      </c>
      <c r="M113" s="12" t="s">
        <v>156</v>
      </c>
      <c r="N113" s="12"/>
      <c r="O113" s="24" t="s">
        <v>19</v>
      </c>
    </row>
    <row r="114" spans="1:15" ht="30" customHeight="1">
      <c r="A114" s="5" t="s">
        <v>103</v>
      </c>
      <c r="B114" s="34" t="s">
        <v>611</v>
      </c>
      <c r="C114" s="34" t="s">
        <v>438</v>
      </c>
      <c r="D114" s="31">
        <v>38321.877200895338</v>
      </c>
      <c r="E114" s="32">
        <v>28251.89275337835</v>
      </c>
      <c r="F114" s="31">
        <f t="shared" si="1"/>
        <v>10069.984447516988</v>
      </c>
      <c r="G114" s="33">
        <v>36</v>
      </c>
      <c r="H114" s="33">
        <v>0</v>
      </c>
      <c r="I114" s="12" t="s">
        <v>26</v>
      </c>
      <c r="J114" s="34">
        <v>40.8576716667</v>
      </c>
      <c r="K114" s="34">
        <v>72.123549999999994</v>
      </c>
      <c r="L114" s="14">
        <v>40</v>
      </c>
      <c r="M114" s="12" t="s">
        <v>157</v>
      </c>
      <c r="N114" s="12"/>
      <c r="O114" s="24" t="s">
        <v>19</v>
      </c>
    </row>
    <row r="115" spans="1:15" ht="30" customHeight="1">
      <c r="A115" s="5" t="s">
        <v>103</v>
      </c>
      <c r="B115" s="34" t="s">
        <v>609</v>
      </c>
      <c r="C115" s="34" t="s">
        <v>439</v>
      </c>
      <c r="D115" s="31">
        <v>322877.04215089534</v>
      </c>
      <c r="E115" s="32">
        <v>277206.54275337834</v>
      </c>
      <c r="F115" s="31">
        <f t="shared" si="1"/>
        <v>45670.499397517007</v>
      </c>
      <c r="G115" s="33">
        <v>103</v>
      </c>
      <c r="H115" s="33">
        <v>1</v>
      </c>
      <c r="I115" s="12" t="s">
        <v>111</v>
      </c>
      <c r="J115" s="34">
        <v>40.877068333300002</v>
      </c>
      <c r="K115" s="34">
        <v>71.983761666700005</v>
      </c>
      <c r="L115" s="14">
        <v>100</v>
      </c>
      <c r="M115" s="12" t="s">
        <v>158</v>
      </c>
      <c r="N115" s="12"/>
      <c r="O115" s="24" t="s">
        <v>19</v>
      </c>
    </row>
    <row r="116" spans="1:15" ht="30" customHeight="1">
      <c r="A116" s="5" t="s">
        <v>103</v>
      </c>
      <c r="B116" s="34" t="s">
        <v>605</v>
      </c>
      <c r="C116" s="34" t="s">
        <v>315</v>
      </c>
      <c r="D116" s="31">
        <v>97810.192310895334</v>
      </c>
      <c r="E116" s="32">
        <v>80297.662753378347</v>
      </c>
      <c r="F116" s="31">
        <f t="shared" si="1"/>
        <v>17512.529557516988</v>
      </c>
      <c r="G116" s="33">
        <v>80</v>
      </c>
      <c r="H116" s="33">
        <v>2</v>
      </c>
      <c r="I116" s="12" t="s">
        <v>111</v>
      </c>
      <c r="J116" s="34">
        <v>40.865369999999999</v>
      </c>
      <c r="K116" s="34">
        <v>71.96087</v>
      </c>
      <c r="L116" s="19">
        <v>160</v>
      </c>
      <c r="M116" s="12" t="s">
        <v>159</v>
      </c>
      <c r="N116" s="12"/>
      <c r="O116" s="24" t="s">
        <v>19</v>
      </c>
    </row>
    <row r="117" spans="1:15" ht="30" customHeight="1">
      <c r="A117" s="5" t="s">
        <v>103</v>
      </c>
      <c r="B117" s="34" t="s">
        <v>611</v>
      </c>
      <c r="C117" s="34" t="s">
        <v>440</v>
      </c>
      <c r="D117" s="31">
        <v>44380.234400895344</v>
      </c>
      <c r="E117" s="32">
        <v>33552.292753378351</v>
      </c>
      <c r="F117" s="31">
        <f t="shared" si="1"/>
        <v>10827.941647516993</v>
      </c>
      <c r="G117" s="33">
        <v>41</v>
      </c>
      <c r="H117" s="33">
        <v>1</v>
      </c>
      <c r="I117" s="12" t="s">
        <v>160</v>
      </c>
      <c r="J117" s="34">
        <v>40.858196666700003</v>
      </c>
      <c r="K117" s="34">
        <v>72.1313583333</v>
      </c>
      <c r="L117" s="14">
        <v>100</v>
      </c>
      <c r="M117" s="12"/>
      <c r="N117" s="12" t="s">
        <v>161</v>
      </c>
      <c r="O117" s="24" t="s">
        <v>19</v>
      </c>
    </row>
    <row r="118" spans="1:15" ht="30" customHeight="1">
      <c r="A118" s="5" t="s">
        <v>103</v>
      </c>
      <c r="B118" s="34" t="s">
        <v>609</v>
      </c>
      <c r="C118" s="34" t="s">
        <v>441</v>
      </c>
      <c r="D118" s="31">
        <v>333206.26914289535</v>
      </c>
      <c r="E118" s="32">
        <v>286243.48675337835</v>
      </c>
      <c r="F118" s="31">
        <f t="shared" si="1"/>
        <v>46962.782389517</v>
      </c>
      <c r="G118" s="33">
        <v>160</v>
      </c>
      <c r="H118" s="33">
        <v>1</v>
      </c>
      <c r="I118" s="12" t="s">
        <v>160</v>
      </c>
      <c r="J118" s="34">
        <v>40.881914999999999</v>
      </c>
      <c r="K118" s="34">
        <v>71.997399999999999</v>
      </c>
      <c r="L118" s="26">
        <v>160</v>
      </c>
      <c r="M118" s="12" t="s">
        <v>162</v>
      </c>
      <c r="N118" s="12"/>
      <c r="O118" s="24" t="s">
        <v>19</v>
      </c>
    </row>
    <row r="119" spans="1:15" ht="30" customHeight="1">
      <c r="A119" s="5" t="s">
        <v>103</v>
      </c>
      <c r="B119" s="34" t="s">
        <v>609</v>
      </c>
      <c r="C119" s="34" t="s">
        <v>442</v>
      </c>
      <c r="D119" s="31">
        <v>248716.49324089533</v>
      </c>
      <c r="E119" s="32">
        <v>212324.17275337834</v>
      </c>
      <c r="F119" s="31">
        <f t="shared" si="1"/>
        <v>36392.32048751699</v>
      </c>
      <c r="G119" s="33">
        <v>130</v>
      </c>
      <c r="H119" s="33">
        <v>3</v>
      </c>
      <c r="I119" s="12" t="s">
        <v>56</v>
      </c>
      <c r="J119" s="34">
        <v>40.8827666667</v>
      </c>
      <c r="K119" s="34">
        <v>72.008274999999998</v>
      </c>
      <c r="L119" s="14">
        <v>250</v>
      </c>
      <c r="M119" s="12" t="s">
        <v>163</v>
      </c>
      <c r="N119" s="12"/>
      <c r="O119" s="24" t="s">
        <v>19</v>
      </c>
    </row>
    <row r="120" spans="1:15" ht="30" customHeight="1">
      <c r="A120" s="5" t="s">
        <v>103</v>
      </c>
      <c r="B120" s="34" t="s">
        <v>611</v>
      </c>
      <c r="C120" s="34" t="s">
        <v>443</v>
      </c>
      <c r="D120" s="31">
        <v>77725.20200089534</v>
      </c>
      <c r="E120" s="32">
        <v>62725.492753378348</v>
      </c>
      <c r="F120" s="31">
        <f t="shared" si="1"/>
        <v>14999.709247516992</v>
      </c>
      <c r="G120" s="33">
        <v>78</v>
      </c>
      <c r="H120" s="33">
        <v>2</v>
      </c>
      <c r="I120" s="12" t="s">
        <v>56</v>
      </c>
      <c r="J120" s="34">
        <v>40.851415000000003</v>
      </c>
      <c r="K120" s="34">
        <v>72.131756666699999</v>
      </c>
      <c r="L120" s="14">
        <v>63</v>
      </c>
      <c r="M120" s="12" t="s">
        <v>164</v>
      </c>
      <c r="N120" s="12"/>
      <c r="O120" s="24" t="s">
        <v>19</v>
      </c>
    </row>
    <row r="121" spans="1:15" ht="30" customHeight="1">
      <c r="A121" s="5" t="s">
        <v>103</v>
      </c>
      <c r="B121" s="34" t="s">
        <v>613</v>
      </c>
      <c r="C121" s="34" t="s">
        <v>444</v>
      </c>
      <c r="D121" s="31">
        <v>80109.419990895345</v>
      </c>
      <c r="E121" s="32">
        <v>64811.422753378356</v>
      </c>
      <c r="F121" s="31">
        <f t="shared" si="1"/>
        <v>15297.997237516989</v>
      </c>
      <c r="G121" s="33">
        <v>102</v>
      </c>
      <c r="H121" s="33">
        <v>2</v>
      </c>
      <c r="I121" s="12" t="s">
        <v>56</v>
      </c>
      <c r="J121" s="34">
        <v>40.833135628299999</v>
      </c>
      <c r="K121" s="34">
        <v>72.203557438199994</v>
      </c>
      <c r="L121" s="14">
        <v>100</v>
      </c>
      <c r="M121" s="12" t="s">
        <v>165</v>
      </c>
      <c r="N121" s="12"/>
      <c r="O121" s="24" t="s">
        <v>19</v>
      </c>
    </row>
    <row r="122" spans="1:15" ht="30" customHeight="1">
      <c r="A122" s="5" t="s">
        <v>103</v>
      </c>
      <c r="B122" s="34" t="s">
        <v>613</v>
      </c>
      <c r="C122" s="34" t="s">
        <v>445</v>
      </c>
      <c r="D122" s="31">
        <v>64667.40998089534</v>
      </c>
      <c r="E122" s="32">
        <v>51301.352753378349</v>
      </c>
      <c r="F122" s="31">
        <f t="shared" si="1"/>
        <v>13366.057227516991</v>
      </c>
      <c r="G122" s="33">
        <v>80</v>
      </c>
      <c r="H122" s="33">
        <v>0</v>
      </c>
      <c r="I122" s="12" t="s">
        <v>166</v>
      </c>
      <c r="J122" s="34">
        <v>40.830279691100003</v>
      </c>
      <c r="K122" s="34">
        <v>72.204835088899998</v>
      </c>
      <c r="L122" s="14">
        <v>250</v>
      </c>
      <c r="M122" s="12" t="s">
        <v>167</v>
      </c>
      <c r="N122" s="12"/>
      <c r="O122" s="24" t="s">
        <v>19</v>
      </c>
    </row>
    <row r="123" spans="1:15" ht="30" customHeight="1">
      <c r="A123" s="5" t="s">
        <v>103</v>
      </c>
      <c r="B123" s="34" t="s">
        <v>613</v>
      </c>
      <c r="C123" s="34" t="s">
        <v>446</v>
      </c>
      <c r="D123" s="31">
        <v>130681.50071089531</v>
      </c>
      <c r="E123" s="32">
        <v>109056.46275337834</v>
      </c>
      <c r="F123" s="31">
        <f t="shared" si="1"/>
        <v>21625.037957516979</v>
      </c>
      <c r="G123" s="33">
        <v>71</v>
      </c>
      <c r="H123" s="33">
        <v>1</v>
      </c>
      <c r="I123" s="12" t="s">
        <v>104</v>
      </c>
      <c r="J123" s="34">
        <v>40.838736666700001</v>
      </c>
      <c r="K123" s="34">
        <v>72.234039999999993</v>
      </c>
      <c r="L123" s="20">
        <v>180</v>
      </c>
      <c r="M123" s="12" t="s">
        <v>168</v>
      </c>
      <c r="N123" s="12"/>
      <c r="O123" s="24" t="s">
        <v>19</v>
      </c>
    </row>
    <row r="124" spans="1:15" ht="30" customHeight="1">
      <c r="A124" s="5" t="s">
        <v>103</v>
      </c>
      <c r="B124" s="34" t="s">
        <v>609</v>
      </c>
      <c r="C124" s="34" t="s">
        <v>447</v>
      </c>
      <c r="D124" s="31">
        <v>169735.74188089537</v>
      </c>
      <c r="E124" s="32">
        <v>143224.65275337835</v>
      </c>
      <c r="F124" s="31">
        <f t="shared" si="1"/>
        <v>26511.089127517014</v>
      </c>
      <c r="G124" s="33">
        <v>83</v>
      </c>
      <c r="H124" s="33">
        <v>2</v>
      </c>
      <c r="I124" s="12" t="s">
        <v>104</v>
      </c>
      <c r="J124" s="34">
        <v>40.8765683333</v>
      </c>
      <c r="K124" s="34">
        <v>71.988531666699998</v>
      </c>
      <c r="L124" s="20">
        <v>400</v>
      </c>
      <c r="M124" s="12" t="s">
        <v>169</v>
      </c>
      <c r="N124" s="12"/>
      <c r="O124" s="24" t="s">
        <v>19</v>
      </c>
    </row>
    <row r="125" spans="1:15" ht="30" customHeight="1">
      <c r="A125" s="5" t="s">
        <v>103</v>
      </c>
      <c r="B125" s="34" t="s">
        <v>611</v>
      </c>
      <c r="C125" s="34" t="s">
        <v>448</v>
      </c>
      <c r="D125" s="31">
        <v>57740.144180895339</v>
      </c>
      <c r="E125" s="32">
        <v>45240.752753378343</v>
      </c>
      <c r="F125" s="31">
        <f t="shared" si="1"/>
        <v>12499.391427516995</v>
      </c>
      <c r="G125" s="33">
        <v>90</v>
      </c>
      <c r="H125" s="33">
        <v>0</v>
      </c>
      <c r="I125" s="12" t="s">
        <v>170</v>
      </c>
      <c r="J125" s="34">
        <v>40.813206666600003</v>
      </c>
      <c r="K125" s="34">
        <v>72.109205000000003</v>
      </c>
      <c r="L125" s="14">
        <v>160</v>
      </c>
      <c r="M125" s="12" t="s">
        <v>171</v>
      </c>
      <c r="N125" s="12"/>
      <c r="O125" s="24" t="s">
        <v>19</v>
      </c>
    </row>
    <row r="126" spans="1:15" ht="30" customHeight="1">
      <c r="A126" s="5" t="s">
        <v>103</v>
      </c>
      <c r="B126" s="34" t="s">
        <v>611</v>
      </c>
      <c r="C126" s="34" t="s">
        <v>449</v>
      </c>
      <c r="D126" s="31">
        <v>1033529.1425608952</v>
      </c>
      <c r="E126" s="32">
        <v>898949.41275337827</v>
      </c>
      <c r="F126" s="31">
        <f t="shared" si="1"/>
        <v>134579.72980751691</v>
      </c>
      <c r="G126" s="33">
        <v>57</v>
      </c>
      <c r="H126" s="33">
        <v>2</v>
      </c>
      <c r="I126" s="12" t="s">
        <v>170</v>
      </c>
      <c r="J126" s="34">
        <v>40.849451666699998</v>
      </c>
      <c r="K126" s="34">
        <v>72.135064999999997</v>
      </c>
      <c r="L126" s="26">
        <v>160</v>
      </c>
      <c r="M126" s="12" t="s">
        <v>172</v>
      </c>
      <c r="N126" s="12"/>
      <c r="O126" s="24" t="s">
        <v>19</v>
      </c>
    </row>
    <row r="127" spans="1:15" ht="30" customHeight="1">
      <c r="A127" s="5" t="s">
        <v>103</v>
      </c>
      <c r="B127" s="34" t="s">
        <v>611</v>
      </c>
      <c r="C127" s="34" t="s">
        <v>450</v>
      </c>
      <c r="D127" s="31">
        <v>39650.043200895343</v>
      </c>
      <c r="E127" s="32">
        <v>29413.89275337835</v>
      </c>
      <c r="F127" s="31">
        <f t="shared" si="1"/>
        <v>10236.150447516993</v>
      </c>
      <c r="G127" s="33">
        <v>35</v>
      </c>
      <c r="H127" s="33">
        <v>2</v>
      </c>
      <c r="I127" s="12" t="s">
        <v>170</v>
      </c>
      <c r="J127" s="34">
        <v>40.845351666699997</v>
      </c>
      <c r="K127" s="34">
        <v>72.155680000000004</v>
      </c>
      <c r="L127" s="14">
        <v>160</v>
      </c>
      <c r="M127" s="12" t="s">
        <v>173</v>
      </c>
      <c r="N127" s="12"/>
      <c r="O127" s="24" t="s">
        <v>19</v>
      </c>
    </row>
    <row r="128" spans="1:15" ht="30" customHeight="1">
      <c r="A128" s="5" t="s">
        <v>103</v>
      </c>
      <c r="B128" s="34" t="s">
        <v>611</v>
      </c>
      <c r="C128" s="34" t="s">
        <v>451</v>
      </c>
      <c r="D128" s="31">
        <v>41435.226320895337</v>
      </c>
      <c r="E128" s="32">
        <v>30975.732753378346</v>
      </c>
      <c r="F128" s="31">
        <f t="shared" si="1"/>
        <v>10459.493567516991</v>
      </c>
      <c r="G128" s="33">
        <v>34</v>
      </c>
      <c r="H128" s="33">
        <v>1</v>
      </c>
      <c r="I128" s="12" t="s">
        <v>153</v>
      </c>
      <c r="J128" s="34">
        <v>40.847826666700001</v>
      </c>
      <c r="K128" s="34">
        <v>72.157156666700004</v>
      </c>
      <c r="L128" s="26">
        <v>160</v>
      </c>
      <c r="M128" s="12" t="s">
        <v>174</v>
      </c>
      <c r="N128" s="12"/>
      <c r="O128" s="24" t="s">
        <v>19</v>
      </c>
    </row>
    <row r="129" spans="1:15" ht="30" customHeight="1">
      <c r="A129" s="5" t="s">
        <v>103</v>
      </c>
      <c r="B129" s="34" t="s">
        <v>611</v>
      </c>
      <c r="C129" s="34" t="s">
        <v>452</v>
      </c>
      <c r="D129" s="31">
        <v>94818.938450895323</v>
      </c>
      <c r="E129" s="32">
        <v>77680.642753378343</v>
      </c>
      <c r="F129" s="31">
        <f t="shared" si="1"/>
        <v>17138.29569751698</v>
      </c>
      <c r="G129" s="33">
        <v>152</v>
      </c>
      <c r="H129" s="33">
        <v>1</v>
      </c>
      <c r="I129" s="12" t="s">
        <v>153</v>
      </c>
      <c r="J129" s="34">
        <v>40.850563333300002</v>
      </c>
      <c r="K129" s="34">
        <v>72.157133333299996</v>
      </c>
      <c r="L129" s="14">
        <v>160</v>
      </c>
      <c r="M129" s="12" t="s">
        <v>175</v>
      </c>
      <c r="N129" s="12"/>
      <c r="O129" s="24" t="s">
        <v>19</v>
      </c>
    </row>
    <row r="130" spans="1:15" ht="30" customHeight="1">
      <c r="A130" s="5" t="s">
        <v>103</v>
      </c>
      <c r="B130" s="34" t="s">
        <v>605</v>
      </c>
      <c r="C130" s="34" t="s">
        <v>317</v>
      </c>
      <c r="D130" s="31">
        <v>196677.10913089538</v>
      </c>
      <c r="E130" s="32">
        <v>166795.40275337838</v>
      </c>
      <c r="F130" s="31">
        <f t="shared" si="1"/>
        <v>29881.706377516995</v>
      </c>
      <c r="G130" s="33">
        <v>90</v>
      </c>
      <c r="H130" s="33">
        <v>1</v>
      </c>
      <c r="I130" s="12" t="s">
        <v>153</v>
      </c>
      <c r="J130" s="34">
        <v>40.876168333300001</v>
      </c>
      <c r="K130" s="34">
        <v>71.945710000000005</v>
      </c>
      <c r="L130" s="14">
        <v>250</v>
      </c>
      <c r="M130" s="12" t="s">
        <v>176</v>
      </c>
      <c r="N130" s="12"/>
      <c r="O130" s="24" t="s">
        <v>19</v>
      </c>
    </row>
    <row r="131" spans="1:15" ht="30" customHeight="1">
      <c r="A131" s="5" t="s">
        <v>103</v>
      </c>
      <c r="B131" s="34" t="s">
        <v>613</v>
      </c>
      <c r="C131" s="34" t="s">
        <v>453</v>
      </c>
      <c r="D131" s="31">
        <v>698702.57447089534</v>
      </c>
      <c r="E131" s="32">
        <v>606012.78275337839</v>
      </c>
      <c r="F131" s="31">
        <f t="shared" si="1"/>
        <v>92689.791717516957</v>
      </c>
      <c r="G131" s="33">
        <v>45</v>
      </c>
      <c r="H131" s="33">
        <v>0</v>
      </c>
      <c r="I131" s="12" t="s">
        <v>153</v>
      </c>
      <c r="J131" s="34">
        <v>40.833511839099998</v>
      </c>
      <c r="K131" s="34">
        <v>72.151867640199995</v>
      </c>
      <c r="L131" s="14">
        <v>160</v>
      </c>
      <c r="M131" s="12" t="s">
        <v>177</v>
      </c>
      <c r="N131" s="12"/>
      <c r="O131" s="24" t="s">
        <v>19</v>
      </c>
    </row>
    <row r="132" spans="1:15" ht="30" customHeight="1">
      <c r="A132" s="5" t="s">
        <v>103</v>
      </c>
      <c r="B132" s="34" t="s">
        <v>613</v>
      </c>
      <c r="C132" s="34" t="s">
        <v>454</v>
      </c>
      <c r="D132" s="31">
        <v>48566.117570895338</v>
      </c>
      <c r="E132" s="32">
        <v>37214.482753378346</v>
      </c>
      <c r="F132" s="31">
        <f t="shared" ref="F132:F195" si="2">+D132-E132</f>
        <v>11351.634817516991</v>
      </c>
      <c r="G132" s="33">
        <v>45</v>
      </c>
      <c r="H132" s="33">
        <v>0</v>
      </c>
      <c r="I132" s="12" t="s">
        <v>153</v>
      </c>
      <c r="J132" s="34">
        <v>40.829519256700003</v>
      </c>
      <c r="K132" s="34">
        <v>72.156100756300006</v>
      </c>
      <c r="L132" s="14">
        <v>160</v>
      </c>
      <c r="M132" s="12" t="s">
        <v>178</v>
      </c>
      <c r="N132" s="12"/>
      <c r="O132" s="24" t="s">
        <v>19</v>
      </c>
    </row>
    <row r="133" spans="1:15" ht="30" customHeight="1">
      <c r="A133" s="5" t="s">
        <v>103</v>
      </c>
      <c r="B133" s="34" t="s">
        <v>609</v>
      </c>
      <c r="C133" s="34" t="s">
        <v>455</v>
      </c>
      <c r="D133" s="31">
        <v>147692.42681089535</v>
      </c>
      <c r="E133" s="32">
        <v>123939.16275337835</v>
      </c>
      <c r="F133" s="31">
        <f t="shared" si="2"/>
        <v>23753.264057517008</v>
      </c>
      <c r="G133" s="33">
        <v>108</v>
      </c>
      <c r="H133" s="33">
        <v>0</v>
      </c>
      <c r="I133" s="12" t="s">
        <v>166</v>
      </c>
      <c r="J133" s="34">
        <v>40.876078333300001</v>
      </c>
      <c r="K133" s="34">
        <v>71.987033333300005</v>
      </c>
      <c r="L133" s="14">
        <v>40</v>
      </c>
      <c r="M133" s="12" t="s">
        <v>179</v>
      </c>
      <c r="N133" s="12"/>
      <c r="O133" s="24" t="s">
        <v>19</v>
      </c>
    </row>
    <row r="134" spans="1:15" ht="30" customHeight="1">
      <c r="A134" s="5" t="s">
        <v>103</v>
      </c>
      <c r="B134" s="34" t="s">
        <v>612</v>
      </c>
      <c r="C134" s="34" t="s">
        <v>456</v>
      </c>
      <c r="D134" s="31">
        <v>210460.83188089539</v>
      </c>
      <c r="E134" s="32">
        <v>178854.65275337838</v>
      </c>
      <c r="F134" s="31">
        <f t="shared" si="2"/>
        <v>31606.179127517011</v>
      </c>
      <c r="G134" s="33">
        <v>139</v>
      </c>
      <c r="H134" s="33">
        <v>2</v>
      </c>
      <c r="I134" s="12" t="s">
        <v>166</v>
      </c>
      <c r="J134" s="34">
        <v>40.846466666700003</v>
      </c>
      <c r="K134" s="34">
        <v>72.057214999999999</v>
      </c>
      <c r="L134" s="14">
        <v>160</v>
      </c>
      <c r="M134" s="12" t="s">
        <v>180</v>
      </c>
      <c r="N134" s="12"/>
      <c r="O134" s="24" t="s">
        <v>19</v>
      </c>
    </row>
    <row r="135" spans="1:15" ht="30" customHeight="1">
      <c r="A135" s="5" t="s">
        <v>103</v>
      </c>
      <c r="B135" s="34" t="s">
        <v>610</v>
      </c>
      <c r="C135" s="34" t="s">
        <v>457</v>
      </c>
      <c r="D135" s="31">
        <v>141648.79145089534</v>
      </c>
      <c r="E135" s="32">
        <v>118651.64275337834</v>
      </c>
      <c r="F135" s="31">
        <f t="shared" si="2"/>
        <v>22997.148697516997</v>
      </c>
      <c r="G135" s="33">
        <v>59</v>
      </c>
      <c r="H135" s="33">
        <v>2</v>
      </c>
      <c r="I135" s="12"/>
      <c r="J135" s="34">
        <v>40.877453333299997</v>
      </c>
      <c r="K135" s="34">
        <v>72.071951666700002</v>
      </c>
      <c r="L135" s="14">
        <v>160</v>
      </c>
      <c r="M135" s="12" t="s">
        <v>181</v>
      </c>
      <c r="N135" s="12"/>
      <c r="O135" s="24" t="s">
        <v>19</v>
      </c>
    </row>
    <row r="136" spans="1:15" ht="30" customHeight="1">
      <c r="A136" s="5" t="s">
        <v>103</v>
      </c>
      <c r="B136" s="34" t="s">
        <v>612</v>
      </c>
      <c r="C136" s="34" t="s">
        <v>458</v>
      </c>
      <c r="D136" s="31">
        <v>162074.14430089536</v>
      </c>
      <c r="E136" s="32">
        <v>136521.59275337835</v>
      </c>
      <c r="F136" s="31">
        <f t="shared" si="2"/>
        <v>25552.55154751701</v>
      </c>
      <c r="G136" s="33">
        <v>86</v>
      </c>
      <c r="H136" s="33">
        <v>3</v>
      </c>
      <c r="I136" s="12" t="s">
        <v>84</v>
      </c>
      <c r="J136" s="34">
        <v>40.849350000000001</v>
      </c>
      <c r="K136" s="34">
        <v>72.064971666700004</v>
      </c>
      <c r="L136" s="14">
        <v>100</v>
      </c>
      <c r="M136" s="12" t="s">
        <v>182</v>
      </c>
      <c r="N136" s="12"/>
      <c r="O136" s="24" t="s">
        <v>19</v>
      </c>
    </row>
    <row r="137" spans="1:15" ht="30" customHeight="1">
      <c r="A137" s="5" t="s">
        <v>103</v>
      </c>
      <c r="B137" s="34" t="s">
        <v>612</v>
      </c>
      <c r="C137" s="34" t="s">
        <v>459</v>
      </c>
      <c r="D137" s="31">
        <v>78584.589410895322</v>
      </c>
      <c r="E137" s="32">
        <v>63477.362753378344</v>
      </c>
      <c r="F137" s="31">
        <f t="shared" si="2"/>
        <v>15107.226657516978</v>
      </c>
      <c r="G137" s="33">
        <v>35</v>
      </c>
      <c r="H137" s="33">
        <v>0</v>
      </c>
      <c r="I137" s="12" t="s">
        <v>84</v>
      </c>
      <c r="J137" s="34">
        <v>40.843751666700001</v>
      </c>
      <c r="K137" s="34">
        <v>72.084658333299998</v>
      </c>
      <c r="L137" s="14">
        <v>160</v>
      </c>
      <c r="M137" s="12" t="s">
        <v>183</v>
      </c>
      <c r="N137" s="12"/>
      <c r="O137" s="24" t="s">
        <v>19</v>
      </c>
    </row>
    <row r="138" spans="1:15" ht="30" customHeight="1">
      <c r="A138" s="5" t="s">
        <v>103</v>
      </c>
      <c r="B138" s="34" t="s">
        <v>612</v>
      </c>
      <c r="C138" s="34" t="s">
        <v>460</v>
      </c>
      <c r="D138" s="31">
        <v>76921.581560895327</v>
      </c>
      <c r="E138" s="32">
        <v>62022.412753378347</v>
      </c>
      <c r="F138" s="31">
        <f t="shared" si="2"/>
        <v>14899.16880751698</v>
      </c>
      <c r="G138" s="33">
        <v>143</v>
      </c>
      <c r="H138" s="33">
        <v>4</v>
      </c>
      <c r="I138" s="12" t="s">
        <v>153</v>
      </c>
      <c r="J138" s="34">
        <v>40.822108333300001</v>
      </c>
      <c r="K138" s="34">
        <v>72.138861666699995</v>
      </c>
      <c r="L138" s="14">
        <v>400</v>
      </c>
      <c r="M138" s="12" t="s">
        <v>184</v>
      </c>
      <c r="N138" s="12"/>
      <c r="O138" s="24" t="s">
        <v>19</v>
      </c>
    </row>
    <row r="139" spans="1:15" ht="30" customHeight="1">
      <c r="A139" s="5" t="s">
        <v>103</v>
      </c>
      <c r="B139" s="34" t="s">
        <v>612</v>
      </c>
      <c r="C139" s="34" t="s">
        <v>461</v>
      </c>
      <c r="D139" s="31">
        <v>133186.45379089535</v>
      </c>
      <c r="E139" s="32">
        <v>111248.02275337835</v>
      </c>
      <c r="F139" s="31">
        <f t="shared" si="2"/>
        <v>21938.431037517003</v>
      </c>
      <c r="G139" s="33">
        <v>49</v>
      </c>
      <c r="H139" s="33">
        <v>0</v>
      </c>
      <c r="I139" s="12" t="s">
        <v>160</v>
      </c>
      <c r="J139" s="34">
        <v>40.845888333300003</v>
      </c>
      <c r="K139" s="34">
        <v>72.078975</v>
      </c>
      <c r="L139" s="14">
        <v>40</v>
      </c>
      <c r="M139" s="12" t="s">
        <v>185</v>
      </c>
      <c r="N139" s="12"/>
      <c r="O139" s="24" t="s">
        <v>19</v>
      </c>
    </row>
    <row r="140" spans="1:15" ht="30" customHeight="1">
      <c r="A140" s="5" t="s">
        <v>103</v>
      </c>
      <c r="B140" s="34" t="s">
        <v>612</v>
      </c>
      <c r="C140" s="34" t="s">
        <v>462</v>
      </c>
      <c r="D140" s="31">
        <v>170265.16805089536</v>
      </c>
      <c r="E140" s="32">
        <v>143687.84275337835</v>
      </c>
      <c r="F140" s="31">
        <f t="shared" si="2"/>
        <v>26577.325297517003</v>
      </c>
      <c r="G140" s="33">
        <v>133</v>
      </c>
      <c r="H140" s="33">
        <v>3</v>
      </c>
      <c r="I140" s="12" t="s">
        <v>84</v>
      </c>
      <c r="J140" s="34">
        <v>40.831020376700003</v>
      </c>
      <c r="K140" s="34">
        <v>72.119740415600006</v>
      </c>
      <c r="L140" s="14">
        <v>100</v>
      </c>
      <c r="M140" s="12" t="s">
        <v>85</v>
      </c>
      <c r="N140" s="12"/>
      <c r="O140" s="24" t="s">
        <v>19</v>
      </c>
    </row>
    <row r="141" spans="1:15" ht="30" customHeight="1">
      <c r="A141" s="5" t="s">
        <v>103</v>
      </c>
      <c r="B141" s="34" t="s">
        <v>612</v>
      </c>
      <c r="C141" s="34" t="s">
        <v>463</v>
      </c>
      <c r="D141" s="31">
        <v>75479.081270895331</v>
      </c>
      <c r="E141" s="32">
        <v>60760.382753378348</v>
      </c>
      <c r="F141" s="31">
        <f t="shared" si="2"/>
        <v>14718.698517516983</v>
      </c>
      <c r="G141" s="33">
        <v>129</v>
      </c>
      <c r="H141" s="33">
        <v>1</v>
      </c>
      <c r="I141" s="12" t="s">
        <v>170</v>
      </c>
      <c r="J141" s="34">
        <v>40.8254529031</v>
      </c>
      <c r="K141" s="34">
        <v>72.125863367899996</v>
      </c>
      <c r="L141" s="14">
        <v>100</v>
      </c>
      <c r="M141" s="12" t="s">
        <v>186</v>
      </c>
      <c r="N141" s="12"/>
      <c r="O141" s="24" t="s">
        <v>19</v>
      </c>
    </row>
    <row r="142" spans="1:15" ht="30" customHeight="1">
      <c r="A142" s="5" t="s">
        <v>103</v>
      </c>
      <c r="B142" s="34" t="s">
        <v>612</v>
      </c>
      <c r="C142" s="34" t="s">
        <v>464</v>
      </c>
      <c r="D142" s="31">
        <v>34500.679610895342</v>
      </c>
      <c r="E142" s="32">
        <v>24908.762753378349</v>
      </c>
      <c r="F142" s="31">
        <f t="shared" si="2"/>
        <v>9591.9168575169933</v>
      </c>
      <c r="G142" s="33">
        <v>51</v>
      </c>
      <c r="H142" s="33">
        <v>0</v>
      </c>
      <c r="I142" s="12" t="s">
        <v>153</v>
      </c>
      <c r="J142" s="34">
        <v>40.8212983333</v>
      </c>
      <c r="K142" s="34">
        <v>72.128469999999993</v>
      </c>
      <c r="L142" s="14">
        <v>160</v>
      </c>
      <c r="M142" s="12" t="s">
        <v>187</v>
      </c>
      <c r="N142" s="12"/>
      <c r="O142" s="24" t="s">
        <v>19</v>
      </c>
    </row>
    <row r="143" spans="1:15" ht="30" customHeight="1">
      <c r="A143" s="5" t="s">
        <v>103</v>
      </c>
      <c r="B143" s="34" t="s">
        <v>612</v>
      </c>
      <c r="C143" s="34" t="s">
        <v>465</v>
      </c>
      <c r="D143" s="31">
        <v>100186.16927089532</v>
      </c>
      <c r="E143" s="32">
        <v>82376.382753378333</v>
      </c>
      <c r="F143" s="31">
        <f t="shared" si="2"/>
        <v>17809.786517516986</v>
      </c>
      <c r="G143" s="33">
        <v>55</v>
      </c>
      <c r="H143" s="33">
        <v>0</v>
      </c>
      <c r="I143" s="12" t="s">
        <v>104</v>
      </c>
      <c r="J143" s="34">
        <v>40.817111666700001</v>
      </c>
      <c r="K143" s="34">
        <v>72.1181916667</v>
      </c>
      <c r="L143" s="14">
        <v>63</v>
      </c>
      <c r="M143" s="12" t="s">
        <v>188</v>
      </c>
      <c r="N143" s="12"/>
      <c r="O143" s="24" t="s">
        <v>19</v>
      </c>
    </row>
    <row r="144" spans="1:15" ht="30" customHeight="1">
      <c r="A144" s="5" t="s">
        <v>103</v>
      </c>
      <c r="B144" s="34" t="s">
        <v>612</v>
      </c>
      <c r="C144" s="34" t="s">
        <v>466</v>
      </c>
      <c r="D144" s="31">
        <v>93981.713810895337</v>
      </c>
      <c r="E144" s="32">
        <v>76948.162753378347</v>
      </c>
      <c r="F144" s="31">
        <f t="shared" si="2"/>
        <v>17033.55105751699</v>
      </c>
      <c r="G144" s="33">
        <v>60</v>
      </c>
      <c r="H144" s="33">
        <v>3</v>
      </c>
      <c r="I144" s="12" t="s">
        <v>153</v>
      </c>
      <c r="J144" s="34">
        <v>40.820258333300004</v>
      </c>
      <c r="K144" s="34">
        <v>72.133414999999999</v>
      </c>
      <c r="L144" s="14">
        <v>100</v>
      </c>
      <c r="M144" s="12" t="s">
        <v>189</v>
      </c>
      <c r="N144" s="12"/>
      <c r="O144" s="24" t="s">
        <v>19</v>
      </c>
    </row>
    <row r="145" spans="1:15" ht="30" customHeight="1">
      <c r="A145" s="5" t="s">
        <v>103</v>
      </c>
      <c r="B145" s="34" t="s">
        <v>612</v>
      </c>
      <c r="C145" s="34" t="s">
        <v>467</v>
      </c>
      <c r="D145" s="31">
        <v>90329.977400895339</v>
      </c>
      <c r="E145" s="32">
        <v>73753.292753378351</v>
      </c>
      <c r="F145" s="31">
        <f t="shared" si="2"/>
        <v>16576.684647516988</v>
      </c>
      <c r="G145" s="33">
        <v>30</v>
      </c>
      <c r="H145" s="33">
        <v>3</v>
      </c>
      <c r="I145" s="12" t="s">
        <v>56</v>
      </c>
      <c r="J145" s="34">
        <v>40.8469716667</v>
      </c>
      <c r="K145" s="34">
        <v>72.074391666699995</v>
      </c>
      <c r="L145" s="14">
        <v>160</v>
      </c>
      <c r="M145" s="12" t="s">
        <v>190</v>
      </c>
      <c r="N145" s="12"/>
      <c r="O145" s="24" t="s">
        <v>19</v>
      </c>
    </row>
    <row r="146" spans="1:15" ht="30" customHeight="1">
      <c r="A146" s="5" t="s">
        <v>103</v>
      </c>
      <c r="B146" s="34" t="s">
        <v>613</v>
      </c>
      <c r="C146" s="34" t="s">
        <v>468</v>
      </c>
      <c r="D146" s="31">
        <v>74132.03291089533</v>
      </c>
      <c r="E146" s="32">
        <v>59581.862753378344</v>
      </c>
      <c r="F146" s="31">
        <f t="shared" si="2"/>
        <v>14550.170157516986</v>
      </c>
      <c r="G146" s="33">
        <v>25</v>
      </c>
      <c r="H146" s="33">
        <v>3</v>
      </c>
      <c r="I146" s="12" t="s">
        <v>104</v>
      </c>
      <c r="J146" s="34">
        <v>40.820270000000001</v>
      </c>
      <c r="K146" s="34">
        <v>72.169821666700003</v>
      </c>
      <c r="L146" s="14">
        <v>160</v>
      </c>
      <c r="M146" s="12" t="s">
        <v>191</v>
      </c>
      <c r="N146" s="12"/>
      <c r="O146" s="24" t="s">
        <v>19</v>
      </c>
    </row>
    <row r="147" spans="1:15" ht="30" customHeight="1">
      <c r="A147" s="5" t="s">
        <v>192</v>
      </c>
      <c r="B147" s="34" t="s">
        <v>613</v>
      </c>
      <c r="C147" s="34" t="s">
        <v>469</v>
      </c>
      <c r="D147" s="31">
        <v>50696.623850895339</v>
      </c>
      <c r="E147" s="32">
        <v>39078.442753378346</v>
      </c>
      <c r="F147" s="31">
        <f t="shared" si="2"/>
        <v>11618.181097516994</v>
      </c>
      <c r="G147" s="33">
        <v>54</v>
      </c>
      <c r="H147" s="33">
        <v>0</v>
      </c>
      <c r="I147" s="12" t="s">
        <v>193</v>
      </c>
      <c r="J147" s="34">
        <v>40.834253333299998</v>
      </c>
      <c r="K147" s="34">
        <v>72.203491666700003</v>
      </c>
      <c r="L147" s="20">
        <v>100</v>
      </c>
      <c r="M147" s="12" t="s">
        <v>194</v>
      </c>
      <c r="N147" s="12"/>
      <c r="O147" s="24" t="s">
        <v>19</v>
      </c>
    </row>
    <row r="148" spans="1:15" ht="30" customHeight="1">
      <c r="A148" s="5" t="s">
        <v>192</v>
      </c>
      <c r="B148" s="34" t="s">
        <v>613</v>
      </c>
      <c r="C148" s="34" t="s">
        <v>470</v>
      </c>
      <c r="D148" s="31">
        <v>260643.90398089538</v>
      </c>
      <c r="E148" s="32">
        <v>222759.35275337836</v>
      </c>
      <c r="F148" s="31">
        <f t="shared" si="2"/>
        <v>37884.551227517019</v>
      </c>
      <c r="G148" s="33">
        <v>95</v>
      </c>
      <c r="H148" s="33">
        <v>3</v>
      </c>
      <c r="I148" s="12" t="s">
        <v>193</v>
      </c>
      <c r="J148" s="34">
        <v>40.837441666700002</v>
      </c>
      <c r="K148" s="34">
        <v>72.2019633333</v>
      </c>
      <c r="L148" s="20">
        <v>100</v>
      </c>
      <c r="M148" s="12" t="s">
        <v>195</v>
      </c>
      <c r="N148" s="12"/>
      <c r="O148" s="24" t="s">
        <v>19</v>
      </c>
    </row>
    <row r="149" spans="1:15" ht="30" customHeight="1">
      <c r="A149" s="5" t="s">
        <v>192</v>
      </c>
      <c r="B149" s="34" t="s">
        <v>613</v>
      </c>
      <c r="C149" s="34" t="s">
        <v>471</v>
      </c>
      <c r="D149" s="31">
        <v>228180.72659089536</v>
      </c>
      <c r="E149" s="32">
        <v>194357.62275337835</v>
      </c>
      <c r="F149" s="31">
        <f t="shared" si="2"/>
        <v>33823.103837517003</v>
      </c>
      <c r="G149" s="33">
        <v>111</v>
      </c>
      <c r="H149" s="33">
        <v>0</v>
      </c>
      <c r="I149" s="12" t="s">
        <v>196</v>
      </c>
      <c r="J149" s="34">
        <v>40.832535</v>
      </c>
      <c r="K149" s="34">
        <v>72.175714999999997</v>
      </c>
      <c r="L149" s="20">
        <v>160</v>
      </c>
      <c r="M149" s="12" t="s">
        <v>197</v>
      </c>
      <c r="N149" s="12"/>
      <c r="O149" s="24" t="s">
        <v>19</v>
      </c>
    </row>
    <row r="150" spans="1:15" ht="30" customHeight="1">
      <c r="A150" s="5" t="s">
        <v>192</v>
      </c>
      <c r="B150" s="34" t="s">
        <v>606</v>
      </c>
      <c r="C150" s="34" t="s">
        <v>472</v>
      </c>
      <c r="D150" s="31">
        <v>146320.33532089536</v>
      </c>
      <c r="E150" s="32">
        <v>122738.73275337835</v>
      </c>
      <c r="F150" s="31">
        <f t="shared" si="2"/>
        <v>23581.602567517009</v>
      </c>
      <c r="G150" s="33">
        <v>62</v>
      </c>
      <c r="H150" s="33">
        <v>0</v>
      </c>
      <c r="I150" s="12" t="s">
        <v>196</v>
      </c>
      <c r="J150" s="34">
        <v>40.862508333299999</v>
      </c>
      <c r="K150" s="34">
        <v>72.001638333299994</v>
      </c>
      <c r="L150" s="20">
        <v>63</v>
      </c>
      <c r="M150" s="12" t="s">
        <v>198</v>
      </c>
      <c r="N150" s="12"/>
      <c r="O150" s="24" t="s">
        <v>19</v>
      </c>
    </row>
    <row r="151" spans="1:15" ht="30" customHeight="1">
      <c r="A151" s="5" t="s">
        <v>192</v>
      </c>
      <c r="B151" s="34" t="s">
        <v>608</v>
      </c>
      <c r="C151" s="34" t="s">
        <v>473</v>
      </c>
      <c r="D151" s="31">
        <v>150583.42814089535</v>
      </c>
      <c r="E151" s="32">
        <v>126468.47275337834</v>
      </c>
      <c r="F151" s="31">
        <f t="shared" si="2"/>
        <v>24114.95538751701</v>
      </c>
      <c r="G151" s="33">
        <v>75</v>
      </c>
      <c r="H151" s="33">
        <v>0</v>
      </c>
      <c r="I151" s="12" t="s">
        <v>193</v>
      </c>
      <c r="J151" s="34">
        <v>40.881864999999998</v>
      </c>
      <c r="K151" s="34">
        <v>71.974893333300002</v>
      </c>
      <c r="L151" s="20">
        <v>250</v>
      </c>
      <c r="M151" s="12" t="s">
        <v>128</v>
      </c>
      <c r="N151" s="12"/>
      <c r="O151" s="24" t="s">
        <v>19</v>
      </c>
    </row>
    <row r="152" spans="1:15" ht="30" customHeight="1">
      <c r="A152" s="5" t="s">
        <v>192</v>
      </c>
      <c r="B152" s="34" t="s">
        <v>608</v>
      </c>
      <c r="C152" s="34" t="s">
        <v>474</v>
      </c>
      <c r="D152" s="31">
        <v>113732.74238089532</v>
      </c>
      <c r="E152" s="32">
        <v>94228.152753378337</v>
      </c>
      <c r="F152" s="31">
        <f t="shared" si="2"/>
        <v>19504.58962751698</v>
      </c>
      <c r="G152" s="33">
        <v>47</v>
      </c>
      <c r="H152" s="33">
        <v>0</v>
      </c>
      <c r="I152" s="12" t="s">
        <v>196</v>
      </c>
      <c r="J152" s="34">
        <v>40.871471666700003</v>
      </c>
      <c r="K152" s="34">
        <v>71.970541666700001</v>
      </c>
      <c r="L152" s="20">
        <v>63</v>
      </c>
      <c r="M152" s="12" t="s">
        <v>199</v>
      </c>
      <c r="N152" s="12"/>
      <c r="O152" s="24" t="s">
        <v>19</v>
      </c>
    </row>
    <row r="153" spans="1:15" ht="30" customHeight="1">
      <c r="A153" s="5" t="s">
        <v>192</v>
      </c>
      <c r="B153" s="34" t="s">
        <v>612</v>
      </c>
      <c r="C153" s="34" t="s">
        <v>475</v>
      </c>
      <c r="D153" s="31">
        <v>247226.78705089536</v>
      </c>
      <c r="E153" s="32">
        <v>211020.84275337835</v>
      </c>
      <c r="F153" s="31">
        <f t="shared" si="2"/>
        <v>36205.94429751701</v>
      </c>
      <c r="G153" s="33">
        <v>132</v>
      </c>
      <c r="H153" s="33">
        <v>3</v>
      </c>
      <c r="I153" s="12" t="s">
        <v>196</v>
      </c>
      <c r="J153" s="34">
        <v>40.847968333300003</v>
      </c>
      <c r="K153" s="34">
        <v>72.039503333300004</v>
      </c>
      <c r="L153" s="20">
        <v>100</v>
      </c>
      <c r="M153" s="12" t="s">
        <v>200</v>
      </c>
      <c r="N153" s="12"/>
      <c r="O153" s="24" t="s">
        <v>19</v>
      </c>
    </row>
    <row r="154" spans="1:15" ht="30" customHeight="1">
      <c r="A154" s="5" t="s">
        <v>192</v>
      </c>
      <c r="B154" s="34" t="s">
        <v>612</v>
      </c>
      <c r="C154" s="34" t="s">
        <v>476</v>
      </c>
      <c r="D154" s="31">
        <v>111011.76230089532</v>
      </c>
      <c r="E154" s="32">
        <v>91847.59275337834</v>
      </c>
      <c r="F154" s="31">
        <f t="shared" si="2"/>
        <v>19164.169547516984</v>
      </c>
      <c r="G154" s="33">
        <v>86</v>
      </c>
      <c r="H154" s="33">
        <v>0</v>
      </c>
      <c r="I154" s="12" t="s">
        <v>196</v>
      </c>
      <c r="J154" s="34">
        <v>40.817636666699997</v>
      </c>
      <c r="K154" s="34">
        <v>72.128388333299995</v>
      </c>
      <c r="L154" s="20">
        <v>100</v>
      </c>
      <c r="M154" s="12" t="s">
        <v>201</v>
      </c>
      <c r="N154" s="12"/>
      <c r="O154" s="24" t="s">
        <v>19</v>
      </c>
    </row>
    <row r="155" spans="1:15" ht="30" customHeight="1">
      <c r="A155" s="5" t="s">
        <v>192</v>
      </c>
      <c r="B155" s="34" t="s">
        <v>611</v>
      </c>
      <c r="C155" s="34" t="s">
        <v>477</v>
      </c>
      <c r="D155" s="31">
        <v>236774.44067089536</v>
      </c>
      <c r="E155" s="32">
        <v>201876.18275337835</v>
      </c>
      <c r="F155" s="31">
        <f t="shared" si="2"/>
        <v>34898.25791751701</v>
      </c>
      <c r="G155" s="33">
        <v>95</v>
      </c>
      <c r="H155" s="33">
        <v>0</v>
      </c>
      <c r="I155" s="12" t="s">
        <v>202</v>
      </c>
      <c r="J155" s="34">
        <v>40.863979999999998</v>
      </c>
      <c r="K155" s="34">
        <v>72.082644999999999</v>
      </c>
      <c r="L155" s="20">
        <v>160</v>
      </c>
      <c r="M155" s="12" t="s">
        <v>203</v>
      </c>
      <c r="N155" s="12"/>
      <c r="O155" s="24" t="s">
        <v>19</v>
      </c>
    </row>
    <row r="156" spans="1:15" ht="30" customHeight="1">
      <c r="A156" s="5" t="s">
        <v>192</v>
      </c>
      <c r="B156" s="34" t="s">
        <v>609</v>
      </c>
      <c r="C156" s="34" t="s">
        <v>478</v>
      </c>
      <c r="D156" s="31">
        <v>599268.94682089519</v>
      </c>
      <c r="E156" s="32">
        <v>519019.23275337828</v>
      </c>
      <c r="F156" s="31">
        <f t="shared" si="2"/>
        <v>80249.714067516907</v>
      </c>
      <c r="G156" s="33">
        <v>111</v>
      </c>
      <c r="H156" s="33">
        <v>0</v>
      </c>
      <c r="I156" s="12" t="s">
        <v>202</v>
      </c>
      <c r="J156" s="34">
        <v>40.869881666700003</v>
      </c>
      <c r="K156" s="34">
        <v>71.981340000000003</v>
      </c>
      <c r="L156" s="20">
        <v>250</v>
      </c>
      <c r="M156" s="12" t="s">
        <v>204</v>
      </c>
      <c r="N156" s="12"/>
      <c r="O156" s="24" t="s">
        <v>19</v>
      </c>
    </row>
    <row r="157" spans="1:15" ht="30" customHeight="1">
      <c r="A157" s="5" t="s">
        <v>192</v>
      </c>
      <c r="B157" s="34" t="s">
        <v>608</v>
      </c>
      <c r="C157" s="34" t="s">
        <v>479</v>
      </c>
      <c r="D157" s="31">
        <v>96886.636880895341</v>
      </c>
      <c r="E157" s="32">
        <v>79489.652753378352</v>
      </c>
      <c r="F157" s="31">
        <f t="shared" si="2"/>
        <v>17396.984127516989</v>
      </c>
      <c r="G157" s="33">
        <v>60</v>
      </c>
      <c r="H157" s="33">
        <v>0</v>
      </c>
      <c r="I157" s="12" t="s">
        <v>196</v>
      </c>
      <c r="J157" s="34">
        <v>40.883203333300003</v>
      </c>
      <c r="K157" s="34">
        <v>71.969184999999996</v>
      </c>
      <c r="L157" s="14">
        <v>100</v>
      </c>
      <c r="M157" s="12" t="s">
        <v>205</v>
      </c>
      <c r="N157" s="12"/>
      <c r="O157" s="24" t="s">
        <v>19</v>
      </c>
    </row>
    <row r="158" spans="1:15" ht="30" customHeight="1">
      <c r="A158" s="5" t="s">
        <v>192</v>
      </c>
      <c r="B158" s="34" t="s">
        <v>610</v>
      </c>
      <c r="C158" s="34" t="s">
        <v>480</v>
      </c>
      <c r="D158" s="31">
        <v>85908.784820895336</v>
      </c>
      <c r="E158" s="32">
        <v>69885.232753378354</v>
      </c>
      <c r="F158" s="31">
        <f t="shared" si="2"/>
        <v>16023.552067516983</v>
      </c>
      <c r="G158" s="33">
        <v>26</v>
      </c>
      <c r="H158" s="33">
        <v>0</v>
      </c>
      <c r="I158" s="12" t="s">
        <v>206</v>
      </c>
      <c r="J158" s="34">
        <v>40.877465000000001</v>
      </c>
      <c r="K158" s="34">
        <v>72.08811</v>
      </c>
      <c r="L158" s="14">
        <v>250</v>
      </c>
      <c r="M158" s="12" t="s">
        <v>207</v>
      </c>
      <c r="N158" s="12"/>
      <c r="O158" s="24" t="s">
        <v>19</v>
      </c>
    </row>
    <row r="159" spans="1:15" ht="30" customHeight="1">
      <c r="A159" s="5" t="s">
        <v>192</v>
      </c>
      <c r="B159" s="34" t="s">
        <v>608</v>
      </c>
      <c r="C159" s="34" t="s">
        <v>481</v>
      </c>
      <c r="D159" s="31">
        <v>75565.172030895337</v>
      </c>
      <c r="E159" s="32">
        <v>60835.702753378355</v>
      </c>
      <c r="F159" s="31">
        <f t="shared" si="2"/>
        <v>14729.469277516982</v>
      </c>
      <c r="G159" s="33">
        <v>44</v>
      </c>
      <c r="H159" s="33">
        <v>0</v>
      </c>
      <c r="I159" s="12" t="s">
        <v>51</v>
      </c>
      <c r="J159" s="34">
        <v>40.886789999999998</v>
      </c>
      <c r="K159" s="34">
        <v>71.967898333299999</v>
      </c>
      <c r="L159" s="14">
        <v>100</v>
      </c>
      <c r="M159" s="12" t="s">
        <v>208</v>
      </c>
      <c r="N159" s="12"/>
      <c r="O159" s="24" t="s">
        <v>19</v>
      </c>
    </row>
    <row r="160" spans="1:15" ht="30" customHeight="1">
      <c r="A160" s="5" t="s">
        <v>192</v>
      </c>
      <c r="B160" s="34" t="s">
        <v>612</v>
      </c>
      <c r="C160" s="34" t="s">
        <v>482</v>
      </c>
      <c r="D160" s="31">
        <v>146343.77825089535</v>
      </c>
      <c r="E160" s="32">
        <v>122759.24275337835</v>
      </c>
      <c r="F160" s="31">
        <f t="shared" si="2"/>
        <v>23584.535497517005</v>
      </c>
      <c r="G160" s="33">
        <v>67</v>
      </c>
      <c r="H160" s="33">
        <v>1</v>
      </c>
      <c r="I160" s="12" t="s">
        <v>202</v>
      </c>
      <c r="J160" s="34">
        <v>40.813769904799997</v>
      </c>
      <c r="K160" s="34">
        <v>72.127671415400002</v>
      </c>
      <c r="L160" s="14">
        <v>100</v>
      </c>
      <c r="M160" s="12" t="s">
        <v>209</v>
      </c>
      <c r="N160" s="12"/>
      <c r="O160" s="24" t="s">
        <v>19</v>
      </c>
    </row>
    <row r="161" spans="1:15" ht="30" customHeight="1">
      <c r="A161" s="5" t="s">
        <v>192</v>
      </c>
      <c r="B161" s="34" t="s">
        <v>608</v>
      </c>
      <c r="C161" s="34" t="s">
        <v>483</v>
      </c>
      <c r="D161" s="31">
        <v>78545.304500895334</v>
      </c>
      <c r="E161" s="32">
        <v>63442.992753378348</v>
      </c>
      <c r="F161" s="31">
        <f t="shared" si="2"/>
        <v>15102.311747516986</v>
      </c>
      <c r="G161" s="33">
        <v>139</v>
      </c>
      <c r="H161" s="33">
        <v>1</v>
      </c>
      <c r="I161" s="12" t="s">
        <v>94</v>
      </c>
      <c r="J161" s="34">
        <v>40.868474999999997</v>
      </c>
      <c r="K161" s="34">
        <v>71.973686666700004</v>
      </c>
      <c r="L161" s="14">
        <v>100</v>
      </c>
      <c r="M161" s="12" t="s">
        <v>210</v>
      </c>
      <c r="N161" s="12"/>
      <c r="O161" s="24" t="s">
        <v>19</v>
      </c>
    </row>
    <row r="162" spans="1:15" ht="30" customHeight="1">
      <c r="A162" s="5" t="s">
        <v>192</v>
      </c>
      <c r="B162" s="34" t="s">
        <v>610</v>
      </c>
      <c r="C162" s="34" t="s">
        <v>484</v>
      </c>
      <c r="D162" s="31">
        <v>124080.59570089533</v>
      </c>
      <c r="E162" s="32">
        <v>103281.39275337834</v>
      </c>
      <c r="F162" s="31">
        <f t="shared" si="2"/>
        <v>20799.202947516984</v>
      </c>
      <c r="G162" s="33">
        <v>220</v>
      </c>
      <c r="H162" s="33">
        <v>2</v>
      </c>
      <c r="I162" s="12" t="s">
        <v>193</v>
      </c>
      <c r="J162" s="34">
        <v>40.877846666700002</v>
      </c>
      <c r="K162" s="34">
        <v>72.089301666699996</v>
      </c>
      <c r="L162" s="14">
        <v>100</v>
      </c>
      <c r="M162" s="12" t="s">
        <v>211</v>
      </c>
      <c r="N162" s="12"/>
      <c r="O162" s="24" t="s">
        <v>19</v>
      </c>
    </row>
    <row r="163" spans="1:15" ht="30" customHeight="1">
      <c r="A163" s="5" t="s">
        <v>103</v>
      </c>
      <c r="B163" s="34" t="s">
        <v>613</v>
      </c>
      <c r="C163" s="34" t="s">
        <v>485</v>
      </c>
      <c r="D163" s="31">
        <v>216011.44562089533</v>
      </c>
      <c r="E163" s="32">
        <v>183710.83275337834</v>
      </c>
      <c r="F163" s="31">
        <f t="shared" si="2"/>
        <v>32300.612867516989</v>
      </c>
      <c r="G163" s="33">
        <v>78</v>
      </c>
      <c r="H163" s="33">
        <v>4</v>
      </c>
      <c r="I163" s="12" t="s">
        <v>116</v>
      </c>
      <c r="J163" s="34">
        <v>40.820733333299998</v>
      </c>
      <c r="K163" s="34">
        <v>72.163296666700006</v>
      </c>
      <c r="L163" s="20">
        <v>63</v>
      </c>
      <c r="M163" s="12" t="s">
        <v>99</v>
      </c>
      <c r="N163" s="12"/>
      <c r="O163" s="24" t="s">
        <v>19</v>
      </c>
    </row>
    <row r="164" spans="1:15" ht="30" customHeight="1">
      <c r="A164" s="5" t="s">
        <v>103</v>
      </c>
      <c r="B164" s="34" t="s">
        <v>612</v>
      </c>
      <c r="C164" s="34" t="s">
        <v>486</v>
      </c>
      <c r="D164" s="31">
        <v>107643.10127089532</v>
      </c>
      <c r="E164" s="32">
        <v>88900.382753378333</v>
      </c>
      <c r="F164" s="31">
        <f t="shared" si="2"/>
        <v>18742.718517516987</v>
      </c>
      <c r="G164" s="33">
        <v>65</v>
      </c>
      <c r="H164" s="33">
        <v>1</v>
      </c>
      <c r="I164" s="12" t="s">
        <v>116</v>
      </c>
      <c r="J164" s="34">
        <v>40.852661666700001</v>
      </c>
      <c r="K164" s="34">
        <v>72.0707816667</v>
      </c>
      <c r="L164" s="20">
        <v>100</v>
      </c>
      <c r="M164" s="12" t="s">
        <v>212</v>
      </c>
      <c r="N164" s="12"/>
      <c r="O164" s="24" t="s">
        <v>19</v>
      </c>
    </row>
    <row r="165" spans="1:15" ht="30" customHeight="1">
      <c r="A165" s="5" t="s">
        <v>103</v>
      </c>
      <c r="B165" s="34" t="s">
        <v>609</v>
      </c>
      <c r="C165" s="34" t="s">
        <v>487</v>
      </c>
      <c r="D165" s="31">
        <v>141784.16837089535</v>
      </c>
      <c r="E165" s="32">
        <v>118770.08275337834</v>
      </c>
      <c r="F165" s="31">
        <f t="shared" si="2"/>
        <v>23014.085617517005</v>
      </c>
      <c r="G165" s="33">
        <v>87</v>
      </c>
      <c r="H165" s="33">
        <v>0</v>
      </c>
      <c r="I165" s="12" t="s">
        <v>116</v>
      </c>
      <c r="J165" s="34">
        <v>40.877846666700002</v>
      </c>
      <c r="K165" s="34">
        <v>72.000298333299995</v>
      </c>
      <c r="L165" s="20">
        <v>100</v>
      </c>
      <c r="M165" s="12" t="s">
        <v>213</v>
      </c>
      <c r="N165" s="12"/>
      <c r="O165" s="24" t="s">
        <v>19</v>
      </c>
    </row>
    <row r="166" spans="1:15" ht="30" customHeight="1">
      <c r="A166" s="5" t="s">
        <v>103</v>
      </c>
      <c r="B166" s="34" t="s">
        <v>606</v>
      </c>
      <c r="C166" s="34" t="s">
        <v>488</v>
      </c>
      <c r="D166" s="31">
        <v>259707.78698089538</v>
      </c>
      <c r="E166" s="32">
        <v>221940.35275337836</v>
      </c>
      <c r="F166" s="31">
        <f t="shared" si="2"/>
        <v>37767.43422751702</v>
      </c>
      <c r="G166" s="33">
        <v>106</v>
      </c>
      <c r="H166" s="33">
        <v>0</v>
      </c>
      <c r="I166" s="12" t="s">
        <v>116</v>
      </c>
      <c r="J166" s="34">
        <v>40.869096666700003</v>
      </c>
      <c r="K166" s="34">
        <v>71.993186666699998</v>
      </c>
      <c r="L166" s="20">
        <v>160</v>
      </c>
      <c r="M166" s="12" t="s">
        <v>214</v>
      </c>
      <c r="N166" s="12"/>
      <c r="O166" s="24" t="s">
        <v>19</v>
      </c>
    </row>
    <row r="167" spans="1:15" ht="30" customHeight="1">
      <c r="A167" s="5" t="s">
        <v>103</v>
      </c>
      <c r="B167" s="34" t="s">
        <v>611</v>
      </c>
      <c r="C167" s="34" t="s">
        <v>489</v>
      </c>
      <c r="D167" s="31">
        <v>51216.528830895339</v>
      </c>
      <c r="E167" s="32">
        <v>39533.302753378346</v>
      </c>
      <c r="F167" s="31">
        <f t="shared" si="2"/>
        <v>11683.226077516993</v>
      </c>
      <c r="G167" s="33">
        <v>64</v>
      </c>
      <c r="H167" s="33">
        <v>0</v>
      </c>
      <c r="I167" s="12" t="s">
        <v>215</v>
      </c>
      <c r="J167" s="34">
        <v>40.859043333300001</v>
      </c>
      <c r="K167" s="34">
        <v>72.065916666700005</v>
      </c>
      <c r="L167" s="20">
        <v>250</v>
      </c>
      <c r="M167" s="12"/>
      <c r="N167" s="12" t="s">
        <v>216</v>
      </c>
      <c r="O167" s="24" t="s">
        <v>19</v>
      </c>
    </row>
    <row r="168" spans="1:15" ht="30" customHeight="1">
      <c r="A168" s="5" t="s">
        <v>103</v>
      </c>
      <c r="B168" s="34" t="s">
        <v>610</v>
      </c>
      <c r="C168" s="34" t="s">
        <v>490</v>
      </c>
      <c r="D168" s="31">
        <v>206412.16586089536</v>
      </c>
      <c r="E168" s="32">
        <v>175312.51275337837</v>
      </c>
      <c r="F168" s="31">
        <f t="shared" si="2"/>
        <v>31099.653107516991</v>
      </c>
      <c r="G168" s="33">
        <v>129</v>
      </c>
      <c r="H168" s="33">
        <v>0</v>
      </c>
      <c r="I168" s="12" t="s">
        <v>215</v>
      </c>
      <c r="J168" s="34">
        <v>40.880443333300001</v>
      </c>
      <c r="K168" s="34">
        <v>72.033211666699998</v>
      </c>
      <c r="L168" s="20">
        <v>400</v>
      </c>
      <c r="M168" s="12" t="s">
        <v>217</v>
      </c>
      <c r="N168" s="12"/>
      <c r="O168" s="24" t="s">
        <v>19</v>
      </c>
    </row>
    <row r="169" spans="1:15" ht="30" customHeight="1">
      <c r="A169" s="5" t="s">
        <v>103</v>
      </c>
      <c r="B169" s="34" t="s">
        <v>609</v>
      </c>
      <c r="C169" s="34" t="s">
        <v>491</v>
      </c>
      <c r="D169" s="31">
        <v>191153.13872089537</v>
      </c>
      <c r="E169" s="32">
        <v>161962.53275337836</v>
      </c>
      <c r="F169" s="31">
        <f t="shared" si="2"/>
        <v>29190.605967517011</v>
      </c>
      <c r="G169" s="33">
        <v>79</v>
      </c>
      <c r="H169" s="33">
        <v>1</v>
      </c>
      <c r="I169" s="12" t="s">
        <v>215</v>
      </c>
      <c r="J169" s="34">
        <v>40.874026666600002</v>
      </c>
      <c r="K169" s="34">
        <v>72.094549999700007</v>
      </c>
      <c r="L169" s="20">
        <v>160</v>
      </c>
      <c r="M169" s="12" t="s">
        <v>218</v>
      </c>
      <c r="N169" s="12"/>
      <c r="O169" s="24" t="s">
        <v>19</v>
      </c>
    </row>
    <row r="170" spans="1:15" ht="30" customHeight="1">
      <c r="A170" s="5" t="s">
        <v>103</v>
      </c>
      <c r="B170" s="34" t="s">
        <v>609</v>
      </c>
      <c r="C170" s="34" t="s">
        <v>492</v>
      </c>
      <c r="D170" s="31">
        <v>113042.73614089533</v>
      </c>
      <c r="E170" s="32">
        <v>93624.472753378344</v>
      </c>
      <c r="F170" s="31">
        <f t="shared" si="2"/>
        <v>19418.263387516985</v>
      </c>
      <c r="G170" s="33">
        <v>49</v>
      </c>
      <c r="H170" s="33">
        <v>1</v>
      </c>
      <c r="I170" s="12" t="s">
        <v>118</v>
      </c>
      <c r="J170" s="34">
        <v>40.877225000000003</v>
      </c>
      <c r="K170" s="34">
        <v>71.997230000000002</v>
      </c>
      <c r="L170" s="27">
        <v>100</v>
      </c>
      <c r="M170" s="12" t="s">
        <v>219</v>
      </c>
      <c r="N170" s="12"/>
      <c r="O170" s="24" t="s">
        <v>19</v>
      </c>
    </row>
    <row r="171" spans="1:15" ht="30" customHeight="1">
      <c r="A171" s="5" t="s">
        <v>103</v>
      </c>
      <c r="B171" s="34" t="s">
        <v>609</v>
      </c>
      <c r="C171" s="34" t="s">
        <v>493</v>
      </c>
      <c r="D171" s="31">
        <v>150899.46764089534</v>
      </c>
      <c r="E171" s="32">
        <v>126744.97275337834</v>
      </c>
      <c r="F171" s="31">
        <f t="shared" si="2"/>
        <v>24154.494887516994</v>
      </c>
      <c r="G171" s="33">
        <v>106</v>
      </c>
      <c r="H171" s="33">
        <v>2</v>
      </c>
      <c r="I171" s="12" t="s">
        <v>118</v>
      </c>
      <c r="J171" s="34">
        <v>40.878791666700003</v>
      </c>
      <c r="K171" s="34">
        <v>72.014080000000007</v>
      </c>
      <c r="L171" s="20">
        <v>100</v>
      </c>
      <c r="M171" s="12" t="s">
        <v>220</v>
      </c>
      <c r="N171" s="12"/>
      <c r="O171" s="24" t="s">
        <v>19</v>
      </c>
    </row>
    <row r="172" spans="1:15" ht="30" customHeight="1">
      <c r="A172" s="5" t="s">
        <v>103</v>
      </c>
      <c r="B172" s="34" t="s">
        <v>605</v>
      </c>
      <c r="C172" s="34" t="s">
        <v>321</v>
      </c>
      <c r="D172" s="31">
        <v>162743.15591689537</v>
      </c>
      <c r="E172" s="32">
        <v>137106.90475337836</v>
      </c>
      <c r="F172" s="31">
        <f t="shared" si="2"/>
        <v>25636.251163517009</v>
      </c>
      <c r="G172" s="33">
        <v>78</v>
      </c>
      <c r="H172" s="33">
        <v>1</v>
      </c>
      <c r="I172" s="12" t="s">
        <v>118</v>
      </c>
      <c r="J172" s="34">
        <v>40.879103333300002</v>
      </c>
      <c r="K172" s="34">
        <v>71.946520000000007</v>
      </c>
      <c r="L172" s="20">
        <v>100</v>
      </c>
      <c r="M172" s="12" t="s">
        <v>221</v>
      </c>
      <c r="N172" s="12"/>
      <c r="O172" s="24" t="s">
        <v>19</v>
      </c>
    </row>
    <row r="173" spans="1:15" ht="30" customHeight="1">
      <c r="A173" s="5" t="s">
        <v>16</v>
      </c>
      <c r="B173" s="34" t="s">
        <v>610</v>
      </c>
      <c r="C173" s="34" t="s">
        <v>494</v>
      </c>
      <c r="D173" s="31">
        <v>124946.78396089532</v>
      </c>
      <c r="E173" s="32">
        <v>104039.21275337834</v>
      </c>
      <c r="F173" s="31">
        <f t="shared" si="2"/>
        <v>20907.571207516987</v>
      </c>
      <c r="G173" s="33">
        <v>91</v>
      </c>
      <c r="H173" s="33">
        <v>2</v>
      </c>
      <c r="I173" s="12"/>
      <c r="J173" s="34">
        <v>40.867316666699999</v>
      </c>
      <c r="K173" s="34">
        <v>72.0448633333</v>
      </c>
      <c r="L173" s="14">
        <v>400</v>
      </c>
      <c r="M173" s="12" t="s">
        <v>222</v>
      </c>
      <c r="N173" s="12"/>
      <c r="O173" s="24" t="s">
        <v>19</v>
      </c>
    </row>
    <row r="174" spans="1:15" ht="30" customHeight="1">
      <c r="A174" s="5" t="s">
        <v>16</v>
      </c>
      <c r="B174" s="34" t="s">
        <v>612</v>
      </c>
      <c r="C174" s="34" t="s">
        <v>495</v>
      </c>
      <c r="D174" s="31">
        <v>154877.88488089535</v>
      </c>
      <c r="E174" s="32">
        <v>130225.65275337834</v>
      </c>
      <c r="F174" s="31">
        <f t="shared" si="2"/>
        <v>24652.232127517011</v>
      </c>
      <c r="G174" s="33">
        <v>65</v>
      </c>
      <c r="H174" s="33">
        <v>5</v>
      </c>
      <c r="I174" s="12" t="s">
        <v>58</v>
      </c>
      <c r="J174" s="34">
        <v>40.821199999999997</v>
      </c>
      <c r="K174" s="34">
        <v>72.145963333300003</v>
      </c>
      <c r="L174" s="14">
        <v>100</v>
      </c>
      <c r="M174" s="12" t="s">
        <v>223</v>
      </c>
      <c r="N174" s="12"/>
      <c r="O174" s="24" t="s">
        <v>19</v>
      </c>
    </row>
    <row r="175" spans="1:15" ht="30" customHeight="1">
      <c r="A175" s="5" t="s">
        <v>16</v>
      </c>
      <c r="B175" s="34" t="s">
        <v>612</v>
      </c>
      <c r="C175" s="34" t="s">
        <v>496</v>
      </c>
      <c r="D175" s="31">
        <v>212000.70434089535</v>
      </c>
      <c r="E175" s="32">
        <v>180201.87275337835</v>
      </c>
      <c r="F175" s="31">
        <f t="shared" si="2"/>
        <v>31798.831587516994</v>
      </c>
      <c r="G175" s="33">
        <v>142</v>
      </c>
      <c r="H175" s="33">
        <v>3</v>
      </c>
      <c r="I175" s="12" t="s">
        <v>133</v>
      </c>
      <c r="J175" s="34">
        <v>40.853495000000002</v>
      </c>
      <c r="K175" s="34">
        <v>72.061329999999998</v>
      </c>
      <c r="L175" s="20">
        <v>250</v>
      </c>
      <c r="M175" s="12"/>
      <c r="N175" s="12" t="s">
        <v>224</v>
      </c>
      <c r="O175" s="24" t="s">
        <v>19</v>
      </c>
    </row>
    <row r="176" spans="1:15" ht="30" customHeight="1">
      <c r="A176" s="5" t="s">
        <v>16</v>
      </c>
      <c r="B176" s="34" t="s">
        <v>611</v>
      </c>
      <c r="C176" s="34" t="s">
        <v>497</v>
      </c>
      <c r="D176" s="31">
        <v>107591.97488089533</v>
      </c>
      <c r="E176" s="32">
        <v>88855.652753378337</v>
      </c>
      <c r="F176" s="31">
        <f t="shared" si="2"/>
        <v>18736.322127516993</v>
      </c>
      <c r="G176" s="33">
        <v>76</v>
      </c>
      <c r="H176" s="33">
        <v>0</v>
      </c>
      <c r="I176" s="12" t="s">
        <v>133</v>
      </c>
      <c r="J176" s="34">
        <v>40.8542466667</v>
      </c>
      <c r="K176" s="34">
        <v>72.141778333299996</v>
      </c>
      <c r="L176" s="25">
        <v>160</v>
      </c>
      <c r="M176" s="12" t="s">
        <v>225</v>
      </c>
      <c r="N176" s="12"/>
      <c r="O176" s="24" t="s">
        <v>19</v>
      </c>
    </row>
    <row r="177" spans="1:15" ht="30" customHeight="1">
      <c r="A177" s="5" t="s">
        <v>16</v>
      </c>
      <c r="B177" s="34" t="s">
        <v>611</v>
      </c>
      <c r="C177" s="34" t="s">
        <v>498</v>
      </c>
      <c r="D177" s="31">
        <v>118958.51552089532</v>
      </c>
      <c r="E177" s="32">
        <v>98800.132753378333</v>
      </c>
      <c r="F177" s="31">
        <f t="shared" si="2"/>
        <v>20158.382767516989</v>
      </c>
      <c r="G177" s="33">
        <v>101</v>
      </c>
      <c r="H177" s="33">
        <v>1</v>
      </c>
      <c r="I177" s="12" t="s">
        <v>133</v>
      </c>
      <c r="J177" s="34">
        <v>40.870876666699999</v>
      </c>
      <c r="K177" s="34">
        <v>72.127028333300004</v>
      </c>
      <c r="L177" s="20">
        <v>100</v>
      </c>
      <c r="M177" s="12" t="s">
        <v>226</v>
      </c>
      <c r="N177" s="12"/>
      <c r="O177" s="24" t="s">
        <v>19</v>
      </c>
    </row>
    <row r="178" spans="1:15" ht="30" customHeight="1">
      <c r="A178" s="5" t="s">
        <v>16</v>
      </c>
      <c r="B178" s="34" t="s">
        <v>606</v>
      </c>
      <c r="C178" s="34" t="s">
        <v>499</v>
      </c>
      <c r="D178" s="31">
        <v>122415.42758089534</v>
      </c>
      <c r="E178" s="32">
        <v>101824.55275337835</v>
      </c>
      <c r="F178" s="31">
        <f t="shared" si="2"/>
        <v>20590.874827516993</v>
      </c>
      <c r="G178" s="33">
        <v>99</v>
      </c>
      <c r="H178" s="33">
        <v>5</v>
      </c>
      <c r="I178" s="12" t="s">
        <v>32</v>
      </c>
      <c r="J178" s="34">
        <v>40.85586</v>
      </c>
      <c r="K178" s="34">
        <v>72.008968333300004</v>
      </c>
      <c r="L178" s="20">
        <v>100</v>
      </c>
      <c r="M178" s="12" t="s">
        <v>227</v>
      </c>
      <c r="N178" s="12"/>
      <c r="O178" s="24" t="s">
        <v>19</v>
      </c>
    </row>
    <row r="179" spans="1:15" ht="30" customHeight="1">
      <c r="A179" s="5" t="s">
        <v>16</v>
      </c>
      <c r="B179" s="34" t="s">
        <v>612</v>
      </c>
      <c r="C179" s="34" t="s">
        <v>500</v>
      </c>
      <c r="D179" s="31">
        <v>141158.17013089533</v>
      </c>
      <c r="E179" s="32">
        <v>118222.40275337834</v>
      </c>
      <c r="F179" s="31">
        <f t="shared" si="2"/>
        <v>22935.767377516997</v>
      </c>
      <c r="G179" s="33">
        <v>59</v>
      </c>
      <c r="H179" s="33">
        <v>1</v>
      </c>
      <c r="I179" s="12" t="s">
        <v>58</v>
      </c>
      <c r="J179" s="34">
        <v>40.827616666700003</v>
      </c>
      <c r="K179" s="34">
        <v>72.112166666700006</v>
      </c>
      <c r="L179" s="20">
        <v>100</v>
      </c>
      <c r="M179" s="12"/>
      <c r="N179" s="12" t="s">
        <v>228</v>
      </c>
      <c r="O179" s="24" t="s">
        <v>19</v>
      </c>
    </row>
    <row r="180" spans="1:15" ht="30" customHeight="1">
      <c r="A180" s="5" t="s">
        <v>16</v>
      </c>
      <c r="B180" s="34" t="s">
        <v>612</v>
      </c>
      <c r="C180" s="34" t="s">
        <v>501</v>
      </c>
      <c r="D180" s="31">
        <v>157219.69757089537</v>
      </c>
      <c r="E180" s="32">
        <v>132274.48275337837</v>
      </c>
      <c r="F180" s="31">
        <f t="shared" si="2"/>
        <v>24945.214817517</v>
      </c>
      <c r="G180" s="33">
        <v>53</v>
      </c>
      <c r="H180" s="33">
        <v>5</v>
      </c>
      <c r="I180" s="12" t="s">
        <v>58</v>
      </c>
      <c r="J180" s="34">
        <v>40.813206666699998</v>
      </c>
      <c r="K180" s="34">
        <v>72.109205000000003</v>
      </c>
      <c r="L180" s="20">
        <v>160</v>
      </c>
      <c r="M180" s="12" t="s">
        <v>229</v>
      </c>
      <c r="N180" s="12"/>
      <c r="O180" s="24" t="s">
        <v>19</v>
      </c>
    </row>
    <row r="181" spans="1:15" ht="30" customHeight="1">
      <c r="A181" s="5" t="s">
        <v>16</v>
      </c>
      <c r="B181" s="34" t="s">
        <v>608</v>
      </c>
      <c r="C181" s="34" t="s">
        <v>502</v>
      </c>
      <c r="D181" s="31">
        <v>42544.885010895341</v>
      </c>
      <c r="E181" s="32">
        <v>31946.562753378348</v>
      </c>
      <c r="F181" s="31">
        <f t="shared" si="2"/>
        <v>10598.322257516993</v>
      </c>
      <c r="G181" s="33">
        <v>10</v>
      </c>
      <c r="H181" s="33">
        <v>0</v>
      </c>
      <c r="I181" s="12" t="s">
        <v>58</v>
      </c>
      <c r="J181" s="34">
        <v>40.879336666699999</v>
      </c>
      <c r="K181" s="34">
        <v>71.986581666700005</v>
      </c>
      <c r="L181" s="20">
        <v>100</v>
      </c>
      <c r="M181" s="12" t="s">
        <v>230</v>
      </c>
      <c r="N181" s="12"/>
      <c r="O181" s="24" t="s">
        <v>19</v>
      </c>
    </row>
    <row r="182" spans="1:15" ht="30" customHeight="1">
      <c r="A182" s="5" t="s">
        <v>16</v>
      </c>
      <c r="B182" s="34" t="s">
        <v>611</v>
      </c>
      <c r="C182" s="34" t="s">
        <v>503</v>
      </c>
      <c r="D182" s="31">
        <v>102228.66455089532</v>
      </c>
      <c r="E182" s="32">
        <v>84163.34275337834</v>
      </c>
      <c r="F182" s="31">
        <f t="shared" si="2"/>
        <v>18065.321797516983</v>
      </c>
      <c r="G182" s="33">
        <v>20</v>
      </c>
      <c r="H182" s="33">
        <v>0</v>
      </c>
      <c r="I182" s="12" t="s">
        <v>58</v>
      </c>
      <c r="J182" s="34">
        <v>40.851741666700001</v>
      </c>
      <c r="K182" s="34">
        <v>72.133139999999997</v>
      </c>
      <c r="L182" s="20">
        <v>100</v>
      </c>
      <c r="M182" s="12" t="s">
        <v>231</v>
      </c>
      <c r="N182" s="12"/>
      <c r="O182" s="24" t="s">
        <v>19</v>
      </c>
    </row>
    <row r="183" spans="1:15" ht="30" customHeight="1">
      <c r="A183" s="5" t="s">
        <v>16</v>
      </c>
      <c r="B183" s="34" t="s">
        <v>610</v>
      </c>
      <c r="C183" s="34" t="s">
        <v>504</v>
      </c>
      <c r="D183" s="31">
        <v>124236.13514089533</v>
      </c>
      <c r="E183" s="32">
        <v>103417.47275337834</v>
      </c>
      <c r="F183" s="31">
        <f t="shared" si="2"/>
        <v>20818.66238751699</v>
      </c>
      <c r="G183" s="33">
        <v>76</v>
      </c>
      <c r="H183" s="33">
        <v>1</v>
      </c>
      <c r="I183" s="12" t="s">
        <v>58</v>
      </c>
      <c r="J183" s="34">
        <v>40.878543333300001</v>
      </c>
      <c r="K183" s="34">
        <v>72.055769999999995</v>
      </c>
      <c r="L183" s="20">
        <v>250</v>
      </c>
      <c r="M183" s="12" t="s">
        <v>232</v>
      </c>
      <c r="N183" s="12"/>
      <c r="O183" s="24" t="s">
        <v>19</v>
      </c>
    </row>
    <row r="184" spans="1:15" ht="30" customHeight="1">
      <c r="A184" s="5" t="s">
        <v>16</v>
      </c>
      <c r="B184" s="34" t="s">
        <v>606</v>
      </c>
      <c r="C184" s="34" t="s">
        <v>505</v>
      </c>
      <c r="D184" s="31">
        <v>161135.70701089536</v>
      </c>
      <c r="E184" s="32">
        <v>135700.56275337836</v>
      </c>
      <c r="F184" s="31">
        <f t="shared" si="2"/>
        <v>25435.144257517008</v>
      </c>
      <c r="G184" s="33">
        <v>89</v>
      </c>
      <c r="H184" s="33">
        <v>0</v>
      </c>
      <c r="I184" s="12" t="s">
        <v>58</v>
      </c>
      <c r="J184" s="34">
        <v>40.863901666700002</v>
      </c>
      <c r="K184" s="34">
        <v>71.990183333299996</v>
      </c>
      <c r="L184" s="20">
        <v>100</v>
      </c>
      <c r="M184" s="12" t="s">
        <v>233</v>
      </c>
      <c r="N184" s="12"/>
      <c r="O184" s="24" t="s">
        <v>19</v>
      </c>
    </row>
    <row r="185" spans="1:15" ht="30" customHeight="1">
      <c r="A185" s="5" t="s">
        <v>16</v>
      </c>
      <c r="B185" s="34" t="s">
        <v>605</v>
      </c>
      <c r="C185" s="34" t="s">
        <v>333</v>
      </c>
      <c r="D185" s="31">
        <v>110742.52865089534</v>
      </c>
      <c r="E185" s="32">
        <v>91612.042753378351</v>
      </c>
      <c r="F185" s="31">
        <f t="shared" si="2"/>
        <v>19130.485897516992</v>
      </c>
      <c r="G185" s="33">
        <v>86</v>
      </c>
      <c r="H185" s="33">
        <v>3</v>
      </c>
      <c r="I185" s="12" t="s">
        <v>37</v>
      </c>
      <c r="J185" s="34">
        <v>40.877413333299998</v>
      </c>
      <c r="K185" s="34">
        <v>71.930764999999994</v>
      </c>
      <c r="L185" s="20">
        <v>160</v>
      </c>
      <c r="M185" s="12"/>
      <c r="N185" s="12" t="s">
        <v>234</v>
      </c>
      <c r="O185" s="24" t="s">
        <v>19</v>
      </c>
    </row>
    <row r="186" spans="1:15" ht="30" customHeight="1">
      <c r="A186" s="5" t="s">
        <v>16</v>
      </c>
      <c r="B186" s="34" t="s">
        <v>609</v>
      </c>
      <c r="C186" s="34" t="s">
        <v>506</v>
      </c>
      <c r="D186" s="31">
        <v>73968.332450895352</v>
      </c>
      <c r="E186" s="32">
        <v>59438.642753378357</v>
      </c>
      <c r="F186" s="31">
        <f t="shared" si="2"/>
        <v>14529.689697516995</v>
      </c>
      <c r="G186" s="33">
        <v>39</v>
      </c>
      <c r="H186" s="33">
        <v>0</v>
      </c>
      <c r="I186" s="12" t="s">
        <v>37</v>
      </c>
      <c r="J186" s="34">
        <v>40.874026666600002</v>
      </c>
      <c r="K186" s="34">
        <v>72.094549999700007</v>
      </c>
      <c r="L186" s="20">
        <v>160</v>
      </c>
      <c r="M186" s="12" t="s">
        <v>235</v>
      </c>
      <c r="N186" s="12"/>
      <c r="O186" s="24" t="s">
        <v>19</v>
      </c>
    </row>
    <row r="187" spans="1:15" ht="30" customHeight="1">
      <c r="A187" s="5" t="s">
        <v>16</v>
      </c>
      <c r="B187" s="34" t="s">
        <v>608</v>
      </c>
      <c r="C187" s="34" t="s">
        <v>507</v>
      </c>
      <c r="D187" s="31">
        <v>276900.57581089536</v>
      </c>
      <c r="E187" s="32">
        <v>236982.16275337836</v>
      </c>
      <c r="F187" s="31">
        <f t="shared" si="2"/>
        <v>39918.413057516998</v>
      </c>
      <c r="G187" s="33">
        <v>46</v>
      </c>
      <c r="H187" s="33">
        <v>3</v>
      </c>
      <c r="I187" s="12" t="s">
        <v>37</v>
      </c>
      <c r="J187" s="34">
        <v>40.8828566667</v>
      </c>
      <c r="K187" s="34">
        <v>71.988209999999995</v>
      </c>
      <c r="L187" s="20">
        <v>160</v>
      </c>
      <c r="M187" s="12" t="s">
        <v>93</v>
      </c>
      <c r="N187" s="12"/>
      <c r="O187" s="24" t="s">
        <v>19</v>
      </c>
    </row>
    <row r="188" spans="1:15" ht="30" customHeight="1">
      <c r="A188" s="5" t="s">
        <v>16</v>
      </c>
      <c r="B188" s="34" t="s">
        <v>611</v>
      </c>
      <c r="C188" s="34" t="s">
        <v>508</v>
      </c>
      <c r="D188" s="31">
        <v>95712.066077895346</v>
      </c>
      <c r="E188" s="32">
        <v>78462.031753378353</v>
      </c>
      <c r="F188" s="31">
        <f t="shared" si="2"/>
        <v>17250.034324516993</v>
      </c>
      <c r="G188" s="33">
        <v>64</v>
      </c>
      <c r="H188" s="33">
        <v>0</v>
      </c>
      <c r="I188" s="12" t="s">
        <v>37</v>
      </c>
      <c r="J188" s="34">
        <v>40.859856666699997</v>
      </c>
      <c r="K188" s="34">
        <v>72.077610000000007</v>
      </c>
      <c r="L188" s="20">
        <v>63</v>
      </c>
      <c r="M188" s="12" t="s">
        <v>236</v>
      </c>
      <c r="N188" s="12"/>
      <c r="O188" s="24" t="s">
        <v>19</v>
      </c>
    </row>
    <row r="189" spans="1:15" ht="30" customHeight="1">
      <c r="A189" s="5" t="s">
        <v>16</v>
      </c>
      <c r="B189" s="34" t="s">
        <v>612</v>
      </c>
      <c r="C189" s="34" t="s">
        <v>509</v>
      </c>
      <c r="D189" s="31">
        <v>120842.75102089532</v>
      </c>
      <c r="E189" s="32">
        <v>100448.63275337833</v>
      </c>
      <c r="F189" s="31">
        <f t="shared" si="2"/>
        <v>20394.118267516984</v>
      </c>
      <c r="G189" s="33">
        <v>76</v>
      </c>
      <c r="H189" s="33">
        <v>0</v>
      </c>
      <c r="I189" s="12" t="s">
        <v>58</v>
      </c>
      <c r="J189" s="34">
        <v>40.848528333300003</v>
      </c>
      <c r="K189" s="34">
        <v>72.072953333300006</v>
      </c>
      <c r="L189" s="20">
        <v>100</v>
      </c>
      <c r="M189" s="12" t="s">
        <v>237</v>
      </c>
      <c r="N189" s="12"/>
      <c r="O189" s="24" t="s">
        <v>19</v>
      </c>
    </row>
    <row r="190" spans="1:15" ht="30" customHeight="1">
      <c r="A190" s="5" t="s">
        <v>16</v>
      </c>
      <c r="B190" s="34" t="s">
        <v>611</v>
      </c>
      <c r="C190" s="34" t="s">
        <v>510</v>
      </c>
      <c r="D190" s="31">
        <v>88989.729890895323</v>
      </c>
      <c r="E190" s="32">
        <v>72580.722753378344</v>
      </c>
      <c r="F190" s="31">
        <f t="shared" si="2"/>
        <v>16409.007137516979</v>
      </c>
      <c r="G190" s="33">
        <v>48</v>
      </c>
      <c r="H190" s="33">
        <v>1</v>
      </c>
      <c r="I190" s="12" t="s">
        <v>37</v>
      </c>
      <c r="J190" s="34">
        <v>40.877876666699997</v>
      </c>
      <c r="K190" s="34">
        <v>72.082390000000004</v>
      </c>
      <c r="L190" s="20">
        <v>100</v>
      </c>
      <c r="M190" s="12" t="s">
        <v>238</v>
      </c>
      <c r="N190" s="12"/>
      <c r="O190" s="24" t="s">
        <v>19</v>
      </c>
    </row>
    <row r="191" spans="1:15" ht="30" customHeight="1">
      <c r="A191" s="5" t="s">
        <v>16</v>
      </c>
      <c r="B191" s="34" t="s">
        <v>605</v>
      </c>
      <c r="C191" s="34" t="s">
        <v>318</v>
      </c>
      <c r="D191" s="31">
        <v>81549.920030895344</v>
      </c>
      <c r="E191" s="32">
        <v>66071.702753378355</v>
      </c>
      <c r="F191" s="31">
        <f t="shared" si="2"/>
        <v>15478.217277516989</v>
      </c>
      <c r="G191" s="33">
        <v>31</v>
      </c>
      <c r="H191" s="33">
        <v>0</v>
      </c>
      <c r="I191" s="12" t="s">
        <v>37</v>
      </c>
      <c r="J191" s="34">
        <v>40.864673333299997</v>
      </c>
      <c r="K191" s="34">
        <v>71.946511666700005</v>
      </c>
      <c r="L191" s="20">
        <v>100</v>
      </c>
      <c r="M191" s="12" t="s">
        <v>239</v>
      </c>
      <c r="N191" s="12"/>
      <c r="O191" s="24" t="s">
        <v>19</v>
      </c>
    </row>
    <row r="192" spans="1:15" ht="30" customHeight="1">
      <c r="A192" s="5" t="s">
        <v>103</v>
      </c>
      <c r="B192" s="34" t="s">
        <v>606</v>
      </c>
      <c r="C192" s="34" t="s">
        <v>511</v>
      </c>
      <c r="D192" s="31">
        <v>243868.20728089535</v>
      </c>
      <c r="E192" s="32">
        <v>208082.45275337834</v>
      </c>
      <c r="F192" s="31">
        <f t="shared" si="2"/>
        <v>35785.754527517012</v>
      </c>
      <c r="G192" s="33">
        <v>73</v>
      </c>
      <c r="H192" s="33">
        <v>1</v>
      </c>
      <c r="I192" s="12" t="s">
        <v>110</v>
      </c>
      <c r="J192" s="34">
        <v>40.865333333300001</v>
      </c>
      <c r="K192" s="34">
        <v>71.986301666700001</v>
      </c>
      <c r="L192" s="20">
        <v>160</v>
      </c>
      <c r="M192" s="12" t="s">
        <v>240</v>
      </c>
      <c r="N192" s="12"/>
      <c r="O192" s="24" t="s">
        <v>19</v>
      </c>
    </row>
    <row r="193" spans="1:15" ht="30" customHeight="1">
      <c r="A193" s="5" t="s">
        <v>103</v>
      </c>
      <c r="B193" s="34" t="s">
        <v>609</v>
      </c>
      <c r="C193" s="34" t="s">
        <v>512</v>
      </c>
      <c r="D193" s="31">
        <v>126013.15724089532</v>
      </c>
      <c r="E193" s="32">
        <v>104972.17275337834</v>
      </c>
      <c r="F193" s="31">
        <f t="shared" si="2"/>
        <v>21040.98448751698</v>
      </c>
      <c r="G193" s="33">
        <v>97</v>
      </c>
      <c r="H193" s="33">
        <v>0</v>
      </c>
      <c r="I193" s="12" t="s">
        <v>160</v>
      </c>
      <c r="J193" s="34">
        <v>40.872945000000001</v>
      </c>
      <c r="K193" s="34">
        <v>72.003528333299997</v>
      </c>
      <c r="L193" s="25">
        <v>250</v>
      </c>
      <c r="M193" s="12" t="s">
        <v>241</v>
      </c>
      <c r="N193" s="12"/>
      <c r="O193" s="24" t="s">
        <v>19</v>
      </c>
    </row>
    <row r="194" spans="1:15" ht="30" customHeight="1">
      <c r="A194" s="5" t="s">
        <v>103</v>
      </c>
      <c r="B194" s="34" t="s">
        <v>605</v>
      </c>
      <c r="C194" s="34" t="s">
        <v>337</v>
      </c>
      <c r="D194" s="31">
        <v>347213.44382089534</v>
      </c>
      <c r="E194" s="32">
        <v>298498.23275337834</v>
      </c>
      <c r="F194" s="31">
        <f t="shared" si="2"/>
        <v>48715.211067516997</v>
      </c>
      <c r="G194" s="33">
        <v>97</v>
      </c>
      <c r="H194" s="33">
        <v>4</v>
      </c>
      <c r="I194" s="12" t="s">
        <v>160</v>
      </c>
      <c r="J194" s="34">
        <v>40.890994999999997</v>
      </c>
      <c r="K194" s="34">
        <v>71.932898333300002</v>
      </c>
      <c r="L194" s="20">
        <v>400</v>
      </c>
      <c r="M194" s="12" t="s">
        <v>242</v>
      </c>
      <c r="N194" s="12"/>
      <c r="O194" s="24" t="s">
        <v>19</v>
      </c>
    </row>
    <row r="195" spans="1:15" ht="30" customHeight="1">
      <c r="A195" s="5" t="s">
        <v>103</v>
      </c>
      <c r="B195" s="34" t="s">
        <v>610</v>
      </c>
      <c r="C195" s="34" t="s">
        <v>513</v>
      </c>
      <c r="D195" s="31">
        <v>62822.859440895343</v>
      </c>
      <c r="E195" s="32">
        <v>49687.57275337835</v>
      </c>
      <c r="F195" s="31">
        <f t="shared" si="2"/>
        <v>13135.286687516993</v>
      </c>
      <c r="G195" s="33">
        <v>18</v>
      </c>
      <c r="H195" s="33">
        <v>0</v>
      </c>
      <c r="I195" s="12" t="s">
        <v>160</v>
      </c>
      <c r="J195" s="34">
        <v>40.87829</v>
      </c>
      <c r="K195" s="34">
        <v>72.038823333300002</v>
      </c>
      <c r="L195" s="20">
        <v>160</v>
      </c>
      <c r="M195" s="12" t="s">
        <v>243</v>
      </c>
      <c r="N195" s="12"/>
      <c r="O195" s="24" t="s">
        <v>19</v>
      </c>
    </row>
    <row r="196" spans="1:15" ht="30" customHeight="1">
      <c r="A196" s="5" t="s">
        <v>103</v>
      </c>
      <c r="B196" s="34" t="s">
        <v>613</v>
      </c>
      <c r="C196" s="34" t="s">
        <v>514</v>
      </c>
      <c r="D196" s="31">
        <v>82670.460080895326</v>
      </c>
      <c r="E196" s="32">
        <v>67052.052753378346</v>
      </c>
      <c r="F196" s="31">
        <f t="shared" ref="F196:F259" si="3">+D196-E196</f>
        <v>15618.407327516979</v>
      </c>
      <c r="G196" s="33">
        <v>83</v>
      </c>
      <c r="H196" s="33">
        <v>4</v>
      </c>
      <c r="I196" s="12" t="s">
        <v>244</v>
      </c>
      <c r="J196" s="34">
        <v>40.838336666700002</v>
      </c>
      <c r="K196" s="34">
        <v>72.207795000000004</v>
      </c>
      <c r="L196" s="20">
        <v>100</v>
      </c>
      <c r="M196" s="12" t="s">
        <v>245</v>
      </c>
      <c r="N196" s="12"/>
      <c r="O196" s="24" t="s">
        <v>19</v>
      </c>
    </row>
    <row r="197" spans="1:15" ht="30" customHeight="1">
      <c r="A197" s="5" t="s">
        <v>103</v>
      </c>
      <c r="B197" s="34" t="s">
        <v>613</v>
      </c>
      <c r="C197" s="34" t="s">
        <v>515</v>
      </c>
      <c r="D197" s="31">
        <v>107105.83412089534</v>
      </c>
      <c r="E197" s="32">
        <v>88430.332753378345</v>
      </c>
      <c r="F197" s="31">
        <f t="shared" si="3"/>
        <v>18675.50136751699</v>
      </c>
      <c r="G197" s="33">
        <v>70</v>
      </c>
      <c r="H197" s="33">
        <v>0</v>
      </c>
      <c r="I197" s="12" t="s">
        <v>244</v>
      </c>
      <c r="J197" s="34">
        <v>40.839168333300002</v>
      </c>
      <c r="K197" s="34">
        <v>72.209829999999997</v>
      </c>
      <c r="L197" s="20">
        <v>100</v>
      </c>
      <c r="M197" s="12" t="s">
        <v>246</v>
      </c>
      <c r="N197" s="12"/>
      <c r="O197" s="24" t="s">
        <v>19</v>
      </c>
    </row>
    <row r="198" spans="1:15" ht="30" customHeight="1">
      <c r="A198" s="5" t="s">
        <v>103</v>
      </c>
      <c r="B198" s="34" t="s">
        <v>609</v>
      </c>
      <c r="C198" s="34" t="s">
        <v>516</v>
      </c>
      <c r="D198" s="31">
        <v>165365.67569089532</v>
      </c>
      <c r="E198" s="32">
        <v>139401.32275337834</v>
      </c>
      <c r="F198" s="31">
        <f t="shared" si="3"/>
        <v>25964.352937516989</v>
      </c>
      <c r="G198" s="33">
        <v>96</v>
      </c>
      <c r="H198" s="33">
        <v>1</v>
      </c>
      <c r="I198" s="12" t="s">
        <v>244</v>
      </c>
      <c r="J198" s="34">
        <v>40.875433333300002</v>
      </c>
      <c r="K198" s="34">
        <v>72.019919999999999</v>
      </c>
      <c r="L198" s="20">
        <v>160</v>
      </c>
      <c r="M198" s="12" t="s">
        <v>247</v>
      </c>
      <c r="N198" s="12"/>
      <c r="O198" s="24" t="s">
        <v>19</v>
      </c>
    </row>
    <row r="199" spans="1:15" ht="30" customHeight="1">
      <c r="A199" s="5" t="s">
        <v>103</v>
      </c>
      <c r="B199" s="34" t="s">
        <v>609</v>
      </c>
      <c r="C199" s="34" t="s">
        <v>517</v>
      </c>
      <c r="D199" s="31">
        <v>53656.673810895336</v>
      </c>
      <c r="E199" s="32">
        <v>41668.162753378347</v>
      </c>
      <c r="F199" s="31">
        <f t="shared" si="3"/>
        <v>11988.511057516989</v>
      </c>
      <c r="G199" s="33">
        <v>17</v>
      </c>
      <c r="H199" s="33">
        <v>1</v>
      </c>
      <c r="I199" s="12" t="s">
        <v>244</v>
      </c>
      <c r="J199" s="34">
        <v>40.874026666600002</v>
      </c>
      <c r="K199" s="34">
        <v>72.094549999700007</v>
      </c>
      <c r="L199" s="20">
        <v>250</v>
      </c>
      <c r="M199" s="12" t="s">
        <v>248</v>
      </c>
      <c r="N199" s="12"/>
      <c r="O199" s="24" t="s">
        <v>19</v>
      </c>
    </row>
    <row r="200" spans="1:15" ht="30" customHeight="1">
      <c r="A200" s="5" t="s">
        <v>103</v>
      </c>
      <c r="B200" s="34" t="s">
        <v>607</v>
      </c>
      <c r="C200" s="34" t="s">
        <v>518</v>
      </c>
      <c r="D200" s="31">
        <v>68209.612700895348</v>
      </c>
      <c r="E200" s="32">
        <v>54400.392753378357</v>
      </c>
      <c r="F200" s="31">
        <f t="shared" si="3"/>
        <v>13809.219947516991</v>
      </c>
      <c r="G200" s="33">
        <v>50</v>
      </c>
      <c r="H200" s="33">
        <v>0</v>
      </c>
      <c r="I200" s="12"/>
      <c r="J200" s="34">
        <v>40.872078333300003</v>
      </c>
      <c r="K200" s="34">
        <v>71.959788333299997</v>
      </c>
      <c r="L200" s="20">
        <v>63</v>
      </c>
      <c r="M200" s="12" t="s">
        <v>249</v>
      </c>
      <c r="N200" s="12"/>
      <c r="O200" s="24" t="s">
        <v>19</v>
      </c>
    </row>
    <row r="201" spans="1:15" ht="30" customHeight="1">
      <c r="A201" s="5" t="s">
        <v>103</v>
      </c>
      <c r="B201" s="34" t="s">
        <v>608</v>
      </c>
      <c r="C201" s="34" t="s">
        <v>519</v>
      </c>
      <c r="D201" s="31">
        <v>75882.411680895326</v>
      </c>
      <c r="E201" s="32">
        <v>61113.252753378343</v>
      </c>
      <c r="F201" s="31">
        <f t="shared" si="3"/>
        <v>14769.158927516983</v>
      </c>
      <c r="G201" s="33">
        <v>43</v>
      </c>
      <c r="H201" s="33">
        <v>0</v>
      </c>
      <c r="I201" s="12" t="s">
        <v>250</v>
      </c>
      <c r="J201" s="34">
        <v>40.885644999999997</v>
      </c>
      <c r="K201" s="34">
        <v>71.975255000000004</v>
      </c>
      <c r="L201" s="20">
        <v>250</v>
      </c>
      <c r="M201" s="12" t="s">
        <v>251</v>
      </c>
      <c r="N201" s="12"/>
      <c r="O201" s="24" t="s">
        <v>19</v>
      </c>
    </row>
    <row r="202" spans="1:15" ht="30" customHeight="1">
      <c r="A202" s="19" t="s">
        <v>103</v>
      </c>
      <c r="B202" s="34" t="s">
        <v>608</v>
      </c>
      <c r="C202" s="34" t="s">
        <v>520</v>
      </c>
      <c r="D202" s="31">
        <v>60842.611940895345</v>
      </c>
      <c r="E202" s="32">
        <v>47955.07275337835</v>
      </c>
      <c r="F202" s="31">
        <f t="shared" si="3"/>
        <v>12887.539187516995</v>
      </c>
      <c r="G202" s="33">
        <v>38</v>
      </c>
      <c r="H202" s="33">
        <v>1</v>
      </c>
      <c r="I202" s="13" t="s">
        <v>250</v>
      </c>
      <c r="J202" s="34">
        <v>40.883506666700001</v>
      </c>
      <c r="K202" s="34">
        <v>71.977718333300004</v>
      </c>
      <c r="L202" s="20">
        <v>250</v>
      </c>
      <c r="M202" s="12" t="s">
        <v>252</v>
      </c>
      <c r="N202" s="12"/>
      <c r="O202" s="24" t="s">
        <v>19</v>
      </c>
    </row>
    <row r="203" spans="1:15" ht="30" customHeight="1">
      <c r="A203" s="19" t="s">
        <v>103</v>
      </c>
      <c r="B203" s="34" t="s">
        <v>610</v>
      </c>
      <c r="C203" s="34" t="s">
        <v>521</v>
      </c>
      <c r="D203" s="31">
        <v>28612.823720895343</v>
      </c>
      <c r="E203" s="32">
        <v>19757.532753378349</v>
      </c>
      <c r="F203" s="31">
        <f t="shared" si="3"/>
        <v>8855.290967516994</v>
      </c>
      <c r="G203" s="33">
        <v>20</v>
      </c>
      <c r="H203" s="33">
        <v>1</v>
      </c>
      <c r="I203" s="13" t="s">
        <v>250</v>
      </c>
      <c r="J203" s="34">
        <v>40.877465000000001</v>
      </c>
      <c r="K203" s="34">
        <v>72.08811</v>
      </c>
      <c r="L203" s="20">
        <v>250</v>
      </c>
      <c r="M203" s="12" t="s">
        <v>253</v>
      </c>
      <c r="N203" s="12"/>
      <c r="O203" s="24" t="s">
        <v>19</v>
      </c>
    </row>
    <row r="204" spans="1:15" ht="30" customHeight="1">
      <c r="A204" s="19" t="s">
        <v>103</v>
      </c>
      <c r="B204" s="34" t="s">
        <v>611</v>
      </c>
      <c r="C204" s="34" t="s">
        <v>522</v>
      </c>
      <c r="D204" s="31">
        <v>215177.50139089537</v>
      </c>
      <c r="E204" s="32">
        <v>182981.22275337836</v>
      </c>
      <c r="F204" s="31">
        <f t="shared" si="3"/>
        <v>32196.278637517011</v>
      </c>
      <c r="G204" s="33">
        <v>83</v>
      </c>
      <c r="H204" s="33">
        <v>0</v>
      </c>
      <c r="I204" s="13" t="s">
        <v>254</v>
      </c>
      <c r="J204" s="34">
        <v>40.861406666699999</v>
      </c>
      <c r="K204" s="34">
        <v>72.060223333300002</v>
      </c>
      <c r="L204" s="20">
        <v>100</v>
      </c>
      <c r="M204" s="12" t="s">
        <v>255</v>
      </c>
      <c r="N204" s="12"/>
      <c r="O204" s="24" t="s">
        <v>19</v>
      </c>
    </row>
    <row r="205" spans="1:15" ht="30" customHeight="1">
      <c r="A205" s="19" t="s">
        <v>103</v>
      </c>
      <c r="B205" s="34" t="s">
        <v>609</v>
      </c>
      <c r="C205" s="34" t="s">
        <v>523</v>
      </c>
      <c r="D205" s="31">
        <v>97916.92565089534</v>
      </c>
      <c r="E205" s="32">
        <v>80391.042753378351</v>
      </c>
      <c r="F205" s="31">
        <f t="shared" si="3"/>
        <v>17525.882897516989</v>
      </c>
      <c r="G205" s="33">
        <v>62</v>
      </c>
      <c r="H205" s="33">
        <v>0</v>
      </c>
      <c r="I205" s="13" t="s">
        <v>254</v>
      </c>
      <c r="J205" s="34">
        <v>40.876036666700003</v>
      </c>
      <c r="K205" s="34">
        <v>72.012455000000003</v>
      </c>
      <c r="L205" s="20">
        <v>63</v>
      </c>
      <c r="M205" s="12" t="s">
        <v>256</v>
      </c>
      <c r="N205" s="12"/>
      <c r="O205" s="24" t="s">
        <v>19</v>
      </c>
    </row>
    <row r="206" spans="1:15" ht="30" customHeight="1">
      <c r="A206" s="19" t="s">
        <v>103</v>
      </c>
      <c r="B206" s="34" t="s">
        <v>608</v>
      </c>
      <c r="C206" s="34" t="s">
        <v>524</v>
      </c>
      <c r="D206" s="31">
        <v>508837.80434089532</v>
      </c>
      <c r="E206" s="32">
        <v>439901.87275337829</v>
      </c>
      <c r="F206" s="31">
        <f t="shared" si="3"/>
        <v>68935.931587517029</v>
      </c>
      <c r="G206" s="33">
        <v>133</v>
      </c>
      <c r="H206" s="33">
        <v>0</v>
      </c>
      <c r="I206" s="13" t="s">
        <v>254</v>
      </c>
      <c r="J206" s="34">
        <v>40.878603333299999</v>
      </c>
      <c r="K206" s="34">
        <v>71.971546666699993</v>
      </c>
      <c r="L206" s="20">
        <v>100</v>
      </c>
      <c r="M206" s="12" t="s">
        <v>257</v>
      </c>
      <c r="N206" s="12"/>
      <c r="O206" s="24" t="s">
        <v>19</v>
      </c>
    </row>
    <row r="207" spans="1:15" ht="30" customHeight="1">
      <c r="A207" s="19" t="s">
        <v>103</v>
      </c>
      <c r="B207" s="34" t="s">
        <v>609</v>
      </c>
      <c r="C207" s="34" t="s">
        <v>525</v>
      </c>
      <c r="D207" s="31">
        <v>74765.872130895339</v>
      </c>
      <c r="E207" s="32">
        <v>60136.402753378352</v>
      </c>
      <c r="F207" s="31">
        <f t="shared" si="3"/>
        <v>14629.469377516987</v>
      </c>
      <c r="G207" s="33">
        <v>46</v>
      </c>
      <c r="H207" s="33">
        <v>0</v>
      </c>
      <c r="I207" s="13" t="s">
        <v>254</v>
      </c>
      <c r="J207" s="34">
        <v>40.877144999999999</v>
      </c>
      <c r="K207" s="34">
        <v>72.008285000000001</v>
      </c>
      <c r="L207" s="20">
        <v>160</v>
      </c>
      <c r="M207" s="12"/>
      <c r="N207" s="12" t="s">
        <v>258</v>
      </c>
      <c r="O207" s="24" t="s">
        <v>19</v>
      </c>
    </row>
    <row r="208" spans="1:15" ht="30" customHeight="1">
      <c r="A208" s="19" t="s">
        <v>103</v>
      </c>
      <c r="B208" s="34" t="s">
        <v>610</v>
      </c>
      <c r="C208" s="34" t="s">
        <v>526</v>
      </c>
      <c r="D208" s="31">
        <v>140225.97362089535</v>
      </c>
      <c r="E208" s="32">
        <v>117406.83275337834</v>
      </c>
      <c r="F208" s="31">
        <f t="shared" si="3"/>
        <v>22819.14086751701</v>
      </c>
      <c r="G208" s="33">
        <v>112</v>
      </c>
      <c r="H208" s="33">
        <v>0</v>
      </c>
      <c r="I208" s="13" t="s">
        <v>254</v>
      </c>
      <c r="J208" s="34">
        <v>40.881168333300003</v>
      </c>
      <c r="K208" s="34">
        <v>72.049769999999995</v>
      </c>
      <c r="L208" s="20">
        <v>160</v>
      </c>
      <c r="M208" s="12" t="s">
        <v>259</v>
      </c>
      <c r="N208" s="12"/>
      <c r="O208" s="24" t="s">
        <v>19</v>
      </c>
    </row>
    <row r="209" spans="1:15" ht="30" customHeight="1">
      <c r="A209" s="19" t="s">
        <v>103</v>
      </c>
      <c r="B209" s="34" t="s">
        <v>611</v>
      </c>
      <c r="C209" s="34" t="s">
        <v>527</v>
      </c>
      <c r="D209" s="31">
        <v>54549.345380895349</v>
      </c>
      <c r="E209" s="32">
        <v>42449.152753378352</v>
      </c>
      <c r="F209" s="31">
        <f t="shared" si="3"/>
        <v>12100.192627516997</v>
      </c>
      <c r="G209" s="33">
        <v>79</v>
      </c>
      <c r="H209" s="33">
        <v>7</v>
      </c>
      <c r="I209" s="13" t="s">
        <v>254</v>
      </c>
      <c r="J209" s="34">
        <v>40.850251666699997</v>
      </c>
      <c r="K209" s="34">
        <v>72.055284999999998</v>
      </c>
      <c r="L209" s="20">
        <v>250</v>
      </c>
      <c r="M209" s="12" t="s">
        <v>260</v>
      </c>
      <c r="N209" s="12"/>
      <c r="O209" s="24" t="s">
        <v>19</v>
      </c>
    </row>
    <row r="210" spans="1:15" ht="30" customHeight="1">
      <c r="A210" s="19" t="s">
        <v>103</v>
      </c>
      <c r="B210" s="34" t="s">
        <v>610</v>
      </c>
      <c r="C210" s="34" t="s">
        <v>528</v>
      </c>
      <c r="D210" s="31">
        <v>180062.79260089537</v>
      </c>
      <c r="E210" s="32">
        <v>152259.69275337836</v>
      </c>
      <c r="F210" s="31">
        <f t="shared" si="3"/>
        <v>27803.099847517005</v>
      </c>
      <c r="G210" s="33">
        <v>50</v>
      </c>
      <c r="H210" s="33">
        <v>0</v>
      </c>
      <c r="I210" s="13" t="s">
        <v>254</v>
      </c>
      <c r="J210" s="34">
        <v>40.8797483333</v>
      </c>
      <c r="K210" s="34">
        <v>72.029821666700002</v>
      </c>
      <c r="L210" s="20">
        <v>40</v>
      </c>
      <c r="M210" s="12" t="s">
        <v>261</v>
      </c>
      <c r="N210" s="12"/>
      <c r="O210" s="24" t="s">
        <v>19</v>
      </c>
    </row>
    <row r="211" spans="1:15" ht="30" customHeight="1">
      <c r="A211" s="19" t="s">
        <v>103</v>
      </c>
      <c r="B211" s="34" t="s">
        <v>608</v>
      </c>
      <c r="C211" s="34" t="s">
        <v>529</v>
      </c>
      <c r="D211" s="31">
        <v>145755.94478089534</v>
      </c>
      <c r="E211" s="32">
        <v>122244.95275337834</v>
      </c>
      <c r="F211" s="31">
        <f t="shared" si="3"/>
        <v>23510.992027517001</v>
      </c>
      <c r="G211" s="33">
        <v>43</v>
      </c>
      <c r="H211" s="33">
        <v>0</v>
      </c>
      <c r="I211" s="13" t="s">
        <v>206</v>
      </c>
      <c r="J211" s="34">
        <v>40.87462</v>
      </c>
      <c r="K211" s="34">
        <v>71.975811666699997</v>
      </c>
      <c r="L211" s="20">
        <v>250</v>
      </c>
      <c r="M211" s="12" t="s">
        <v>262</v>
      </c>
      <c r="N211" s="12"/>
      <c r="O211" s="24" t="s">
        <v>19</v>
      </c>
    </row>
    <row r="212" spans="1:15" ht="30" customHeight="1">
      <c r="A212" s="19" t="s">
        <v>103</v>
      </c>
      <c r="B212" s="34" t="s">
        <v>613</v>
      </c>
      <c r="C212" s="34" t="s">
        <v>530</v>
      </c>
      <c r="D212" s="31">
        <v>45108.565430895338</v>
      </c>
      <c r="E212" s="32">
        <v>34189.502753378343</v>
      </c>
      <c r="F212" s="31">
        <f t="shared" si="3"/>
        <v>10919.062677516995</v>
      </c>
      <c r="G212" s="33">
        <v>55</v>
      </c>
      <c r="H212" s="33">
        <v>1</v>
      </c>
      <c r="I212" s="13" t="s">
        <v>206</v>
      </c>
      <c r="J212" s="34">
        <v>40.841295000000002</v>
      </c>
      <c r="K212" s="34">
        <v>72.169233333299999</v>
      </c>
      <c r="L212" s="20">
        <v>63</v>
      </c>
      <c r="M212" s="12" t="s">
        <v>263</v>
      </c>
      <c r="N212" s="12"/>
      <c r="O212" s="24" t="s">
        <v>19</v>
      </c>
    </row>
    <row r="213" spans="1:15" ht="30" customHeight="1">
      <c r="A213" s="19" t="s">
        <v>103</v>
      </c>
      <c r="B213" s="34" t="s">
        <v>610</v>
      </c>
      <c r="C213" s="34" t="s">
        <v>531</v>
      </c>
      <c r="D213" s="31">
        <v>117729.08186089533</v>
      </c>
      <c r="E213" s="32">
        <v>97724.512753378338</v>
      </c>
      <c r="F213" s="31">
        <f t="shared" si="3"/>
        <v>20004.569107516989</v>
      </c>
      <c r="G213" s="33">
        <v>62</v>
      </c>
      <c r="H213" s="33">
        <v>1</v>
      </c>
      <c r="I213" s="13" t="s">
        <v>264</v>
      </c>
      <c r="J213" s="34">
        <v>40.8741466667</v>
      </c>
      <c r="K213" s="34">
        <v>72.027926666699997</v>
      </c>
      <c r="L213" s="20">
        <v>25</v>
      </c>
      <c r="M213" s="12"/>
      <c r="N213" s="12" t="s">
        <v>194</v>
      </c>
      <c r="O213" s="24" t="s">
        <v>19</v>
      </c>
    </row>
    <row r="214" spans="1:15" ht="30" customHeight="1">
      <c r="A214" s="19" t="s">
        <v>103</v>
      </c>
      <c r="B214" s="34" t="s">
        <v>613</v>
      </c>
      <c r="C214" s="34" t="s">
        <v>532</v>
      </c>
      <c r="D214" s="31">
        <v>45119.686820895338</v>
      </c>
      <c r="E214" s="32">
        <v>34199.232753378346</v>
      </c>
      <c r="F214" s="31">
        <f t="shared" si="3"/>
        <v>10920.454067516992</v>
      </c>
      <c r="G214" s="33">
        <v>50</v>
      </c>
      <c r="H214" s="33">
        <v>0</v>
      </c>
      <c r="I214" s="13" t="s">
        <v>250</v>
      </c>
      <c r="J214" s="34">
        <v>40.822923333299997</v>
      </c>
      <c r="K214" s="34">
        <v>72.176041666700002</v>
      </c>
      <c r="L214" s="20">
        <v>100</v>
      </c>
      <c r="M214" s="12" t="s">
        <v>265</v>
      </c>
      <c r="N214" s="12"/>
      <c r="O214" s="24" t="s">
        <v>19</v>
      </c>
    </row>
    <row r="215" spans="1:15" ht="30" customHeight="1">
      <c r="A215" s="19" t="s">
        <v>103</v>
      </c>
      <c r="B215" s="34" t="s">
        <v>609</v>
      </c>
      <c r="C215" s="34" t="s">
        <v>533</v>
      </c>
      <c r="D215" s="31">
        <v>78021.479030895338</v>
      </c>
      <c r="E215" s="32">
        <v>62984.702753378355</v>
      </c>
      <c r="F215" s="31">
        <f t="shared" si="3"/>
        <v>15036.776277516983</v>
      </c>
      <c r="G215" s="33">
        <v>68</v>
      </c>
      <c r="H215" s="33">
        <v>0</v>
      </c>
      <c r="I215" s="13" t="s">
        <v>160</v>
      </c>
      <c r="J215" s="34">
        <v>40.871153333300001</v>
      </c>
      <c r="K215" s="34">
        <v>72.022553333299996</v>
      </c>
      <c r="L215" s="20">
        <v>250</v>
      </c>
      <c r="M215" s="12" t="s">
        <v>266</v>
      </c>
      <c r="N215" s="12"/>
      <c r="O215" s="24" t="s">
        <v>19</v>
      </c>
    </row>
    <row r="216" spans="1:15" ht="30" customHeight="1">
      <c r="A216" s="19" t="s">
        <v>103</v>
      </c>
      <c r="B216" s="34" t="s">
        <v>610</v>
      </c>
      <c r="C216" s="34" t="s">
        <v>534</v>
      </c>
      <c r="D216" s="31">
        <v>300995.66732089536</v>
      </c>
      <c r="E216" s="32">
        <v>258062.73275337837</v>
      </c>
      <c r="F216" s="31">
        <f t="shared" si="3"/>
        <v>42932.93456751699</v>
      </c>
      <c r="G216" s="33">
        <v>91</v>
      </c>
      <c r="H216" s="33">
        <v>3</v>
      </c>
      <c r="I216" s="13" t="s">
        <v>84</v>
      </c>
      <c r="J216" s="34">
        <v>40.879914999999997</v>
      </c>
      <c r="K216" s="34">
        <v>72.089108333300004</v>
      </c>
      <c r="L216" s="20">
        <v>40</v>
      </c>
      <c r="M216" s="12" t="s">
        <v>267</v>
      </c>
      <c r="N216" s="12"/>
      <c r="O216" s="24" t="s">
        <v>19</v>
      </c>
    </row>
    <row r="217" spans="1:15" ht="30" customHeight="1">
      <c r="A217" s="19" t="s">
        <v>103</v>
      </c>
      <c r="B217" s="34" t="s">
        <v>609</v>
      </c>
      <c r="C217" s="34" t="s">
        <v>535</v>
      </c>
      <c r="D217" s="31">
        <v>61978.353890895334</v>
      </c>
      <c r="E217" s="32">
        <v>48948.722753378344</v>
      </c>
      <c r="F217" s="31">
        <f t="shared" si="3"/>
        <v>13029.63113751699</v>
      </c>
      <c r="G217" s="33">
        <v>46</v>
      </c>
      <c r="H217" s="33">
        <v>1</v>
      </c>
      <c r="I217" s="13" t="s">
        <v>106</v>
      </c>
      <c r="J217" s="34">
        <v>40.876891666699997</v>
      </c>
      <c r="K217" s="34">
        <v>71.987205000000003</v>
      </c>
      <c r="L217" s="19">
        <v>160</v>
      </c>
      <c r="M217" s="12" t="s">
        <v>268</v>
      </c>
      <c r="N217" s="12"/>
      <c r="O217" s="24" t="s">
        <v>19</v>
      </c>
    </row>
    <row r="218" spans="1:15" ht="30" customHeight="1">
      <c r="A218" s="19" t="s">
        <v>103</v>
      </c>
      <c r="B218" s="34" t="s">
        <v>609</v>
      </c>
      <c r="C218" s="34" t="s">
        <v>536</v>
      </c>
      <c r="D218" s="31">
        <v>66721.666730895333</v>
      </c>
      <c r="E218" s="32">
        <v>53098.602753378349</v>
      </c>
      <c r="F218" s="31">
        <f t="shared" si="3"/>
        <v>13623.063977516984</v>
      </c>
      <c r="G218" s="33">
        <v>37</v>
      </c>
      <c r="H218" s="33">
        <v>1</v>
      </c>
      <c r="I218" s="13"/>
      <c r="J218" s="34">
        <v>40.8787183333</v>
      </c>
      <c r="K218" s="34">
        <v>71.984646666700002</v>
      </c>
      <c r="L218" s="20">
        <v>160</v>
      </c>
      <c r="M218" s="12" t="s">
        <v>269</v>
      </c>
      <c r="N218" s="12"/>
      <c r="O218" s="24" t="s">
        <v>19</v>
      </c>
    </row>
    <row r="219" spans="1:15" ht="30" customHeight="1">
      <c r="A219" s="19" t="s">
        <v>103</v>
      </c>
      <c r="B219" s="34" t="s">
        <v>613</v>
      </c>
      <c r="C219" s="34" t="s">
        <v>537</v>
      </c>
      <c r="D219" s="31">
        <v>113198.83565089534</v>
      </c>
      <c r="E219" s="32">
        <v>93761.042753378351</v>
      </c>
      <c r="F219" s="31">
        <f t="shared" si="3"/>
        <v>19437.792897516993</v>
      </c>
      <c r="G219" s="33">
        <v>90</v>
      </c>
      <c r="H219" s="33">
        <v>0</v>
      </c>
      <c r="I219" s="13"/>
      <c r="J219" s="34">
        <v>40.835000000000001</v>
      </c>
      <c r="K219" s="34">
        <v>72.206898333300003</v>
      </c>
      <c r="L219" s="20">
        <v>63</v>
      </c>
      <c r="M219" s="12" t="s">
        <v>270</v>
      </c>
      <c r="N219" s="12"/>
      <c r="O219" s="24" t="s">
        <v>19</v>
      </c>
    </row>
    <row r="220" spans="1:15" ht="30" customHeight="1">
      <c r="A220" s="19" t="s">
        <v>103</v>
      </c>
      <c r="B220" s="34" t="s">
        <v>608</v>
      </c>
      <c r="C220" s="34" t="s">
        <v>538</v>
      </c>
      <c r="D220" s="31">
        <v>61364.197130895343</v>
      </c>
      <c r="E220" s="32">
        <v>48411.402753378352</v>
      </c>
      <c r="F220" s="31">
        <f t="shared" si="3"/>
        <v>12952.794377516992</v>
      </c>
      <c r="G220" s="33">
        <v>74</v>
      </c>
      <c r="H220" s="33">
        <v>1</v>
      </c>
      <c r="I220" s="13"/>
      <c r="J220" s="34">
        <v>40.880708333299999</v>
      </c>
      <c r="K220" s="34">
        <v>71.964420000000004</v>
      </c>
      <c r="L220" s="20">
        <v>63</v>
      </c>
      <c r="M220" s="12" t="s">
        <v>271</v>
      </c>
      <c r="N220" s="12"/>
      <c r="O220" s="24" t="s">
        <v>19</v>
      </c>
    </row>
    <row r="221" spans="1:15" ht="30" customHeight="1">
      <c r="A221" s="19" t="s">
        <v>16</v>
      </c>
      <c r="B221" s="34" t="s">
        <v>607</v>
      </c>
      <c r="C221" s="34" t="s">
        <v>539</v>
      </c>
      <c r="D221" s="31">
        <v>500281.0548808953</v>
      </c>
      <c r="E221" s="32">
        <v>432415.65275337832</v>
      </c>
      <c r="F221" s="31">
        <f t="shared" si="3"/>
        <v>67865.40212751698</v>
      </c>
      <c r="G221" s="33">
        <v>65</v>
      </c>
      <c r="H221" s="33">
        <v>1</v>
      </c>
      <c r="I221" s="13"/>
      <c r="J221" s="34">
        <v>40.874901666699998</v>
      </c>
      <c r="K221" s="34">
        <v>71.967150000000004</v>
      </c>
      <c r="L221" s="20">
        <v>160</v>
      </c>
      <c r="M221" s="12" t="s">
        <v>272</v>
      </c>
      <c r="N221" s="12"/>
      <c r="O221" s="24" t="s">
        <v>19</v>
      </c>
    </row>
    <row r="222" spans="1:15" ht="30" customHeight="1">
      <c r="A222" s="19" t="s">
        <v>103</v>
      </c>
      <c r="B222" s="34" t="s">
        <v>607</v>
      </c>
      <c r="C222" s="34" t="s">
        <v>540</v>
      </c>
      <c r="D222" s="31">
        <v>80493.30797089533</v>
      </c>
      <c r="E222" s="32">
        <v>65147.282753378342</v>
      </c>
      <c r="F222" s="31">
        <f t="shared" si="3"/>
        <v>15346.025217516988</v>
      </c>
      <c r="G222" s="33">
        <v>119</v>
      </c>
      <c r="H222" s="33">
        <v>4</v>
      </c>
      <c r="I222" s="13"/>
      <c r="J222" s="34">
        <v>40.869693333299999</v>
      </c>
      <c r="K222" s="34">
        <v>71.966144999999997</v>
      </c>
      <c r="L222" s="19">
        <v>160</v>
      </c>
      <c r="M222" s="12" t="s">
        <v>273</v>
      </c>
      <c r="N222" s="12"/>
      <c r="O222" s="24" t="s">
        <v>19</v>
      </c>
    </row>
    <row r="223" spans="1:15" ht="30" customHeight="1">
      <c r="A223" s="19" t="s">
        <v>103</v>
      </c>
      <c r="B223" s="34" t="s">
        <v>605</v>
      </c>
      <c r="C223" s="34" t="s">
        <v>311</v>
      </c>
      <c r="D223" s="31">
        <v>57175.993670895346</v>
      </c>
      <c r="E223" s="32">
        <v>44747.182753378351</v>
      </c>
      <c r="F223" s="31">
        <f t="shared" si="3"/>
        <v>12428.810917516996</v>
      </c>
      <c r="G223" s="33">
        <v>80</v>
      </c>
      <c r="H223" s="33">
        <v>0</v>
      </c>
      <c r="I223" s="13" t="s">
        <v>123</v>
      </c>
      <c r="J223" s="34">
        <v>40.8802053239</v>
      </c>
      <c r="K223" s="34">
        <v>71.948066717000003</v>
      </c>
      <c r="L223" s="20">
        <v>100</v>
      </c>
      <c r="M223" s="12" t="s">
        <v>274</v>
      </c>
      <c r="N223" s="12"/>
      <c r="O223" s="24" t="s">
        <v>19</v>
      </c>
    </row>
    <row r="224" spans="1:15" ht="30" customHeight="1">
      <c r="A224" s="19" t="s">
        <v>16</v>
      </c>
      <c r="B224" s="34" t="s">
        <v>613</v>
      </c>
      <c r="C224" s="34" t="s">
        <v>541</v>
      </c>
      <c r="D224" s="31">
        <v>92305.42430089532</v>
      </c>
      <c r="E224" s="32">
        <v>75481.59275337834</v>
      </c>
      <c r="F224" s="31">
        <f t="shared" si="3"/>
        <v>16823.83154751698</v>
      </c>
      <c r="G224" s="33">
        <v>35</v>
      </c>
      <c r="H224" s="33">
        <v>0</v>
      </c>
      <c r="I224" s="13" t="s">
        <v>58</v>
      </c>
      <c r="J224" s="34">
        <v>40.837551666700001</v>
      </c>
      <c r="K224" s="34">
        <v>72.172751666699995</v>
      </c>
      <c r="L224" s="20">
        <v>100</v>
      </c>
      <c r="M224" s="12" t="s">
        <v>275</v>
      </c>
      <c r="N224" s="12"/>
      <c r="O224" s="24" t="s">
        <v>19</v>
      </c>
    </row>
    <row r="225" spans="1:15" ht="30" customHeight="1">
      <c r="A225" s="16" t="s">
        <v>16</v>
      </c>
      <c r="B225" s="34" t="s">
        <v>606</v>
      </c>
      <c r="C225" s="34" t="s">
        <v>542</v>
      </c>
      <c r="D225" s="31">
        <v>131685.38618089535</v>
      </c>
      <c r="E225" s="32">
        <v>109934.75275337834</v>
      </c>
      <c r="F225" s="31">
        <f t="shared" si="3"/>
        <v>21750.633427517008</v>
      </c>
      <c r="G225" s="33">
        <v>81</v>
      </c>
      <c r="H225" s="33">
        <v>2</v>
      </c>
      <c r="I225" s="15" t="s">
        <v>276</v>
      </c>
      <c r="J225" s="34">
        <v>40.857341666700002</v>
      </c>
      <c r="K225" s="34">
        <v>72.001365000000007</v>
      </c>
      <c r="L225" s="15">
        <v>1000</v>
      </c>
      <c r="M225" s="12"/>
      <c r="N225" s="12"/>
      <c r="O225" s="24" t="s">
        <v>19</v>
      </c>
    </row>
    <row r="226" spans="1:15" ht="30" customHeight="1">
      <c r="A226" s="16" t="s">
        <v>16</v>
      </c>
      <c r="B226" s="34" t="s">
        <v>608</v>
      </c>
      <c r="C226" s="34" t="s">
        <v>543</v>
      </c>
      <c r="D226" s="31">
        <v>72273.560630895343</v>
      </c>
      <c r="E226" s="32">
        <v>57955.902753378352</v>
      </c>
      <c r="F226" s="31">
        <f t="shared" si="3"/>
        <v>14317.657877516991</v>
      </c>
      <c r="G226" s="33">
        <v>43</v>
      </c>
      <c r="H226" s="33">
        <v>0</v>
      </c>
      <c r="I226" s="15" t="s">
        <v>276</v>
      </c>
      <c r="J226" s="34">
        <v>40.883535000000002</v>
      </c>
      <c r="K226" s="34">
        <v>71.979993333300001</v>
      </c>
      <c r="L226" s="15">
        <v>630</v>
      </c>
      <c r="M226" s="12"/>
      <c r="N226" s="12"/>
      <c r="O226" s="24" t="s">
        <v>19</v>
      </c>
    </row>
    <row r="227" spans="1:15" ht="30" customHeight="1">
      <c r="A227" s="16" t="s">
        <v>16</v>
      </c>
      <c r="B227" s="34" t="s">
        <v>611</v>
      </c>
      <c r="C227" s="34" t="s">
        <v>544</v>
      </c>
      <c r="D227" s="31">
        <v>101172.69257089533</v>
      </c>
      <c r="E227" s="32">
        <v>83239.482753378354</v>
      </c>
      <c r="F227" s="31">
        <f t="shared" si="3"/>
        <v>17933.209817516981</v>
      </c>
      <c r="G227" s="33">
        <v>44</v>
      </c>
      <c r="H227" s="33">
        <v>3</v>
      </c>
      <c r="I227" s="15" t="s">
        <v>277</v>
      </c>
      <c r="J227" s="34">
        <v>40.874026666600002</v>
      </c>
      <c r="K227" s="34">
        <v>72.094549999700007</v>
      </c>
      <c r="L227" s="15">
        <v>400</v>
      </c>
      <c r="M227" s="12"/>
      <c r="N227" s="12"/>
      <c r="O227" s="24" t="s">
        <v>19</v>
      </c>
    </row>
    <row r="228" spans="1:15" ht="30" customHeight="1">
      <c r="A228" s="16" t="s">
        <v>103</v>
      </c>
      <c r="B228" s="34" t="s">
        <v>612</v>
      </c>
      <c r="C228" s="34" t="s">
        <v>545</v>
      </c>
      <c r="D228" s="31">
        <v>51710.550575895337</v>
      </c>
      <c r="E228" s="32">
        <v>39965.517753378343</v>
      </c>
      <c r="F228" s="31">
        <f t="shared" si="3"/>
        <v>11745.032822516994</v>
      </c>
      <c r="G228" s="33">
        <v>67</v>
      </c>
      <c r="H228" s="33">
        <v>1</v>
      </c>
      <c r="I228" s="15" t="s">
        <v>278</v>
      </c>
      <c r="J228" s="34">
        <v>40.846710000000002</v>
      </c>
      <c r="K228" s="34">
        <v>72.065683333300001</v>
      </c>
      <c r="L228" s="15">
        <v>1000</v>
      </c>
      <c r="M228" s="12"/>
      <c r="N228" s="12"/>
      <c r="O228" s="24" t="s">
        <v>19</v>
      </c>
    </row>
    <row r="229" spans="1:15" ht="30" customHeight="1">
      <c r="A229" s="16" t="s">
        <v>16</v>
      </c>
      <c r="B229" s="34" t="s">
        <v>613</v>
      </c>
      <c r="C229" s="34" t="s">
        <v>546</v>
      </c>
      <c r="D229" s="31">
        <v>284860.29065089533</v>
      </c>
      <c r="E229" s="32">
        <v>243946.04275337834</v>
      </c>
      <c r="F229" s="31">
        <f t="shared" si="3"/>
        <v>40914.247897516994</v>
      </c>
      <c r="G229" s="33">
        <v>118</v>
      </c>
      <c r="H229" s="33">
        <v>0</v>
      </c>
      <c r="I229" s="15" t="s">
        <v>279</v>
      </c>
      <c r="J229" s="34">
        <v>40.839961666699999</v>
      </c>
      <c r="K229" s="34">
        <v>72.232654999999994</v>
      </c>
      <c r="L229" s="15">
        <v>1000</v>
      </c>
      <c r="M229" s="12"/>
      <c r="N229" s="12"/>
      <c r="O229" s="24" t="s">
        <v>19</v>
      </c>
    </row>
    <row r="230" spans="1:15" ht="30" customHeight="1">
      <c r="A230" s="16" t="s">
        <v>16</v>
      </c>
      <c r="B230" s="34" t="s">
        <v>608</v>
      </c>
      <c r="C230" s="34" t="s">
        <v>547</v>
      </c>
      <c r="D230" s="31">
        <v>298439.66786089534</v>
      </c>
      <c r="E230" s="32">
        <v>255826.51275337837</v>
      </c>
      <c r="F230" s="31">
        <f t="shared" si="3"/>
        <v>42613.15510751697</v>
      </c>
      <c r="G230" s="33">
        <v>94</v>
      </c>
      <c r="H230" s="33">
        <v>0</v>
      </c>
      <c r="I230" s="15" t="s">
        <v>276</v>
      </c>
      <c r="J230" s="34">
        <v>40.873249936800001</v>
      </c>
      <c r="K230" s="34">
        <v>71.969074951500005</v>
      </c>
      <c r="L230" s="15">
        <v>160</v>
      </c>
      <c r="M230" s="12"/>
      <c r="N230" s="12"/>
      <c r="O230" s="24" t="s">
        <v>19</v>
      </c>
    </row>
    <row r="231" spans="1:15" ht="30" customHeight="1">
      <c r="A231" s="16" t="s">
        <v>16</v>
      </c>
      <c r="B231" s="34" t="s">
        <v>605</v>
      </c>
      <c r="C231" s="34" t="s">
        <v>339</v>
      </c>
      <c r="D231" s="31">
        <v>230393.32313089538</v>
      </c>
      <c r="E231" s="32">
        <v>196293.40275337838</v>
      </c>
      <c r="F231" s="31">
        <f t="shared" si="3"/>
        <v>34099.920377517003</v>
      </c>
      <c r="G231" s="33">
        <v>45</v>
      </c>
      <c r="H231" s="33">
        <v>1</v>
      </c>
      <c r="I231" s="15" t="s">
        <v>280</v>
      </c>
      <c r="J231" s="34">
        <v>40.895608333299997</v>
      </c>
      <c r="K231" s="34">
        <v>71.923013333300005</v>
      </c>
      <c r="L231" s="15">
        <v>100</v>
      </c>
      <c r="M231" s="12"/>
      <c r="N231" s="12"/>
      <c r="O231" s="24" t="s">
        <v>19</v>
      </c>
    </row>
    <row r="232" spans="1:15" ht="30" customHeight="1">
      <c r="A232" s="16" t="s">
        <v>16</v>
      </c>
      <c r="B232" s="34" t="s">
        <v>607</v>
      </c>
      <c r="C232" s="34" t="s">
        <v>548</v>
      </c>
      <c r="D232" s="31">
        <v>71504.344490895339</v>
      </c>
      <c r="E232" s="32">
        <v>57282.922753378356</v>
      </c>
      <c r="F232" s="31">
        <f t="shared" si="3"/>
        <v>14221.421737516983</v>
      </c>
      <c r="G232" s="33">
        <v>60</v>
      </c>
      <c r="H232" s="33">
        <v>3</v>
      </c>
      <c r="I232" s="15" t="s">
        <v>276</v>
      </c>
      <c r="J232" s="34">
        <v>40.875115049900003</v>
      </c>
      <c r="K232" s="34">
        <v>72.008864803799995</v>
      </c>
      <c r="L232" s="15">
        <v>250</v>
      </c>
      <c r="M232" s="12"/>
      <c r="N232" s="12"/>
      <c r="O232" s="24" t="s">
        <v>19</v>
      </c>
    </row>
    <row r="233" spans="1:15" ht="30" customHeight="1">
      <c r="A233" s="16" t="s">
        <v>16</v>
      </c>
      <c r="B233" s="34" t="s">
        <v>611</v>
      </c>
      <c r="C233" s="34" t="s">
        <v>549</v>
      </c>
      <c r="D233" s="31">
        <v>86813.137850895335</v>
      </c>
      <c r="E233" s="32">
        <v>70676.442753378346</v>
      </c>
      <c r="F233" s="31">
        <f t="shared" si="3"/>
        <v>16136.695097516989</v>
      </c>
      <c r="G233" s="33">
        <v>38</v>
      </c>
      <c r="H233" s="33">
        <v>0</v>
      </c>
      <c r="I233" s="15" t="s">
        <v>281</v>
      </c>
      <c r="J233" s="34">
        <v>40.874026666600002</v>
      </c>
      <c r="K233" s="34">
        <v>72.094549999700007</v>
      </c>
      <c r="L233" s="15">
        <v>160</v>
      </c>
      <c r="M233" s="12"/>
      <c r="N233" s="12"/>
      <c r="O233" s="24" t="s">
        <v>19</v>
      </c>
    </row>
    <row r="234" spans="1:15" ht="30" customHeight="1">
      <c r="A234" s="16" t="s">
        <v>16</v>
      </c>
      <c r="B234" s="34" t="s">
        <v>612</v>
      </c>
      <c r="C234" s="34" t="s">
        <v>550</v>
      </c>
      <c r="D234" s="31">
        <v>138063.30332089536</v>
      </c>
      <c r="E234" s="32">
        <v>115514.73275337835</v>
      </c>
      <c r="F234" s="31">
        <f t="shared" si="3"/>
        <v>22548.570567517003</v>
      </c>
      <c r="G234" s="33">
        <v>94</v>
      </c>
      <c r="H234" s="33">
        <v>1</v>
      </c>
      <c r="I234" s="15" t="s">
        <v>282</v>
      </c>
      <c r="J234" s="34">
        <v>40.816318333300003</v>
      </c>
      <c r="K234" s="34">
        <v>72.106885000000005</v>
      </c>
      <c r="L234" s="15">
        <v>100</v>
      </c>
      <c r="M234" s="12"/>
      <c r="N234" s="12"/>
      <c r="O234" s="24" t="s">
        <v>19</v>
      </c>
    </row>
    <row r="235" spans="1:15" ht="30" customHeight="1">
      <c r="A235" s="16" t="s">
        <v>16</v>
      </c>
      <c r="B235" s="34" t="s">
        <v>611</v>
      </c>
      <c r="C235" s="34" t="s">
        <v>551</v>
      </c>
      <c r="D235" s="31">
        <v>74146.434710895337</v>
      </c>
      <c r="E235" s="32">
        <v>59594.46275337835</v>
      </c>
      <c r="F235" s="31">
        <f t="shared" si="3"/>
        <v>14551.971957516987</v>
      </c>
      <c r="G235" s="33">
        <v>26</v>
      </c>
      <c r="H235" s="33">
        <v>0</v>
      </c>
      <c r="I235" s="15" t="s">
        <v>276</v>
      </c>
      <c r="J235" s="34">
        <v>40.872684479199997</v>
      </c>
      <c r="K235" s="34">
        <v>72.093719629500001</v>
      </c>
      <c r="L235" s="15">
        <v>100</v>
      </c>
      <c r="M235" s="12"/>
      <c r="N235" s="12"/>
      <c r="O235" s="24" t="s">
        <v>19</v>
      </c>
    </row>
    <row r="236" spans="1:15" ht="30" customHeight="1">
      <c r="A236" s="16" t="s">
        <v>16</v>
      </c>
      <c r="B236" s="34" t="s">
        <v>605</v>
      </c>
      <c r="C236" s="34" t="s">
        <v>316</v>
      </c>
      <c r="D236" s="31">
        <v>72089.297600895326</v>
      </c>
      <c r="E236" s="32">
        <v>57794.692753378346</v>
      </c>
      <c r="F236" s="31">
        <f t="shared" si="3"/>
        <v>14294.604847516981</v>
      </c>
      <c r="G236" s="33">
        <v>42</v>
      </c>
      <c r="H236" s="33">
        <v>0</v>
      </c>
      <c r="I236" s="15" t="s">
        <v>283</v>
      </c>
      <c r="J236" s="34">
        <v>40.874026666600002</v>
      </c>
      <c r="K236" s="34">
        <v>72.094549999700007</v>
      </c>
      <c r="L236" s="15">
        <v>400</v>
      </c>
      <c r="M236" s="12"/>
      <c r="N236" s="12"/>
      <c r="O236" s="24" t="s">
        <v>19</v>
      </c>
    </row>
    <row r="237" spans="1:15" ht="30" customHeight="1">
      <c r="A237" s="16" t="s">
        <v>16</v>
      </c>
      <c r="B237" s="34" t="s">
        <v>609</v>
      </c>
      <c r="C237" s="34" t="s">
        <v>552</v>
      </c>
      <c r="D237" s="31">
        <v>98449.072160895332</v>
      </c>
      <c r="E237" s="32">
        <v>80856.612753378344</v>
      </c>
      <c r="F237" s="31">
        <f t="shared" si="3"/>
        <v>17592.459407516988</v>
      </c>
      <c r="G237" s="33">
        <v>73</v>
      </c>
      <c r="H237" s="33">
        <v>1</v>
      </c>
      <c r="I237" s="15" t="s">
        <v>281</v>
      </c>
      <c r="J237" s="34">
        <v>40.869140000000002</v>
      </c>
      <c r="K237" s="34">
        <v>71.991384999999994</v>
      </c>
      <c r="L237" s="15">
        <v>100</v>
      </c>
      <c r="M237" s="12"/>
      <c r="N237" s="12"/>
      <c r="O237" s="24" t="s">
        <v>19</v>
      </c>
    </row>
    <row r="238" spans="1:15" ht="30" customHeight="1">
      <c r="A238" s="16" t="s">
        <v>16</v>
      </c>
      <c r="B238" s="34" t="s">
        <v>613</v>
      </c>
      <c r="C238" s="34" t="s">
        <v>553</v>
      </c>
      <c r="D238" s="31">
        <v>84993.470420895334</v>
      </c>
      <c r="E238" s="32">
        <v>69084.432753378351</v>
      </c>
      <c r="F238" s="31">
        <f t="shared" si="3"/>
        <v>15909.037667516983</v>
      </c>
      <c r="G238" s="33">
        <v>46</v>
      </c>
      <c r="H238" s="33">
        <v>0</v>
      </c>
      <c r="I238" s="15" t="s">
        <v>284</v>
      </c>
      <c r="J238" s="34">
        <v>40.820733333200003</v>
      </c>
      <c r="K238" s="34">
        <v>72.163296666700006</v>
      </c>
      <c r="L238" s="15">
        <v>160</v>
      </c>
      <c r="M238" s="12"/>
      <c r="N238" s="12"/>
      <c r="O238" s="24" t="s">
        <v>19</v>
      </c>
    </row>
    <row r="239" spans="1:15" ht="30" customHeight="1">
      <c r="A239" s="16" t="s">
        <v>103</v>
      </c>
      <c r="B239" s="34" t="s">
        <v>612</v>
      </c>
      <c r="C239" s="34" t="s">
        <v>554</v>
      </c>
      <c r="D239" s="31">
        <v>106184.91902089532</v>
      </c>
      <c r="E239" s="32">
        <v>87624.632753378333</v>
      </c>
      <c r="F239" s="31">
        <f t="shared" si="3"/>
        <v>18560.286267516989</v>
      </c>
      <c r="G239" s="33">
        <v>62</v>
      </c>
      <c r="H239" s="33">
        <v>0</v>
      </c>
      <c r="I239" s="15" t="s">
        <v>285</v>
      </c>
      <c r="J239" s="34">
        <v>40.813206666600003</v>
      </c>
      <c r="K239" s="34">
        <v>72.109205000000003</v>
      </c>
      <c r="L239" s="15">
        <v>630</v>
      </c>
      <c r="M239" s="12"/>
      <c r="N239" s="12"/>
      <c r="O239" s="24" t="s">
        <v>19</v>
      </c>
    </row>
    <row r="240" spans="1:15" ht="30" customHeight="1">
      <c r="A240" s="16" t="s">
        <v>16</v>
      </c>
      <c r="B240" s="34" t="s">
        <v>607</v>
      </c>
      <c r="C240" s="34" t="s">
        <v>555</v>
      </c>
      <c r="D240" s="31">
        <v>142478.73518089534</v>
      </c>
      <c r="E240" s="32">
        <v>119377.75275337834</v>
      </c>
      <c r="F240" s="31">
        <f t="shared" si="3"/>
        <v>23100.982427516996</v>
      </c>
      <c r="G240" s="33">
        <v>95</v>
      </c>
      <c r="H240" s="33">
        <v>3</v>
      </c>
      <c r="I240" s="15" t="s">
        <v>286</v>
      </c>
      <c r="J240" s="34">
        <v>40.872072950000003</v>
      </c>
      <c r="K240" s="34">
        <v>71.967303771499999</v>
      </c>
      <c r="L240" s="15">
        <v>100</v>
      </c>
      <c r="M240" s="12"/>
      <c r="N240" s="12"/>
      <c r="O240" s="24" t="s">
        <v>19</v>
      </c>
    </row>
    <row r="241" spans="1:16" ht="30" customHeight="1">
      <c r="A241" s="16" t="s">
        <v>103</v>
      </c>
      <c r="B241" s="34" t="s">
        <v>610</v>
      </c>
      <c r="C241" s="34" t="s">
        <v>556</v>
      </c>
      <c r="D241" s="31">
        <v>129324.69113089533</v>
      </c>
      <c r="E241" s="32">
        <v>107869.40275337834</v>
      </c>
      <c r="F241" s="31">
        <f t="shared" si="3"/>
        <v>21455.28837751699</v>
      </c>
      <c r="G241" s="33">
        <v>67</v>
      </c>
      <c r="H241" s="33">
        <v>1</v>
      </c>
      <c r="I241" s="15" t="s">
        <v>283</v>
      </c>
      <c r="J241" s="34">
        <v>40.875613333300002</v>
      </c>
      <c r="K241" s="34">
        <v>72.034936666700006</v>
      </c>
      <c r="L241" s="15">
        <v>400</v>
      </c>
      <c r="M241" s="12"/>
      <c r="N241" s="12"/>
      <c r="O241" s="24" t="s">
        <v>19</v>
      </c>
    </row>
    <row r="242" spans="1:16" ht="30" customHeight="1">
      <c r="A242" s="16" t="s">
        <v>16</v>
      </c>
      <c r="B242" s="34" t="s">
        <v>612</v>
      </c>
      <c r="C242" s="34" t="s">
        <v>557</v>
      </c>
      <c r="D242" s="31">
        <v>30633.156230895343</v>
      </c>
      <c r="E242" s="32">
        <v>21525.102753378349</v>
      </c>
      <c r="F242" s="31">
        <f t="shared" si="3"/>
        <v>9108.0534775169945</v>
      </c>
      <c r="G242" s="33">
        <v>17</v>
      </c>
      <c r="H242" s="33">
        <v>0</v>
      </c>
      <c r="I242" s="15" t="s">
        <v>287</v>
      </c>
      <c r="J242" s="34">
        <v>40.813206666600003</v>
      </c>
      <c r="K242" s="34">
        <v>72.109205000000003</v>
      </c>
      <c r="L242" s="15">
        <v>100</v>
      </c>
      <c r="M242" s="12"/>
      <c r="N242" s="12"/>
      <c r="O242" s="24" t="s">
        <v>19</v>
      </c>
    </row>
    <row r="243" spans="1:16" ht="30" customHeight="1">
      <c r="A243" s="16" t="s">
        <v>16</v>
      </c>
      <c r="B243" s="34" t="s">
        <v>612</v>
      </c>
      <c r="C243" s="34" t="s">
        <v>558</v>
      </c>
      <c r="D243" s="31">
        <v>41028.375470895342</v>
      </c>
      <c r="E243" s="32">
        <v>30619.782753378349</v>
      </c>
      <c r="F243" s="31">
        <f t="shared" si="3"/>
        <v>10408.592717516993</v>
      </c>
      <c r="G243" s="33">
        <v>42</v>
      </c>
      <c r="H243" s="33">
        <v>0</v>
      </c>
      <c r="I243" s="15" t="s">
        <v>280</v>
      </c>
      <c r="J243" s="34">
        <v>40.813206666600003</v>
      </c>
      <c r="K243" s="34">
        <v>72.109205000000003</v>
      </c>
      <c r="L243" s="15">
        <v>100</v>
      </c>
      <c r="M243" s="12"/>
      <c r="N243" s="12"/>
      <c r="O243" s="24" t="s">
        <v>19</v>
      </c>
    </row>
    <row r="244" spans="1:16" ht="30" customHeight="1">
      <c r="A244" s="16" t="s">
        <v>16</v>
      </c>
      <c r="B244" s="34" t="s">
        <v>612</v>
      </c>
      <c r="C244" s="34" t="s">
        <v>559</v>
      </c>
      <c r="D244" s="31">
        <v>33063.700010895336</v>
      </c>
      <c r="E244" s="32">
        <v>23651.562753378348</v>
      </c>
      <c r="F244" s="31">
        <f t="shared" si="3"/>
        <v>9412.137257516988</v>
      </c>
      <c r="G244" s="33">
        <v>21</v>
      </c>
      <c r="H244" s="33">
        <v>1</v>
      </c>
      <c r="I244" s="15" t="s">
        <v>287</v>
      </c>
      <c r="J244" s="34">
        <v>40.813206666600003</v>
      </c>
      <c r="K244" s="34">
        <v>72.109205000000003</v>
      </c>
      <c r="L244" s="15">
        <v>25</v>
      </c>
      <c r="M244" s="12"/>
      <c r="N244" s="12"/>
      <c r="O244" s="24" t="s">
        <v>19</v>
      </c>
    </row>
    <row r="245" spans="1:16" ht="30" customHeight="1">
      <c r="A245" s="16" t="s">
        <v>16</v>
      </c>
      <c r="B245" s="34" t="s">
        <v>608</v>
      </c>
      <c r="C245" s="34" t="s">
        <v>560</v>
      </c>
      <c r="D245" s="31">
        <v>24653.688890895341</v>
      </c>
      <c r="E245" s="32">
        <v>16293.722753378348</v>
      </c>
      <c r="F245" s="31">
        <f t="shared" si="3"/>
        <v>8359.9661375169926</v>
      </c>
      <c r="G245" s="33">
        <v>26</v>
      </c>
      <c r="H245" s="33">
        <v>3</v>
      </c>
      <c r="I245" s="15" t="s">
        <v>287</v>
      </c>
      <c r="J245" s="34">
        <v>40.887124999999997</v>
      </c>
      <c r="K245" s="34">
        <v>71.961399</v>
      </c>
      <c r="L245" s="15">
        <v>63</v>
      </c>
      <c r="M245" s="12"/>
      <c r="N245" s="12"/>
      <c r="O245" s="24" t="s">
        <v>19</v>
      </c>
    </row>
    <row r="246" spans="1:16" ht="30" customHeight="1">
      <c r="A246" s="16" t="s">
        <v>16</v>
      </c>
      <c r="B246" s="34" t="s">
        <v>609</v>
      </c>
      <c r="C246" s="34" t="s">
        <v>561</v>
      </c>
      <c r="D246" s="31">
        <v>25230.480980895343</v>
      </c>
      <c r="E246" s="32">
        <v>16798.352753378349</v>
      </c>
      <c r="F246" s="31">
        <f t="shared" si="3"/>
        <v>8432.1282275169942</v>
      </c>
      <c r="G246" s="33">
        <v>92</v>
      </c>
      <c r="H246" s="33">
        <v>0</v>
      </c>
      <c r="I246" s="15" t="s">
        <v>288</v>
      </c>
      <c r="J246" s="34">
        <v>40.890337000000002</v>
      </c>
      <c r="K246" s="34">
        <v>72.009943000000007</v>
      </c>
      <c r="L246" s="15">
        <v>160</v>
      </c>
      <c r="M246" s="12"/>
      <c r="N246" s="12"/>
      <c r="O246" s="24" t="s">
        <v>19</v>
      </c>
      <c r="P246" s="21">
        <v>7</v>
      </c>
    </row>
    <row r="247" spans="1:16" ht="30" customHeight="1">
      <c r="A247" s="16" t="s">
        <v>16</v>
      </c>
      <c r="B247" s="34" t="s">
        <v>611</v>
      </c>
      <c r="C247" s="34" t="s">
        <v>562</v>
      </c>
      <c r="D247" s="31">
        <v>26795.79662089534</v>
      </c>
      <c r="E247" s="32">
        <v>18167.832753378349</v>
      </c>
      <c r="F247" s="31">
        <f t="shared" si="3"/>
        <v>8627.9638675169917</v>
      </c>
      <c r="G247" s="33">
        <v>51</v>
      </c>
      <c r="H247" s="33">
        <v>0</v>
      </c>
      <c r="I247" s="15" t="s">
        <v>281</v>
      </c>
      <c r="J247" s="13"/>
      <c r="K247" s="13"/>
      <c r="L247" s="15">
        <v>63</v>
      </c>
      <c r="M247" s="12"/>
      <c r="N247" s="12"/>
      <c r="O247" s="24" t="s">
        <v>19</v>
      </c>
    </row>
    <row r="248" spans="1:16" ht="30" customHeight="1">
      <c r="A248" s="16" t="s">
        <v>16</v>
      </c>
      <c r="B248" s="34" t="s">
        <v>605</v>
      </c>
      <c r="C248" s="34" t="s">
        <v>343</v>
      </c>
      <c r="D248" s="31">
        <v>24653.688890895341</v>
      </c>
      <c r="E248" s="32">
        <v>16293.722753378348</v>
      </c>
      <c r="F248" s="31">
        <f t="shared" si="3"/>
        <v>8359.9661375169926</v>
      </c>
      <c r="G248" s="33">
        <v>12</v>
      </c>
      <c r="H248" s="33">
        <v>1</v>
      </c>
      <c r="I248" s="15" t="s">
        <v>296</v>
      </c>
      <c r="J248" s="13"/>
      <c r="K248" s="13"/>
      <c r="L248" s="15">
        <v>160</v>
      </c>
      <c r="M248" s="12"/>
      <c r="N248" s="12"/>
      <c r="O248" s="24" t="s">
        <v>19</v>
      </c>
    </row>
    <row r="249" spans="1:16" ht="30" customHeight="1">
      <c r="A249" s="16" t="s">
        <v>16</v>
      </c>
      <c r="B249" s="34" t="s">
        <v>608</v>
      </c>
      <c r="C249" s="34" t="s">
        <v>563</v>
      </c>
      <c r="D249" s="31">
        <v>390079.8414508953</v>
      </c>
      <c r="E249" s="32">
        <v>336001.64275337831</v>
      </c>
      <c r="F249" s="31">
        <f t="shared" si="3"/>
        <v>54078.198697516986</v>
      </c>
      <c r="G249" s="33">
        <v>68</v>
      </c>
      <c r="H249" s="33">
        <v>1</v>
      </c>
      <c r="I249" s="15" t="s">
        <v>296</v>
      </c>
      <c r="J249" s="13"/>
      <c r="K249" s="13"/>
      <c r="L249" s="15">
        <v>63</v>
      </c>
      <c r="M249" s="12"/>
      <c r="N249" s="12"/>
      <c r="O249" s="24" t="s">
        <v>19</v>
      </c>
    </row>
    <row r="250" spans="1:16" ht="30" customHeight="1">
      <c r="A250" s="16" t="s">
        <v>16</v>
      </c>
      <c r="B250" s="34" t="s">
        <v>609</v>
      </c>
      <c r="C250" s="34" t="s">
        <v>564</v>
      </c>
      <c r="D250" s="31">
        <v>165216.85709089536</v>
      </c>
      <c r="E250" s="32">
        <v>139271.12275337835</v>
      </c>
      <c r="F250" s="31">
        <f t="shared" si="3"/>
        <v>25945.734337517002</v>
      </c>
      <c r="G250" s="33">
        <v>31</v>
      </c>
      <c r="H250" s="33">
        <v>0</v>
      </c>
      <c r="I250" s="15" t="s">
        <v>296</v>
      </c>
      <c r="J250" s="13">
        <v>40.876370000000001</v>
      </c>
      <c r="K250" s="13">
        <v>71.934290000000004</v>
      </c>
      <c r="L250" s="15">
        <v>63</v>
      </c>
      <c r="M250" s="12"/>
      <c r="N250" s="12"/>
      <c r="O250" s="24" t="s">
        <v>19</v>
      </c>
    </row>
    <row r="251" spans="1:16" ht="30" customHeight="1">
      <c r="A251" s="16" t="s">
        <v>16</v>
      </c>
      <c r="B251" s="34" t="s">
        <v>610</v>
      </c>
      <c r="C251" s="34" t="s">
        <v>565</v>
      </c>
      <c r="D251" s="31">
        <v>78141.654050895319</v>
      </c>
      <c r="E251" s="32">
        <v>63089.84275337834</v>
      </c>
      <c r="F251" s="31">
        <f t="shared" si="3"/>
        <v>15051.811297516979</v>
      </c>
      <c r="G251" s="33">
        <v>22</v>
      </c>
      <c r="H251" s="33">
        <v>0</v>
      </c>
      <c r="I251" s="15" t="s">
        <v>296</v>
      </c>
      <c r="J251" s="13"/>
      <c r="K251" s="13"/>
      <c r="L251" s="15">
        <v>160</v>
      </c>
      <c r="M251" s="12"/>
      <c r="N251" s="12"/>
      <c r="O251" s="24" t="s">
        <v>19</v>
      </c>
    </row>
    <row r="252" spans="1:16" ht="30" customHeight="1">
      <c r="A252" s="16" t="s">
        <v>16</v>
      </c>
      <c r="B252" s="34" t="s">
        <v>610</v>
      </c>
      <c r="C252" s="34" t="s">
        <v>566</v>
      </c>
      <c r="D252" s="31">
        <v>82950.415070895338</v>
      </c>
      <c r="E252" s="32">
        <v>67296.982753378354</v>
      </c>
      <c r="F252" s="31">
        <f t="shared" si="3"/>
        <v>15653.432317516985</v>
      </c>
      <c r="G252" s="33">
        <v>51</v>
      </c>
      <c r="H252" s="33">
        <v>2</v>
      </c>
      <c r="I252" s="15" t="s">
        <v>296</v>
      </c>
      <c r="J252" s="13"/>
      <c r="K252" s="13"/>
      <c r="L252" s="15">
        <v>63</v>
      </c>
      <c r="M252" s="12"/>
      <c r="N252" s="12"/>
      <c r="O252" s="24" t="s">
        <v>19</v>
      </c>
    </row>
    <row r="253" spans="1:16" ht="30" customHeight="1">
      <c r="A253" s="16" t="s">
        <v>16</v>
      </c>
      <c r="B253" s="34" t="s">
        <v>607</v>
      </c>
      <c r="C253" s="34" t="s">
        <v>567</v>
      </c>
      <c r="D253" s="31">
        <v>104418.69827089531</v>
      </c>
      <c r="E253" s="32">
        <v>86079.382753378333</v>
      </c>
      <c r="F253" s="31">
        <f t="shared" si="3"/>
        <v>18339.315517516981</v>
      </c>
      <c r="G253" s="33">
        <v>48</v>
      </c>
      <c r="H253" s="33">
        <v>0</v>
      </c>
      <c r="I253" s="15" t="s">
        <v>280</v>
      </c>
      <c r="J253" s="13"/>
      <c r="K253" s="13"/>
      <c r="L253" s="15">
        <v>250</v>
      </c>
      <c r="M253" s="12"/>
      <c r="N253" s="12"/>
      <c r="O253" s="24" t="s">
        <v>19</v>
      </c>
    </row>
    <row r="254" spans="1:16" ht="30" customHeight="1">
      <c r="A254" s="16" t="s">
        <v>16</v>
      </c>
      <c r="B254" s="34" t="s">
        <v>609</v>
      </c>
      <c r="C254" s="34" t="s">
        <v>568</v>
      </c>
      <c r="D254" s="31">
        <v>158778.21236089536</v>
      </c>
      <c r="E254" s="32">
        <v>133638.01275337837</v>
      </c>
      <c r="F254" s="31">
        <f t="shared" si="3"/>
        <v>25140.199607516988</v>
      </c>
      <c r="G254" s="33">
        <v>77</v>
      </c>
      <c r="H254" s="33">
        <v>1</v>
      </c>
      <c r="I254" s="15" t="s">
        <v>293</v>
      </c>
      <c r="J254" s="13"/>
      <c r="K254" s="13"/>
      <c r="L254" s="15">
        <v>25</v>
      </c>
      <c r="M254" s="12"/>
      <c r="N254" s="12"/>
      <c r="O254" s="24" t="s">
        <v>19</v>
      </c>
    </row>
    <row r="255" spans="1:16" ht="30" customHeight="1">
      <c r="A255" s="16" t="s">
        <v>16</v>
      </c>
      <c r="B255" s="34" t="s">
        <v>608</v>
      </c>
      <c r="C255" s="34" t="s">
        <v>569</v>
      </c>
      <c r="D255" s="31">
        <v>106656.49796089531</v>
      </c>
      <c r="E255" s="32">
        <v>88037.212753378335</v>
      </c>
      <c r="F255" s="31">
        <f t="shared" si="3"/>
        <v>18619.285207516979</v>
      </c>
      <c r="G255" s="33">
        <v>52</v>
      </c>
      <c r="H255" s="33">
        <v>0</v>
      </c>
      <c r="I255" s="15" t="s">
        <v>297</v>
      </c>
      <c r="J255" s="13"/>
      <c r="K255" s="13"/>
      <c r="L255" s="15">
        <v>630</v>
      </c>
      <c r="M255" s="12"/>
      <c r="N255" s="12"/>
      <c r="O255" s="24" t="s">
        <v>19</v>
      </c>
    </row>
    <row r="256" spans="1:16" ht="30" customHeight="1">
      <c r="A256" s="16" t="s">
        <v>103</v>
      </c>
      <c r="B256" s="34" t="s">
        <v>609</v>
      </c>
      <c r="C256" s="34" t="s">
        <v>570</v>
      </c>
      <c r="D256" s="31">
        <v>83894.293040895325</v>
      </c>
      <c r="E256" s="32">
        <v>68122.772753378347</v>
      </c>
      <c r="F256" s="31">
        <f t="shared" si="3"/>
        <v>15771.520287516978</v>
      </c>
      <c r="G256" s="33">
        <v>51</v>
      </c>
      <c r="H256" s="33">
        <v>0</v>
      </c>
      <c r="I256" s="15" t="s">
        <v>297</v>
      </c>
      <c r="J256" s="13"/>
      <c r="K256" s="13"/>
      <c r="L256" s="15">
        <v>400</v>
      </c>
      <c r="M256" s="12"/>
      <c r="N256" s="12"/>
      <c r="O256" s="24" t="s">
        <v>19</v>
      </c>
    </row>
    <row r="257" spans="1:15" ht="30" customHeight="1">
      <c r="A257" s="16" t="s">
        <v>16</v>
      </c>
      <c r="B257" s="34" t="s">
        <v>608</v>
      </c>
      <c r="C257" s="34" t="s">
        <v>571</v>
      </c>
      <c r="D257" s="31">
        <v>132344.90861089533</v>
      </c>
      <c r="E257" s="32">
        <v>110511.76275337834</v>
      </c>
      <c r="F257" s="31">
        <f t="shared" si="3"/>
        <v>21833.145857516996</v>
      </c>
      <c r="G257" s="33">
        <v>16</v>
      </c>
      <c r="H257" s="33">
        <v>1</v>
      </c>
      <c r="I257" s="15" t="s">
        <v>276</v>
      </c>
      <c r="J257" s="13"/>
      <c r="K257" s="13"/>
      <c r="L257" s="15">
        <v>160</v>
      </c>
      <c r="M257" s="12"/>
      <c r="N257" s="12"/>
      <c r="O257" s="24" t="s">
        <v>19</v>
      </c>
    </row>
    <row r="258" spans="1:15" ht="30" customHeight="1">
      <c r="A258" s="16" t="s">
        <v>16</v>
      </c>
      <c r="B258" s="34" t="s">
        <v>605</v>
      </c>
      <c r="C258" s="34" t="s">
        <v>320</v>
      </c>
      <c r="D258" s="31">
        <v>51739.474190895344</v>
      </c>
      <c r="E258" s="32">
        <v>39990.82275337835</v>
      </c>
      <c r="F258" s="31">
        <f t="shared" si="3"/>
        <v>11748.651437516994</v>
      </c>
      <c r="G258" s="33">
        <v>33</v>
      </c>
      <c r="H258" s="33">
        <v>1</v>
      </c>
      <c r="I258" s="15" t="s">
        <v>296</v>
      </c>
      <c r="J258" s="13"/>
      <c r="K258" s="13"/>
      <c r="L258" s="15">
        <v>160</v>
      </c>
      <c r="M258" s="12"/>
      <c r="N258" s="12"/>
      <c r="O258" s="24" t="s">
        <v>19</v>
      </c>
    </row>
    <row r="259" spans="1:15" ht="30" customHeight="1">
      <c r="A259" s="16" t="s">
        <v>16</v>
      </c>
      <c r="B259" s="34" t="s">
        <v>611</v>
      </c>
      <c r="C259" s="34" t="s">
        <v>572</v>
      </c>
      <c r="D259" s="31">
        <v>24706.415480895339</v>
      </c>
      <c r="E259" s="32">
        <v>16339.852753378347</v>
      </c>
      <c r="F259" s="31">
        <f t="shared" si="3"/>
        <v>8366.5627275169918</v>
      </c>
      <c r="G259" s="33">
        <v>35</v>
      </c>
      <c r="H259" s="33">
        <v>2</v>
      </c>
      <c r="I259" s="15" t="s">
        <v>296</v>
      </c>
      <c r="J259" s="13">
        <v>40.865291666700003</v>
      </c>
      <c r="K259" s="13">
        <v>71.961494999999999</v>
      </c>
      <c r="L259" s="15">
        <v>100</v>
      </c>
      <c r="M259" s="12"/>
      <c r="N259" s="12"/>
      <c r="O259" s="24" t="s">
        <v>19</v>
      </c>
    </row>
    <row r="260" spans="1:15" ht="30" customHeight="1">
      <c r="A260" s="16" t="s">
        <v>103</v>
      </c>
      <c r="B260" s="34" t="s">
        <v>609</v>
      </c>
      <c r="C260" s="34" t="s">
        <v>573</v>
      </c>
      <c r="D260" s="31">
        <v>58681.621850895339</v>
      </c>
      <c r="E260" s="32">
        <v>46064.442753378346</v>
      </c>
      <c r="F260" s="31">
        <f t="shared" ref="F260:F298" si="4">+D260-E260</f>
        <v>12617.179097516993</v>
      </c>
      <c r="G260" s="33">
        <v>32</v>
      </c>
      <c r="H260" s="33">
        <v>1</v>
      </c>
      <c r="I260" s="15" t="s">
        <v>289</v>
      </c>
      <c r="J260" s="13"/>
      <c r="K260" s="13"/>
      <c r="L260" s="15">
        <v>100</v>
      </c>
      <c r="M260" s="12"/>
      <c r="N260" s="12"/>
      <c r="O260" s="24" t="s">
        <v>19</v>
      </c>
    </row>
    <row r="261" spans="1:15" ht="30" customHeight="1">
      <c r="A261" s="16" t="s">
        <v>16</v>
      </c>
      <c r="B261" s="34" t="s">
        <v>610</v>
      </c>
      <c r="C261" s="34" t="s">
        <v>574</v>
      </c>
      <c r="D261" s="31">
        <v>125135.60756089534</v>
      </c>
      <c r="E261" s="32">
        <v>104204.41275337835</v>
      </c>
      <c r="F261" s="31">
        <f t="shared" si="4"/>
        <v>20931.194807516993</v>
      </c>
      <c r="G261" s="33">
        <v>64</v>
      </c>
      <c r="H261" s="33">
        <v>0</v>
      </c>
      <c r="I261" s="15" t="s">
        <v>293</v>
      </c>
      <c r="J261" s="13"/>
      <c r="K261" s="13"/>
      <c r="L261" s="15">
        <v>250</v>
      </c>
      <c r="M261" s="12"/>
      <c r="N261" s="12"/>
      <c r="O261" s="24" t="s">
        <v>19</v>
      </c>
    </row>
    <row r="262" spans="1:15" ht="30" customHeight="1">
      <c r="A262" s="16" t="s">
        <v>103</v>
      </c>
      <c r="B262" s="34" t="s">
        <v>611</v>
      </c>
      <c r="C262" s="34" t="s">
        <v>575</v>
      </c>
      <c r="D262" s="31">
        <v>24653.688890895341</v>
      </c>
      <c r="E262" s="32">
        <v>16293.722753378348</v>
      </c>
      <c r="F262" s="31">
        <f t="shared" si="4"/>
        <v>8359.9661375169926</v>
      </c>
      <c r="G262" s="33">
        <v>44</v>
      </c>
      <c r="H262" s="33">
        <v>0</v>
      </c>
      <c r="I262" s="15" t="s">
        <v>293</v>
      </c>
      <c r="J262" s="13"/>
      <c r="K262" s="13"/>
      <c r="L262" s="15">
        <v>160</v>
      </c>
      <c r="M262" s="12"/>
      <c r="N262" s="12"/>
      <c r="O262" s="24" t="s">
        <v>19</v>
      </c>
    </row>
    <row r="263" spans="1:15" ht="30" customHeight="1">
      <c r="A263" s="16" t="s">
        <v>103</v>
      </c>
      <c r="B263" s="34" t="s">
        <v>608</v>
      </c>
      <c r="C263" s="34" t="s">
        <v>576</v>
      </c>
      <c r="D263" s="31">
        <v>2271576.6791608953</v>
      </c>
      <c r="E263" s="32">
        <v>1982105.6127533785</v>
      </c>
      <c r="F263" s="31">
        <f t="shared" si="4"/>
        <v>289471.06640751683</v>
      </c>
      <c r="G263" s="33">
        <v>71</v>
      </c>
      <c r="H263" s="33">
        <v>1</v>
      </c>
      <c r="I263" s="15" t="s">
        <v>292</v>
      </c>
      <c r="J263" s="13"/>
      <c r="K263" s="13"/>
      <c r="L263" s="15">
        <v>160</v>
      </c>
      <c r="M263" s="12"/>
      <c r="N263" s="12"/>
      <c r="O263" s="24" t="s">
        <v>19</v>
      </c>
    </row>
    <row r="264" spans="1:15" ht="30" customHeight="1">
      <c r="A264" s="16" t="s">
        <v>103</v>
      </c>
      <c r="B264" s="34" t="s">
        <v>605</v>
      </c>
      <c r="C264" s="34" t="s">
        <v>341</v>
      </c>
      <c r="D264" s="31">
        <v>97703.458970895328</v>
      </c>
      <c r="E264" s="32">
        <v>80204.282753378342</v>
      </c>
      <c r="F264" s="31">
        <f t="shared" si="4"/>
        <v>17499.176217516986</v>
      </c>
      <c r="G264" s="33">
        <v>22</v>
      </c>
      <c r="H264" s="33">
        <v>0</v>
      </c>
      <c r="I264" s="15" t="s">
        <v>292</v>
      </c>
      <c r="J264" s="13"/>
      <c r="K264" s="13"/>
      <c r="L264" s="15">
        <v>100</v>
      </c>
      <c r="M264" s="12"/>
      <c r="N264" s="12"/>
      <c r="O264" s="24" t="s">
        <v>19</v>
      </c>
    </row>
    <row r="265" spans="1:15" ht="30" customHeight="1">
      <c r="A265" s="16" t="s">
        <v>103</v>
      </c>
      <c r="B265" s="34" t="s">
        <v>605</v>
      </c>
      <c r="C265" s="34" t="s">
        <v>324</v>
      </c>
      <c r="D265" s="31">
        <v>80200.071320895338</v>
      </c>
      <c r="E265" s="32">
        <v>64890.732753378354</v>
      </c>
      <c r="F265" s="31">
        <f t="shared" si="4"/>
        <v>15309.338567516985</v>
      </c>
      <c r="G265" s="33">
        <v>81</v>
      </c>
      <c r="H265" s="33">
        <v>0</v>
      </c>
      <c r="I265" s="15" t="s">
        <v>298</v>
      </c>
      <c r="J265" s="13">
        <v>40.858196666700003</v>
      </c>
      <c r="K265" s="13">
        <v>72.1313583333</v>
      </c>
      <c r="L265" s="15">
        <v>250</v>
      </c>
      <c r="M265" s="12"/>
      <c r="N265" s="12"/>
      <c r="O265" s="24" t="s">
        <v>19</v>
      </c>
    </row>
    <row r="266" spans="1:15" ht="30" customHeight="1">
      <c r="A266" s="16" t="s">
        <v>16</v>
      </c>
      <c r="B266" s="34" t="s">
        <v>609</v>
      </c>
      <c r="C266" s="34" t="s">
        <v>577</v>
      </c>
      <c r="D266" s="31">
        <v>24717.056810895341</v>
      </c>
      <c r="E266" s="32">
        <v>16349.162753378348</v>
      </c>
      <c r="F266" s="31">
        <f t="shared" si="4"/>
        <v>8367.8940575169927</v>
      </c>
      <c r="G266" s="33">
        <v>8</v>
      </c>
      <c r="H266" s="33">
        <v>1</v>
      </c>
      <c r="I266" s="15" t="s">
        <v>290</v>
      </c>
      <c r="J266" s="13"/>
      <c r="K266" s="13"/>
      <c r="L266" s="15">
        <v>160</v>
      </c>
      <c r="M266" s="12"/>
      <c r="N266" s="12"/>
      <c r="O266" s="24" t="s">
        <v>19</v>
      </c>
    </row>
    <row r="267" spans="1:15" ht="30" customHeight="1">
      <c r="A267" s="16" t="s">
        <v>103</v>
      </c>
      <c r="B267" s="34" t="s">
        <v>613</v>
      </c>
      <c r="C267" s="34" t="s">
        <v>578</v>
      </c>
      <c r="D267" s="31">
        <v>70568.947580895328</v>
      </c>
      <c r="E267" s="32">
        <v>56464.552753378346</v>
      </c>
      <c r="F267" s="31">
        <f t="shared" si="4"/>
        <v>14104.394827516982</v>
      </c>
      <c r="G267" s="33">
        <v>36</v>
      </c>
      <c r="H267" s="33">
        <v>0</v>
      </c>
      <c r="I267" s="15" t="s">
        <v>294</v>
      </c>
      <c r="J267" s="13"/>
      <c r="K267" s="13"/>
      <c r="L267" s="15">
        <v>160</v>
      </c>
      <c r="M267" s="12"/>
      <c r="N267" s="12"/>
      <c r="O267" s="24" t="s">
        <v>19</v>
      </c>
    </row>
    <row r="268" spans="1:15" ht="30" customHeight="1">
      <c r="A268" s="16" t="s">
        <v>103</v>
      </c>
      <c r="B268" s="34" t="s">
        <v>610</v>
      </c>
      <c r="C268" s="34" t="s">
        <v>579</v>
      </c>
      <c r="D268" s="31">
        <v>71032.845560895337</v>
      </c>
      <c r="E268" s="32">
        <v>56870.412753378347</v>
      </c>
      <c r="F268" s="31">
        <f t="shared" si="4"/>
        <v>14162.432807516991</v>
      </c>
      <c r="G268" s="33">
        <v>29</v>
      </c>
      <c r="H268" s="33">
        <v>0</v>
      </c>
      <c r="I268" s="15" t="s">
        <v>299</v>
      </c>
      <c r="J268" s="13"/>
      <c r="K268" s="13"/>
      <c r="L268" s="15">
        <v>250</v>
      </c>
      <c r="M268" s="12"/>
      <c r="N268" s="12"/>
      <c r="O268" s="24" t="s">
        <v>19</v>
      </c>
    </row>
    <row r="269" spans="1:15" ht="30" customHeight="1">
      <c r="A269" s="16" t="s">
        <v>103</v>
      </c>
      <c r="B269" s="34" t="s">
        <v>612</v>
      </c>
      <c r="C269" s="34" t="s">
        <v>580</v>
      </c>
      <c r="D269" s="31">
        <v>60174.048380895343</v>
      </c>
      <c r="E269" s="32">
        <v>47370.152753378352</v>
      </c>
      <c r="F269" s="31">
        <f t="shared" si="4"/>
        <v>12803.895627516991</v>
      </c>
      <c r="G269" s="33">
        <v>16</v>
      </c>
      <c r="H269" s="33">
        <v>0</v>
      </c>
      <c r="I269" s="15" t="s">
        <v>300</v>
      </c>
      <c r="J269" s="13">
        <v>40.883151666700002</v>
      </c>
      <c r="K269" s="13">
        <v>72.085181666699995</v>
      </c>
      <c r="L269" s="15">
        <v>160</v>
      </c>
      <c r="M269" s="12"/>
      <c r="N269" s="12"/>
      <c r="O269" s="24" t="s">
        <v>19</v>
      </c>
    </row>
    <row r="270" spans="1:15" ht="30" customHeight="1">
      <c r="A270" s="16" t="s">
        <v>103</v>
      </c>
      <c r="B270" s="34" t="s">
        <v>605</v>
      </c>
      <c r="C270" s="34" t="s">
        <v>323</v>
      </c>
      <c r="D270" s="31">
        <v>42451.833380895339</v>
      </c>
      <c r="E270" s="32">
        <v>31865.152753378345</v>
      </c>
      <c r="F270" s="31">
        <f t="shared" si="4"/>
        <v>10586.680627516995</v>
      </c>
      <c r="G270" s="33">
        <v>24</v>
      </c>
      <c r="H270" s="33">
        <v>0</v>
      </c>
      <c r="I270" s="15" t="s">
        <v>301</v>
      </c>
      <c r="J270" s="13"/>
      <c r="K270" s="13"/>
      <c r="L270" s="15">
        <v>63</v>
      </c>
      <c r="M270" s="12"/>
      <c r="N270" s="12"/>
      <c r="O270" s="24" t="s">
        <v>19</v>
      </c>
    </row>
    <row r="271" spans="1:15" ht="30" customHeight="1">
      <c r="A271" s="16" t="s">
        <v>103</v>
      </c>
      <c r="B271" s="34" t="s">
        <v>613</v>
      </c>
      <c r="C271" s="34" t="s">
        <v>581</v>
      </c>
      <c r="D271" s="31">
        <v>128281.84079089534</v>
      </c>
      <c r="E271" s="32">
        <v>106957.02275337835</v>
      </c>
      <c r="F271" s="31">
        <f t="shared" si="4"/>
        <v>21324.81803751699</v>
      </c>
      <c r="G271" s="33">
        <v>69</v>
      </c>
      <c r="H271" s="33">
        <v>0</v>
      </c>
      <c r="I271" s="15" t="s">
        <v>296</v>
      </c>
      <c r="J271" s="13"/>
      <c r="K271" s="13"/>
      <c r="L271" s="15">
        <v>400</v>
      </c>
      <c r="M271" s="12"/>
      <c r="N271" s="12"/>
      <c r="O271" s="24" t="s">
        <v>19</v>
      </c>
    </row>
    <row r="272" spans="1:15" ht="30" customHeight="1">
      <c r="A272" s="16" t="s">
        <v>16</v>
      </c>
      <c r="B272" s="34" t="s">
        <v>609</v>
      </c>
      <c r="C272" s="34" t="s">
        <v>582</v>
      </c>
      <c r="D272" s="31">
        <v>56308.205210895343</v>
      </c>
      <c r="E272" s="32">
        <v>43987.96275337835</v>
      </c>
      <c r="F272" s="31">
        <f t="shared" si="4"/>
        <v>12320.242457516993</v>
      </c>
      <c r="G272" s="33">
        <v>44</v>
      </c>
      <c r="H272" s="33">
        <v>0</v>
      </c>
      <c r="I272" s="15" t="s">
        <v>296</v>
      </c>
      <c r="J272" s="13"/>
      <c r="K272" s="13"/>
      <c r="L272" s="15">
        <v>400</v>
      </c>
      <c r="M272" s="12"/>
      <c r="N272" s="12"/>
      <c r="O272" s="24" t="s">
        <v>19</v>
      </c>
    </row>
    <row r="273" spans="1:15" ht="30" customHeight="1">
      <c r="A273" s="16" t="s">
        <v>16</v>
      </c>
      <c r="B273" s="34" t="s">
        <v>608</v>
      </c>
      <c r="C273" s="34" t="s">
        <v>583</v>
      </c>
      <c r="D273" s="31">
        <v>267873.68759089534</v>
      </c>
      <c r="E273" s="32">
        <v>229084.62275337835</v>
      </c>
      <c r="F273" s="31">
        <f t="shared" si="4"/>
        <v>38789.064837516984</v>
      </c>
      <c r="G273" s="33">
        <v>45</v>
      </c>
      <c r="H273" s="33">
        <v>0</v>
      </c>
      <c r="I273" s="15" t="s">
        <v>289</v>
      </c>
      <c r="J273" s="13">
        <v>40.890700000000002</v>
      </c>
      <c r="K273" s="13">
        <v>71.955235000000002</v>
      </c>
      <c r="L273" s="15">
        <v>40</v>
      </c>
      <c r="M273" s="12"/>
      <c r="N273" s="12"/>
      <c r="O273" s="24" t="s">
        <v>19</v>
      </c>
    </row>
    <row r="274" spans="1:15" ht="30" customHeight="1">
      <c r="A274" s="16" t="s">
        <v>16</v>
      </c>
      <c r="B274" s="34" t="s">
        <v>609</v>
      </c>
      <c r="C274" s="34" t="s">
        <v>584</v>
      </c>
      <c r="D274" s="31">
        <v>32714.216330895339</v>
      </c>
      <c r="E274" s="32">
        <v>23345.802753378346</v>
      </c>
      <c r="F274" s="31">
        <f t="shared" si="4"/>
        <v>9368.4135775169925</v>
      </c>
      <c r="G274" s="33">
        <v>22</v>
      </c>
      <c r="H274" s="33">
        <v>1</v>
      </c>
      <c r="I274" s="15" t="s">
        <v>295</v>
      </c>
      <c r="J274" s="13">
        <v>40.883293333300003</v>
      </c>
      <c r="K274" s="13">
        <v>71.964291666700007</v>
      </c>
      <c r="L274" s="15">
        <v>63</v>
      </c>
      <c r="M274" s="12"/>
      <c r="N274" s="12"/>
      <c r="O274" s="24" t="s">
        <v>19</v>
      </c>
    </row>
    <row r="275" spans="1:15" ht="30" customHeight="1">
      <c r="A275" s="16" t="s">
        <v>16</v>
      </c>
      <c r="B275" s="34" t="s">
        <v>610</v>
      </c>
      <c r="C275" s="34" t="s">
        <v>585</v>
      </c>
      <c r="D275" s="31">
        <v>106128.91202089532</v>
      </c>
      <c r="E275" s="32">
        <v>87575.632753378333</v>
      </c>
      <c r="F275" s="31">
        <f t="shared" si="4"/>
        <v>18553.279267516991</v>
      </c>
      <c r="G275" s="33">
        <v>66</v>
      </c>
      <c r="H275" s="33">
        <v>0</v>
      </c>
      <c r="I275" s="15" t="s">
        <v>297</v>
      </c>
      <c r="J275" s="13">
        <v>40.875286666699999</v>
      </c>
      <c r="K275" s="13">
        <v>71.9537066667</v>
      </c>
      <c r="L275" s="15">
        <v>25</v>
      </c>
      <c r="M275" s="12"/>
      <c r="N275" s="12"/>
      <c r="O275" s="24" t="s">
        <v>19</v>
      </c>
    </row>
    <row r="276" spans="1:15" ht="30" customHeight="1">
      <c r="A276" s="16" t="s">
        <v>16</v>
      </c>
      <c r="B276" s="34" t="s">
        <v>607</v>
      </c>
      <c r="C276" s="34" t="s">
        <v>586</v>
      </c>
      <c r="D276" s="31">
        <v>70411.167860895337</v>
      </c>
      <c r="E276" s="32">
        <v>56326.512753378352</v>
      </c>
      <c r="F276" s="31">
        <f t="shared" si="4"/>
        <v>14084.655107516985</v>
      </c>
      <c r="G276" s="33">
        <v>34</v>
      </c>
      <c r="H276" s="33">
        <v>0</v>
      </c>
      <c r="I276" s="15" t="s">
        <v>302</v>
      </c>
      <c r="J276" s="13"/>
      <c r="K276" s="13"/>
      <c r="L276" s="15">
        <v>160</v>
      </c>
      <c r="M276" s="12"/>
      <c r="N276" s="12"/>
      <c r="O276" s="24" t="s">
        <v>19</v>
      </c>
    </row>
    <row r="277" spans="1:15" ht="30" customHeight="1">
      <c r="A277" s="16" t="s">
        <v>16</v>
      </c>
      <c r="B277" s="34" t="s">
        <v>610</v>
      </c>
      <c r="C277" s="34" t="s">
        <v>587</v>
      </c>
      <c r="D277" s="31">
        <v>64549.395230895345</v>
      </c>
      <c r="E277" s="32">
        <v>51198.102753378349</v>
      </c>
      <c r="F277" s="31">
        <f t="shared" si="4"/>
        <v>13351.292477516996</v>
      </c>
      <c r="G277" s="33">
        <v>11</v>
      </c>
      <c r="H277" s="33">
        <v>0</v>
      </c>
      <c r="I277" s="15" t="s">
        <v>298</v>
      </c>
      <c r="J277" s="13"/>
      <c r="K277" s="13"/>
      <c r="L277" s="15">
        <v>60</v>
      </c>
      <c r="M277" s="12"/>
      <c r="N277" s="12"/>
      <c r="O277" s="24" t="s">
        <v>19</v>
      </c>
    </row>
    <row r="278" spans="1:15" ht="30" customHeight="1">
      <c r="A278" s="16" t="s">
        <v>103</v>
      </c>
      <c r="B278" s="34" t="s">
        <v>605</v>
      </c>
      <c r="C278" s="34" t="s">
        <v>312</v>
      </c>
      <c r="D278" s="31">
        <v>47843.707280895338</v>
      </c>
      <c r="E278" s="32">
        <v>36582.452753378348</v>
      </c>
      <c r="F278" s="31">
        <f t="shared" si="4"/>
        <v>11261.25452751699</v>
      </c>
      <c r="G278" s="33">
        <v>13</v>
      </c>
      <c r="H278" s="33">
        <v>0</v>
      </c>
      <c r="I278" s="15" t="s">
        <v>303</v>
      </c>
      <c r="J278" s="13"/>
      <c r="K278" s="13"/>
      <c r="L278" s="15">
        <v>250</v>
      </c>
      <c r="M278" s="12"/>
      <c r="N278" s="12"/>
      <c r="O278" s="24" t="s">
        <v>19</v>
      </c>
    </row>
    <row r="279" spans="1:15" ht="30" customHeight="1">
      <c r="A279" s="16" t="s">
        <v>103</v>
      </c>
      <c r="B279" s="34" t="s">
        <v>611</v>
      </c>
      <c r="C279" s="34" t="s">
        <v>588</v>
      </c>
      <c r="D279" s="31">
        <v>191592.39362089534</v>
      </c>
      <c r="E279" s="32">
        <v>162346.83275337834</v>
      </c>
      <c r="F279" s="31">
        <f t="shared" si="4"/>
        <v>29245.560867516993</v>
      </c>
      <c r="G279" s="33">
        <v>45</v>
      </c>
      <c r="H279" s="33">
        <v>0</v>
      </c>
      <c r="I279" s="15" t="s">
        <v>291</v>
      </c>
      <c r="J279" s="13">
        <v>40.870626666699998</v>
      </c>
      <c r="K279" s="13">
        <v>72.030681666700005</v>
      </c>
      <c r="L279" s="15">
        <v>40</v>
      </c>
      <c r="M279" s="12"/>
      <c r="N279" s="12"/>
      <c r="O279" s="24" t="s">
        <v>19</v>
      </c>
    </row>
    <row r="280" spans="1:15" ht="30" customHeight="1">
      <c r="A280" s="16" t="s">
        <v>103</v>
      </c>
      <c r="B280" s="34" t="s">
        <v>605</v>
      </c>
      <c r="C280" s="34" t="s">
        <v>327</v>
      </c>
      <c r="D280" s="31">
        <v>59145.43982089535</v>
      </c>
      <c r="E280" s="32">
        <v>46470.232753378354</v>
      </c>
      <c r="F280" s="31">
        <f t="shared" si="4"/>
        <v>12675.207067516996</v>
      </c>
      <c r="G280" s="33">
        <v>39</v>
      </c>
      <c r="H280" s="33">
        <v>2</v>
      </c>
      <c r="I280" s="15" t="s">
        <v>280</v>
      </c>
      <c r="J280" s="13"/>
      <c r="K280" s="13"/>
      <c r="L280" s="15">
        <v>250</v>
      </c>
      <c r="M280" s="12"/>
      <c r="N280" s="12"/>
      <c r="O280" s="24" t="s">
        <v>19</v>
      </c>
    </row>
    <row r="281" spans="1:15" ht="30" customHeight="1">
      <c r="A281" s="16" t="s">
        <v>16</v>
      </c>
      <c r="B281" s="34" t="s">
        <v>609</v>
      </c>
      <c r="C281" s="34" t="s">
        <v>589</v>
      </c>
      <c r="D281" s="31">
        <v>51102.99464089534</v>
      </c>
      <c r="E281" s="32">
        <v>39433.972753378344</v>
      </c>
      <c r="F281" s="31">
        <f t="shared" si="4"/>
        <v>11669.021887516996</v>
      </c>
      <c r="G281" s="33">
        <v>29</v>
      </c>
      <c r="H281" s="33">
        <v>0</v>
      </c>
      <c r="I281" s="15" t="s">
        <v>304</v>
      </c>
      <c r="J281" s="13"/>
      <c r="K281" s="13"/>
      <c r="L281" s="15">
        <v>63</v>
      </c>
      <c r="M281" s="12"/>
      <c r="N281" s="12"/>
      <c r="O281" s="24" t="s">
        <v>19</v>
      </c>
    </row>
    <row r="282" spans="1:15" ht="30" customHeight="1">
      <c r="A282" s="16" t="s">
        <v>16</v>
      </c>
      <c r="B282" s="34" t="s">
        <v>610</v>
      </c>
      <c r="C282" s="34" t="s">
        <v>590</v>
      </c>
      <c r="D282" s="31">
        <v>143984.04332089535</v>
      </c>
      <c r="E282" s="32">
        <v>120694.73275337835</v>
      </c>
      <c r="F282" s="31">
        <f t="shared" si="4"/>
        <v>23289.310567516994</v>
      </c>
      <c r="G282" s="33">
        <v>65</v>
      </c>
      <c r="H282" s="33">
        <v>0</v>
      </c>
      <c r="I282" s="15" t="s">
        <v>276</v>
      </c>
      <c r="J282" s="13"/>
      <c r="K282" s="13"/>
      <c r="L282" s="15">
        <v>400</v>
      </c>
      <c r="M282" s="12"/>
      <c r="N282" s="12"/>
      <c r="O282" s="24" t="s">
        <v>19</v>
      </c>
    </row>
    <row r="283" spans="1:15" ht="30" customHeight="1">
      <c r="A283" s="16" t="s">
        <v>16</v>
      </c>
      <c r="B283" s="34" t="s">
        <v>611</v>
      </c>
      <c r="C283" s="34" t="s">
        <v>591</v>
      </c>
      <c r="D283" s="31">
        <v>86526.221990895341</v>
      </c>
      <c r="E283" s="32">
        <v>70425.422753378356</v>
      </c>
      <c r="F283" s="31">
        <f t="shared" si="4"/>
        <v>16100.799237516985</v>
      </c>
      <c r="G283" s="33">
        <v>43</v>
      </c>
      <c r="H283" s="33">
        <v>2</v>
      </c>
      <c r="I283" s="15" t="s">
        <v>277</v>
      </c>
      <c r="J283" s="13"/>
      <c r="K283" s="13"/>
      <c r="L283" s="15">
        <v>25</v>
      </c>
      <c r="M283" s="12"/>
      <c r="N283" s="12"/>
      <c r="O283" s="24" t="s">
        <v>19</v>
      </c>
    </row>
    <row r="284" spans="1:15" ht="30" customHeight="1">
      <c r="A284" s="16" t="s">
        <v>16</v>
      </c>
      <c r="B284" s="34" t="s">
        <v>612</v>
      </c>
      <c r="C284" s="34" t="s">
        <v>592</v>
      </c>
      <c r="D284" s="31">
        <v>52152.485810895341</v>
      </c>
      <c r="E284" s="32">
        <v>40352.162753378347</v>
      </c>
      <c r="F284" s="31">
        <f t="shared" si="4"/>
        <v>11800.323057516995</v>
      </c>
      <c r="G284" s="33">
        <v>35</v>
      </c>
      <c r="H284" s="33">
        <v>0</v>
      </c>
      <c r="I284" s="15" t="s">
        <v>296</v>
      </c>
      <c r="J284" s="13"/>
      <c r="K284" s="13"/>
      <c r="L284" s="15">
        <v>25</v>
      </c>
      <c r="M284" s="12"/>
      <c r="N284" s="12"/>
      <c r="O284" s="24" t="s">
        <v>19</v>
      </c>
    </row>
    <row r="285" spans="1:15" ht="30" customHeight="1">
      <c r="A285" s="16" t="s">
        <v>16</v>
      </c>
      <c r="B285" s="34" t="s">
        <v>609</v>
      </c>
      <c r="C285" s="34" t="s">
        <v>593</v>
      </c>
      <c r="D285" s="31">
        <v>58341.739370895339</v>
      </c>
      <c r="E285" s="32">
        <v>45767.082753378345</v>
      </c>
      <c r="F285" s="31">
        <f t="shared" si="4"/>
        <v>12574.656617516994</v>
      </c>
      <c r="G285" s="33">
        <v>18</v>
      </c>
      <c r="H285" s="33">
        <v>1</v>
      </c>
      <c r="I285" s="15" t="s">
        <v>276</v>
      </c>
      <c r="J285" s="13">
        <v>40.882366666700001</v>
      </c>
      <c r="K285" s="13">
        <v>72.011693333300002</v>
      </c>
      <c r="L285" s="15">
        <v>63</v>
      </c>
      <c r="M285" s="12"/>
      <c r="N285" s="12"/>
      <c r="O285" s="24" t="s">
        <v>19</v>
      </c>
    </row>
    <row r="286" spans="1:15" ht="30" customHeight="1">
      <c r="A286" s="16" t="s">
        <v>103</v>
      </c>
      <c r="B286" s="34" t="s">
        <v>613</v>
      </c>
      <c r="C286" s="34" t="s">
        <v>594</v>
      </c>
      <c r="D286" s="31">
        <v>190277.66930089536</v>
      </c>
      <c r="E286" s="32">
        <v>161196.59275337835</v>
      </c>
      <c r="F286" s="31">
        <f t="shared" si="4"/>
        <v>29081.076547517005</v>
      </c>
      <c r="G286" s="33">
        <v>160</v>
      </c>
      <c r="H286" s="33">
        <v>2</v>
      </c>
      <c r="I286" s="15" t="s">
        <v>305</v>
      </c>
      <c r="J286" s="13"/>
      <c r="K286" s="13"/>
      <c r="L286" s="15">
        <v>100</v>
      </c>
      <c r="M286" s="12"/>
      <c r="N286" s="12"/>
      <c r="O286" s="24" t="s">
        <v>19</v>
      </c>
    </row>
    <row r="287" spans="1:15" ht="30" customHeight="1">
      <c r="A287" s="16" t="s">
        <v>16</v>
      </c>
      <c r="B287" s="34" t="s">
        <v>609</v>
      </c>
      <c r="C287" s="34" t="s">
        <v>82</v>
      </c>
      <c r="D287" s="31">
        <v>51267.895250895344</v>
      </c>
      <c r="E287" s="32">
        <v>39578.242753378348</v>
      </c>
      <c r="F287" s="31">
        <f t="shared" si="4"/>
        <v>11689.652497516996</v>
      </c>
      <c r="G287" s="33">
        <v>24</v>
      </c>
      <c r="H287" s="33">
        <v>0</v>
      </c>
      <c r="I287" s="15" t="s">
        <v>306</v>
      </c>
      <c r="J287" s="13"/>
      <c r="K287" s="13"/>
      <c r="L287" s="15">
        <v>100</v>
      </c>
      <c r="M287" s="12"/>
      <c r="N287" s="12"/>
      <c r="O287" s="24" t="s">
        <v>19</v>
      </c>
    </row>
    <row r="288" spans="1:15" ht="30" customHeight="1">
      <c r="A288" s="16" t="s">
        <v>16</v>
      </c>
      <c r="B288" s="34" t="s">
        <v>611</v>
      </c>
      <c r="C288" s="34" t="s">
        <v>595</v>
      </c>
      <c r="D288" s="31">
        <v>88141.703900895343</v>
      </c>
      <c r="E288" s="32">
        <v>71838.792753378351</v>
      </c>
      <c r="F288" s="31">
        <f t="shared" si="4"/>
        <v>16302.911147516992</v>
      </c>
      <c r="G288" s="33">
        <v>36</v>
      </c>
      <c r="H288" s="33">
        <v>0</v>
      </c>
      <c r="I288" s="15" t="s">
        <v>302</v>
      </c>
      <c r="J288" s="13"/>
      <c r="K288" s="13"/>
      <c r="L288" s="15">
        <v>100</v>
      </c>
      <c r="M288" s="12"/>
      <c r="N288" s="12"/>
      <c r="O288" s="24" t="s">
        <v>19</v>
      </c>
    </row>
    <row r="289" spans="1:15" ht="30" customHeight="1">
      <c r="A289" s="16" t="s">
        <v>16</v>
      </c>
      <c r="B289" s="34" t="s">
        <v>611</v>
      </c>
      <c r="C289" s="34" t="s">
        <v>596</v>
      </c>
      <c r="D289" s="31">
        <v>76179.248780895345</v>
      </c>
      <c r="E289" s="32">
        <v>61372.952753378355</v>
      </c>
      <c r="F289" s="31">
        <f t="shared" si="4"/>
        <v>14806.29602751699</v>
      </c>
      <c r="G289" s="33">
        <v>43</v>
      </c>
      <c r="H289" s="33">
        <v>1</v>
      </c>
      <c r="I289" s="15" t="s">
        <v>286</v>
      </c>
      <c r="J289" s="13"/>
      <c r="K289" s="13"/>
      <c r="L289" s="15">
        <v>63</v>
      </c>
      <c r="M289" s="12"/>
      <c r="N289" s="12"/>
      <c r="O289" s="24" t="s">
        <v>19</v>
      </c>
    </row>
    <row r="290" spans="1:15" ht="30" customHeight="1">
      <c r="A290" s="16" t="s">
        <v>16</v>
      </c>
      <c r="B290" s="34" t="s">
        <v>611</v>
      </c>
      <c r="C290" s="34" t="s">
        <v>597</v>
      </c>
      <c r="D290" s="31">
        <v>93809.212250895333</v>
      </c>
      <c r="E290" s="32">
        <v>76797.242753378348</v>
      </c>
      <c r="F290" s="31">
        <f t="shared" si="4"/>
        <v>17011.969497516984</v>
      </c>
      <c r="G290" s="33">
        <v>56</v>
      </c>
      <c r="H290" s="33">
        <v>0</v>
      </c>
      <c r="I290" s="15" t="s">
        <v>281</v>
      </c>
      <c r="J290" s="13"/>
      <c r="K290" s="13"/>
      <c r="L290" s="15">
        <v>160</v>
      </c>
      <c r="M290" s="12"/>
      <c r="N290" s="12"/>
      <c r="O290" s="24" t="s">
        <v>19</v>
      </c>
    </row>
    <row r="291" spans="1:15" ht="30" customHeight="1">
      <c r="A291" s="16" t="s">
        <v>16</v>
      </c>
      <c r="B291" s="34" t="s">
        <v>610</v>
      </c>
      <c r="C291" s="34" t="s">
        <v>598</v>
      </c>
      <c r="D291" s="31">
        <v>157543.25801089534</v>
      </c>
      <c r="E291" s="32">
        <v>132557.56275337836</v>
      </c>
      <c r="F291" s="31">
        <f t="shared" si="4"/>
        <v>24985.695257516985</v>
      </c>
      <c r="G291" s="33">
        <v>91</v>
      </c>
      <c r="H291" s="33">
        <v>0</v>
      </c>
      <c r="I291" s="15" t="s">
        <v>281</v>
      </c>
      <c r="J291" s="13">
        <v>40.881914999999999</v>
      </c>
      <c r="K291" s="13">
        <v>71.997399999999999</v>
      </c>
      <c r="L291" s="15">
        <v>100</v>
      </c>
      <c r="M291" s="12"/>
      <c r="N291" s="12"/>
      <c r="O291" s="24" t="s">
        <v>19</v>
      </c>
    </row>
    <row r="292" spans="1:15" ht="30" customHeight="1">
      <c r="A292" s="16" t="s">
        <v>16</v>
      </c>
      <c r="B292" s="34" t="s">
        <v>613</v>
      </c>
      <c r="C292" s="34" t="s">
        <v>599</v>
      </c>
      <c r="D292" s="31">
        <v>58704.584720895335</v>
      </c>
      <c r="E292" s="32">
        <v>46084.532753378342</v>
      </c>
      <c r="F292" s="31">
        <f t="shared" si="4"/>
        <v>12620.051967516993</v>
      </c>
      <c r="G292" s="33">
        <v>26</v>
      </c>
      <c r="H292" s="33">
        <v>0</v>
      </c>
      <c r="I292" s="15" t="s">
        <v>276</v>
      </c>
      <c r="J292" s="13"/>
      <c r="K292" s="13"/>
      <c r="L292" s="15">
        <v>160</v>
      </c>
      <c r="M292" s="12"/>
      <c r="N292" s="12"/>
      <c r="O292" s="24" t="s">
        <v>19</v>
      </c>
    </row>
    <row r="293" spans="1:15" ht="30" customHeight="1">
      <c r="A293" s="16" t="s">
        <v>103</v>
      </c>
      <c r="B293" s="34" t="s">
        <v>612</v>
      </c>
      <c r="C293" s="34" t="s">
        <v>600</v>
      </c>
      <c r="D293" s="31">
        <v>97157.390720895331</v>
      </c>
      <c r="E293" s="32">
        <v>79726.532753378342</v>
      </c>
      <c r="F293" s="31">
        <f t="shared" si="4"/>
        <v>17430.857967516989</v>
      </c>
      <c r="G293" s="33">
        <v>29</v>
      </c>
      <c r="H293" s="33">
        <v>0</v>
      </c>
      <c r="I293" s="15" t="s">
        <v>296</v>
      </c>
      <c r="J293" s="13">
        <v>40.837551666700001</v>
      </c>
      <c r="K293" s="13">
        <v>72.172751666699995</v>
      </c>
      <c r="L293" s="15">
        <v>100</v>
      </c>
      <c r="M293" s="12"/>
      <c r="N293" s="12"/>
      <c r="O293" s="24" t="s">
        <v>19</v>
      </c>
    </row>
    <row r="294" spans="1:15" ht="30" customHeight="1">
      <c r="A294" s="16" t="s">
        <v>103</v>
      </c>
      <c r="B294" s="34" t="s">
        <v>609</v>
      </c>
      <c r="C294" s="34" t="s">
        <v>601</v>
      </c>
      <c r="D294" s="31">
        <v>45803.132240895342</v>
      </c>
      <c r="E294" s="32">
        <v>34797.172753378349</v>
      </c>
      <c r="F294" s="31">
        <f t="shared" si="4"/>
        <v>11005.959487516993</v>
      </c>
      <c r="G294" s="33">
        <v>27</v>
      </c>
      <c r="H294" s="33">
        <v>0</v>
      </c>
      <c r="I294" s="15" t="s">
        <v>307</v>
      </c>
      <c r="J294" s="13">
        <v>40.883151666700002</v>
      </c>
      <c r="K294" s="13">
        <v>72.085181666699995</v>
      </c>
      <c r="L294" s="15">
        <v>63</v>
      </c>
      <c r="M294" s="12"/>
      <c r="N294" s="12"/>
      <c r="O294" s="24" t="s">
        <v>19</v>
      </c>
    </row>
    <row r="295" spans="1:15" ht="30" customHeight="1">
      <c r="A295" s="16" t="s">
        <v>16</v>
      </c>
      <c r="B295" s="34" t="s">
        <v>611</v>
      </c>
      <c r="C295" s="34" t="s">
        <v>602</v>
      </c>
      <c r="D295" s="31">
        <v>41492.67350089534</v>
      </c>
      <c r="E295" s="32">
        <v>31025.992753378348</v>
      </c>
      <c r="F295" s="31">
        <f t="shared" si="4"/>
        <v>10466.680747516992</v>
      </c>
      <c r="G295" s="33">
        <v>16</v>
      </c>
      <c r="H295" s="33">
        <v>0</v>
      </c>
      <c r="I295" s="15" t="s">
        <v>291</v>
      </c>
      <c r="J295" s="13">
        <v>40.883535000000002</v>
      </c>
      <c r="K295" s="13">
        <v>71.979993333300001</v>
      </c>
      <c r="L295" s="15">
        <v>100</v>
      </c>
      <c r="M295" s="12"/>
      <c r="N295" s="12"/>
      <c r="O295" s="24" t="s">
        <v>19</v>
      </c>
    </row>
    <row r="296" spans="1:15" ht="30" customHeight="1">
      <c r="A296" s="16" t="s">
        <v>103</v>
      </c>
      <c r="B296" s="34" t="s">
        <v>606</v>
      </c>
      <c r="C296" s="34" t="s">
        <v>603</v>
      </c>
      <c r="D296" s="31">
        <v>153772.70675089536</v>
      </c>
      <c r="E296" s="32">
        <v>129258.74275337835</v>
      </c>
      <c r="F296" s="31">
        <f t="shared" si="4"/>
        <v>24513.963997517014</v>
      </c>
      <c r="G296" s="33">
        <v>138</v>
      </c>
      <c r="H296" s="33">
        <v>10</v>
      </c>
      <c r="I296" s="15" t="s">
        <v>277</v>
      </c>
      <c r="J296" s="13">
        <v>40.858853333299997</v>
      </c>
      <c r="K296" s="13">
        <v>72.0770083333</v>
      </c>
      <c r="L296" s="15">
        <v>100</v>
      </c>
      <c r="M296" s="12"/>
      <c r="N296" s="12"/>
      <c r="O296" s="24" t="s">
        <v>19</v>
      </c>
    </row>
    <row r="297" spans="1:15" ht="30" customHeight="1">
      <c r="A297" s="16" t="s">
        <v>192</v>
      </c>
      <c r="B297" s="34" t="s">
        <v>606</v>
      </c>
      <c r="C297" s="34" t="s">
        <v>604</v>
      </c>
      <c r="D297" s="31">
        <v>32843.592500895342</v>
      </c>
      <c r="E297" s="32">
        <v>23458.992753378348</v>
      </c>
      <c r="F297" s="31">
        <f t="shared" si="4"/>
        <v>9384.5997475169934</v>
      </c>
      <c r="G297" s="33">
        <v>4</v>
      </c>
      <c r="H297" s="33">
        <v>0</v>
      </c>
      <c r="I297" s="15" t="s">
        <v>308</v>
      </c>
      <c r="J297" s="13">
        <v>40.833135628299999</v>
      </c>
      <c r="K297" s="13">
        <v>72.203557438199994</v>
      </c>
      <c r="L297" s="15">
        <v>630</v>
      </c>
      <c r="M297" s="12"/>
      <c r="N297" s="12"/>
      <c r="O297" s="24" t="s">
        <v>19</v>
      </c>
    </row>
    <row r="298" spans="1:15" ht="30" customHeight="1">
      <c r="A298" s="16" t="s">
        <v>103</v>
      </c>
      <c r="B298" s="34" t="s">
        <v>605</v>
      </c>
      <c r="C298" s="34" t="s">
        <v>335</v>
      </c>
      <c r="D298" s="31">
        <v>31221.149720895344</v>
      </c>
      <c r="E298" s="32">
        <v>22039.532753378349</v>
      </c>
      <c r="F298" s="31">
        <f t="shared" si="4"/>
        <v>9181.6169675169949</v>
      </c>
      <c r="G298" s="33">
        <v>21</v>
      </c>
      <c r="H298" s="33">
        <v>0</v>
      </c>
      <c r="I298" s="15" t="s">
        <v>309</v>
      </c>
      <c r="J298" s="13">
        <v>40.8940533333</v>
      </c>
      <c r="K298" s="13">
        <v>71.926556666699994</v>
      </c>
      <c r="L298" s="15">
        <v>40</v>
      </c>
      <c r="M298" s="12"/>
      <c r="N298" s="12"/>
      <c r="O298" s="24" t="s">
        <v>19</v>
      </c>
    </row>
    <row r="299" spans="1:15" ht="30" customHeight="1">
      <c r="A299" s="2"/>
      <c r="B299" s="2"/>
      <c r="C299" s="2"/>
      <c r="D299" s="35"/>
      <c r="E299" s="35"/>
      <c r="F299" s="35"/>
      <c r="G299" s="2"/>
      <c r="H299" s="2"/>
      <c r="I299" s="2"/>
      <c r="J299" s="11"/>
      <c r="K299" s="11"/>
      <c r="L299" s="9"/>
      <c r="M299" s="2"/>
      <c r="N299" s="2"/>
      <c r="O299" s="2"/>
    </row>
    <row r="300" spans="1:15" ht="30" customHeight="1">
      <c r="A300" s="2"/>
      <c r="B300" s="2"/>
      <c r="C300" s="2"/>
      <c r="D300" s="2"/>
      <c r="E300" s="35"/>
      <c r="F300" s="2"/>
      <c r="G300" s="2"/>
      <c r="H300" s="2"/>
      <c r="I300" s="2"/>
      <c r="J300" s="11"/>
      <c r="K300" s="11"/>
      <c r="L300" s="9"/>
      <c r="M300" s="2"/>
      <c r="N300" s="2"/>
      <c r="O300" s="2"/>
    </row>
    <row r="301" spans="1:15" ht="30" customHeight="1">
      <c r="A301" s="2"/>
      <c r="B301" s="2"/>
      <c r="C301" s="2"/>
      <c r="D301" s="2"/>
      <c r="E301" s="2"/>
      <c r="F301" s="2"/>
      <c r="G301" s="2"/>
      <c r="H301" s="35"/>
      <c r="I301" s="2"/>
      <c r="J301" s="11"/>
      <c r="K301" s="11"/>
      <c r="L301" s="9"/>
      <c r="M301" s="2"/>
      <c r="N301" s="2"/>
      <c r="O301" s="2"/>
    </row>
    <row r="302" spans="1:15" ht="30" customHeight="1">
      <c r="A302" s="2"/>
      <c r="B302" s="2"/>
      <c r="C302" s="2"/>
      <c r="D302" s="2"/>
      <c r="E302" s="2"/>
      <c r="F302" s="2"/>
      <c r="G302" s="2"/>
      <c r="H302" s="2"/>
      <c r="I302" s="2"/>
      <c r="J302" s="11"/>
      <c r="K302" s="11"/>
      <c r="L302" s="9"/>
      <c r="M302" s="2"/>
      <c r="N302" s="2"/>
      <c r="O302" s="2"/>
    </row>
    <row r="303" spans="1:15" ht="30" customHeight="1">
      <c r="A303" s="2"/>
      <c r="B303" s="2"/>
      <c r="C303" s="2"/>
      <c r="D303" s="2"/>
      <c r="E303" s="2"/>
      <c r="F303" s="2"/>
      <c r="G303" s="2"/>
      <c r="H303" s="2"/>
      <c r="I303" s="2"/>
      <c r="J303" s="11"/>
      <c r="K303" s="11"/>
      <c r="L303" s="9"/>
      <c r="M303" s="2"/>
      <c r="N303" s="2"/>
      <c r="O303" s="2"/>
    </row>
    <row r="304" spans="1:15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11"/>
      <c r="K304" s="11"/>
      <c r="L304" s="9"/>
      <c r="M304" s="2"/>
      <c r="N304" s="2"/>
      <c r="O304" s="2"/>
    </row>
    <row r="305" spans="1:15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11"/>
      <c r="K305" s="11"/>
      <c r="L305" s="9"/>
      <c r="M305" s="2"/>
      <c r="N305" s="2"/>
      <c r="O305" s="2"/>
    </row>
    <row r="306" spans="1:15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11"/>
      <c r="K306" s="11"/>
      <c r="L306" s="9"/>
      <c r="M306" s="2"/>
      <c r="N306" s="2"/>
      <c r="O306" s="2"/>
    </row>
    <row r="307" spans="1:15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11"/>
      <c r="K307" s="11"/>
      <c r="L307" s="9"/>
      <c r="M307" s="2"/>
      <c r="N307" s="2"/>
      <c r="O307" s="2"/>
    </row>
    <row r="308" spans="1:15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11"/>
      <c r="K308" s="11"/>
      <c r="L308" s="9"/>
      <c r="M308" s="2"/>
      <c r="N308" s="2"/>
      <c r="O308" s="2"/>
    </row>
    <row r="309" spans="1:15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11"/>
      <c r="K309" s="11"/>
      <c r="L309" s="9"/>
      <c r="M309" s="2"/>
      <c r="N309" s="2"/>
      <c r="O309" s="2"/>
    </row>
    <row r="310" spans="1:15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11"/>
      <c r="K310" s="11"/>
      <c r="L310" s="9"/>
      <c r="M310" s="2"/>
      <c r="N310" s="2"/>
      <c r="O310" s="2"/>
    </row>
    <row r="311" spans="1:15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11"/>
      <c r="K311" s="11"/>
      <c r="L311" s="9"/>
      <c r="M311" s="2"/>
      <c r="N311" s="2"/>
      <c r="O311" s="2"/>
    </row>
    <row r="312" spans="1:15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11"/>
      <c r="K312" s="11"/>
      <c r="L312" s="9"/>
      <c r="M312" s="2"/>
      <c r="N312" s="2"/>
      <c r="O312" s="2"/>
    </row>
    <row r="313" spans="1:15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11"/>
      <c r="K313" s="11"/>
      <c r="L313" s="9"/>
      <c r="M313" s="2"/>
      <c r="N313" s="2"/>
      <c r="O313" s="2"/>
    </row>
    <row r="314" spans="1:15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11"/>
      <c r="K314" s="11"/>
      <c r="L314" s="9"/>
      <c r="M314" s="2"/>
      <c r="N314" s="2"/>
      <c r="O314" s="2"/>
    </row>
    <row r="315" spans="1:15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11"/>
      <c r="K315" s="11"/>
      <c r="L315" s="9"/>
      <c r="M315" s="2"/>
      <c r="N315" s="2"/>
      <c r="O315" s="2"/>
    </row>
    <row r="316" spans="1:15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11"/>
      <c r="K316" s="11"/>
      <c r="L316" s="9"/>
      <c r="M316" s="2"/>
      <c r="N316" s="2"/>
      <c r="O316" s="2"/>
    </row>
    <row r="317" spans="1:15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11"/>
      <c r="K317" s="11"/>
      <c r="L317" s="9"/>
      <c r="M317" s="2"/>
      <c r="N317" s="2"/>
      <c r="O317" s="2"/>
    </row>
    <row r="318" spans="1:15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11"/>
      <c r="K318" s="11"/>
      <c r="L318" s="9"/>
      <c r="M318" s="2"/>
      <c r="N318" s="2"/>
      <c r="O318" s="2"/>
    </row>
    <row r="319" spans="1:15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11"/>
      <c r="K319" s="11"/>
      <c r="L319" s="9"/>
      <c r="M319" s="2"/>
      <c r="N319" s="2"/>
      <c r="O319" s="2"/>
    </row>
    <row r="320" spans="1:15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11"/>
      <c r="K320" s="11"/>
      <c r="L320" s="9"/>
      <c r="M320" s="2"/>
      <c r="N320" s="2"/>
      <c r="O320" s="2"/>
    </row>
    <row r="321" spans="1:15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11"/>
      <c r="K321" s="11"/>
      <c r="L321" s="9"/>
      <c r="M321" s="2"/>
      <c r="N321" s="2"/>
      <c r="O321" s="2"/>
    </row>
    <row r="322" spans="1:15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11"/>
      <c r="K322" s="11"/>
      <c r="L322" s="9"/>
      <c r="M322" s="2"/>
      <c r="N322" s="2"/>
      <c r="O322" s="2"/>
    </row>
    <row r="323" spans="1:15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11"/>
      <c r="K323" s="11"/>
      <c r="L323" s="9"/>
      <c r="M323" s="2"/>
      <c r="N323" s="2"/>
      <c r="O323" s="2"/>
    </row>
    <row r="324" spans="1:15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11"/>
      <c r="K324" s="11"/>
      <c r="L324" s="9"/>
      <c r="M324" s="2"/>
      <c r="N324" s="2"/>
      <c r="O324" s="2"/>
    </row>
    <row r="325" spans="1:15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11"/>
      <c r="K325" s="11"/>
      <c r="L325" s="9"/>
      <c r="M325" s="2"/>
      <c r="N325" s="2"/>
      <c r="O325" s="2"/>
    </row>
    <row r="326" spans="1:15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11"/>
      <c r="K326" s="11"/>
      <c r="L326" s="9"/>
      <c r="M326" s="2"/>
      <c r="N326" s="2"/>
      <c r="O326" s="2"/>
    </row>
    <row r="327" spans="1:15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11"/>
      <c r="K327" s="11"/>
      <c r="L327" s="9"/>
      <c r="M327" s="2"/>
      <c r="N327" s="2"/>
      <c r="O327" s="2"/>
    </row>
    <row r="328" spans="1:15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11"/>
      <c r="K328" s="11"/>
      <c r="L328" s="9"/>
      <c r="M328" s="2"/>
      <c r="N328" s="2"/>
      <c r="O328" s="2"/>
    </row>
    <row r="329" spans="1:15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11"/>
      <c r="K329" s="11"/>
      <c r="L329" s="9"/>
      <c r="M329" s="2"/>
      <c r="N329" s="2"/>
      <c r="O329" s="2"/>
    </row>
    <row r="330" spans="1:15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11"/>
      <c r="K330" s="11"/>
      <c r="L330" s="9"/>
      <c r="M330" s="2"/>
      <c r="N330" s="2"/>
      <c r="O330" s="2"/>
    </row>
    <row r="331" spans="1:15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11"/>
      <c r="K331" s="11"/>
      <c r="L331" s="9"/>
      <c r="M331" s="2"/>
      <c r="N331" s="2"/>
      <c r="O331" s="2"/>
    </row>
    <row r="332" spans="1:15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11"/>
      <c r="K332" s="11"/>
      <c r="L332" s="9"/>
      <c r="M332" s="2"/>
      <c r="N332" s="2"/>
      <c r="O332" s="2"/>
    </row>
    <row r="333" spans="1:15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11"/>
      <c r="K333" s="11"/>
      <c r="L333" s="9"/>
      <c r="M333" s="2"/>
      <c r="N333" s="2"/>
      <c r="O333" s="2"/>
    </row>
    <row r="334" spans="1:15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11"/>
      <c r="K334" s="11"/>
      <c r="L334" s="9"/>
      <c r="M334" s="2"/>
      <c r="N334" s="2"/>
      <c r="O334" s="2"/>
    </row>
    <row r="335" spans="1:15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11"/>
      <c r="K335" s="11"/>
      <c r="L335" s="9"/>
      <c r="M335" s="2"/>
      <c r="N335" s="2"/>
      <c r="O335" s="2"/>
    </row>
    <row r="336" spans="1:15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11"/>
      <c r="K336" s="11"/>
      <c r="L336" s="9"/>
      <c r="M336" s="2"/>
      <c r="N336" s="2"/>
      <c r="O336" s="2"/>
    </row>
    <row r="337" spans="1:15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11"/>
      <c r="K337" s="11"/>
      <c r="L337" s="9"/>
      <c r="M337" s="2"/>
      <c r="N337" s="2"/>
      <c r="O337" s="2"/>
    </row>
    <row r="338" spans="1:15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11"/>
      <c r="K338" s="11"/>
      <c r="L338" s="9"/>
      <c r="M338" s="2"/>
      <c r="N338" s="2"/>
      <c r="O338" s="2"/>
    </row>
    <row r="339" spans="1:15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11"/>
      <c r="K339" s="11"/>
      <c r="L339" s="9"/>
      <c r="M339" s="2"/>
      <c r="N339" s="2"/>
      <c r="O339" s="2"/>
    </row>
    <row r="340" spans="1:15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11"/>
      <c r="K340" s="11"/>
      <c r="L340" s="9"/>
      <c r="M340" s="2"/>
      <c r="N340" s="2"/>
      <c r="O340" s="2"/>
    </row>
    <row r="341" spans="1:15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11"/>
      <c r="K341" s="11"/>
      <c r="L341" s="9"/>
      <c r="M341" s="2"/>
      <c r="N341" s="2"/>
      <c r="O341" s="2"/>
    </row>
    <row r="342" spans="1:15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11"/>
      <c r="K342" s="11"/>
      <c r="L342" s="9"/>
      <c r="M342" s="2"/>
      <c r="N342" s="2"/>
      <c r="O342" s="2"/>
    </row>
    <row r="343" spans="1:15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11"/>
      <c r="K343" s="11"/>
      <c r="L343" s="9"/>
      <c r="M343" s="2"/>
      <c r="N343" s="2"/>
      <c r="O343" s="2"/>
    </row>
    <row r="344" spans="1:15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11"/>
      <c r="K344" s="11"/>
      <c r="L344" s="9"/>
      <c r="M344" s="2"/>
      <c r="N344" s="2"/>
      <c r="O344" s="2"/>
    </row>
    <row r="345" spans="1:15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11"/>
      <c r="K345" s="11"/>
      <c r="L345" s="9"/>
      <c r="M345" s="2"/>
      <c r="N345" s="2"/>
      <c r="O345" s="2"/>
    </row>
    <row r="346" spans="1:15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11"/>
      <c r="K346" s="11"/>
      <c r="L346" s="9"/>
      <c r="M346" s="2"/>
      <c r="N346" s="2"/>
      <c r="O346" s="2"/>
    </row>
    <row r="347" spans="1:15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11"/>
      <c r="K347" s="11"/>
      <c r="L347" s="9"/>
      <c r="M347" s="2"/>
      <c r="N347" s="2"/>
      <c r="O347" s="2"/>
    </row>
    <row r="348" spans="1:15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11"/>
      <c r="K348" s="11"/>
      <c r="L348" s="9"/>
      <c r="M348" s="2"/>
      <c r="N348" s="2"/>
      <c r="O348" s="2"/>
    </row>
    <row r="349" spans="1:15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11"/>
      <c r="K349" s="11"/>
      <c r="L349" s="9"/>
      <c r="M349" s="2"/>
      <c r="N349" s="2"/>
      <c r="O349" s="2"/>
    </row>
    <row r="350" spans="1:15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11"/>
      <c r="K350" s="11"/>
      <c r="L350" s="9"/>
      <c r="M350" s="2"/>
      <c r="N350" s="2"/>
      <c r="O350" s="2"/>
    </row>
    <row r="351" spans="1:15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11"/>
      <c r="K351" s="11"/>
      <c r="L351" s="9"/>
      <c r="M351" s="2"/>
      <c r="N351" s="2"/>
      <c r="O351" s="2"/>
    </row>
    <row r="352" spans="1:15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11"/>
      <c r="K352" s="11"/>
      <c r="L352" s="9"/>
      <c r="M352" s="2"/>
      <c r="N352" s="2"/>
      <c r="O352" s="2"/>
    </row>
    <row r="353" spans="1:15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11"/>
      <c r="K353" s="11"/>
      <c r="L353" s="9"/>
      <c r="M353" s="2"/>
      <c r="N353" s="2"/>
      <c r="O353" s="2"/>
    </row>
    <row r="354" spans="1:15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11"/>
      <c r="K354" s="11"/>
      <c r="L354" s="9"/>
      <c r="M354" s="2"/>
      <c r="N354" s="2"/>
      <c r="O354" s="2"/>
    </row>
    <row r="355" spans="1:15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11"/>
      <c r="K355" s="11"/>
      <c r="L355" s="9"/>
      <c r="M355" s="2"/>
      <c r="N355" s="2"/>
      <c r="O355" s="2"/>
    </row>
    <row r="356" spans="1:15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11"/>
      <c r="K356" s="11"/>
      <c r="L356" s="9"/>
      <c r="M356" s="2"/>
      <c r="N356" s="2"/>
      <c r="O356" s="2"/>
    </row>
    <row r="357" spans="1:15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11"/>
      <c r="K357" s="11"/>
      <c r="L357" s="9"/>
      <c r="M357" s="2"/>
      <c r="N357" s="2"/>
      <c r="O357" s="2"/>
    </row>
    <row r="358" spans="1:15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11"/>
      <c r="K358" s="11"/>
      <c r="L358" s="9"/>
      <c r="M358" s="2"/>
      <c r="N358" s="2"/>
      <c r="O358" s="2"/>
    </row>
    <row r="359" spans="1:15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11"/>
      <c r="K359" s="11"/>
      <c r="L359" s="9"/>
      <c r="M359" s="2"/>
      <c r="N359" s="2"/>
      <c r="O359" s="2"/>
    </row>
    <row r="360" spans="1:15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11"/>
      <c r="K360" s="11"/>
      <c r="L360" s="9"/>
      <c r="M360" s="2"/>
      <c r="N360" s="2"/>
      <c r="O360" s="2"/>
    </row>
    <row r="361" spans="1:15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11"/>
      <c r="K361" s="11"/>
      <c r="L361" s="9"/>
      <c r="M361" s="2"/>
      <c r="N361" s="2"/>
      <c r="O361" s="2"/>
    </row>
    <row r="362" spans="1:15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11"/>
      <c r="K362" s="11"/>
      <c r="L362" s="9"/>
      <c r="M362" s="2"/>
      <c r="N362" s="2"/>
      <c r="O362" s="2"/>
    </row>
    <row r="363" spans="1:15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11"/>
      <c r="K363" s="11"/>
      <c r="L363" s="9"/>
      <c r="M363" s="2"/>
      <c r="N363" s="2"/>
      <c r="O363" s="2"/>
    </row>
    <row r="364" spans="1:15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11"/>
      <c r="K364" s="11"/>
      <c r="L364" s="9"/>
      <c r="M364" s="2"/>
      <c r="N364" s="2"/>
      <c r="O364" s="2"/>
    </row>
    <row r="365" spans="1:15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11"/>
      <c r="K365" s="11"/>
      <c r="L365" s="9"/>
      <c r="M365" s="2"/>
      <c r="N365" s="2"/>
      <c r="O365" s="2"/>
    </row>
    <row r="366" spans="1:15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11"/>
      <c r="K366" s="11"/>
      <c r="L366" s="9"/>
      <c r="M366" s="2"/>
      <c r="N366" s="2"/>
      <c r="O366" s="2"/>
    </row>
    <row r="367" spans="1:15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11"/>
      <c r="K367" s="11"/>
      <c r="L367" s="9"/>
      <c r="M367" s="2"/>
      <c r="N367" s="2"/>
      <c r="O367" s="2"/>
    </row>
    <row r="368" spans="1:15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11"/>
      <c r="K368" s="11"/>
      <c r="L368" s="9"/>
      <c r="M368" s="2"/>
      <c r="N368" s="2"/>
      <c r="O368" s="2"/>
    </row>
    <row r="369" spans="1:15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11"/>
      <c r="K369" s="11"/>
      <c r="L369" s="9"/>
      <c r="M369" s="2"/>
      <c r="N369" s="2"/>
      <c r="O369" s="2"/>
    </row>
    <row r="370" spans="1:15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11"/>
      <c r="K370" s="11"/>
      <c r="L370" s="9"/>
      <c r="M370" s="2"/>
      <c r="N370" s="2"/>
      <c r="O370" s="2"/>
    </row>
    <row r="371" spans="1:15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11"/>
      <c r="K371" s="11"/>
      <c r="L371" s="9"/>
      <c r="M371" s="2"/>
      <c r="N371" s="2"/>
      <c r="O371" s="2"/>
    </row>
    <row r="372" spans="1:15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11"/>
      <c r="K372" s="11"/>
      <c r="L372" s="9"/>
      <c r="M372" s="2"/>
      <c r="N372" s="2"/>
      <c r="O372" s="2"/>
    </row>
    <row r="373" spans="1:15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11"/>
      <c r="K373" s="11"/>
      <c r="L373" s="9"/>
      <c r="M373" s="2"/>
      <c r="N373" s="2"/>
      <c r="O373" s="2"/>
    </row>
    <row r="374" spans="1:15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11"/>
      <c r="K374" s="11"/>
      <c r="L374" s="9"/>
      <c r="M374" s="2"/>
      <c r="N374" s="2"/>
      <c r="O374" s="2"/>
    </row>
    <row r="375" spans="1:15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11"/>
      <c r="K375" s="11"/>
      <c r="L375" s="9"/>
      <c r="M375" s="2"/>
      <c r="N375" s="2"/>
      <c r="O375" s="2"/>
    </row>
    <row r="376" spans="1:15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11"/>
      <c r="K376" s="11"/>
      <c r="L376" s="9"/>
      <c r="M376" s="2"/>
      <c r="N376" s="2"/>
      <c r="O376" s="2"/>
    </row>
    <row r="377" spans="1:15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11"/>
      <c r="K377" s="11"/>
      <c r="L377" s="9"/>
      <c r="M377" s="2"/>
      <c r="N377" s="2"/>
      <c r="O377" s="2"/>
    </row>
    <row r="378" spans="1:15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11"/>
      <c r="K378" s="11"/>
      <c r="L378" s="9"/>
      <c r="M378" s="2"/>
      <c r="N378" s="2"/>
      <c r="O378" s="2"/>
    </row>
    <row r="379" spans="1:15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11"/>
      <c r="K379" s="11"/>
      <c r="L379" s="9"/>
      <c r="M379" s="2"/>
      <c r="N379" s="2"/>
      <c r="O379" s="2"/>
    </row>
    <row r="380" spans="1:15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11"/>
      <c r="K380" s="11"/>
      <c r="L380" s="9"/>
      <c r="M380" s="2"/>
      <c r="N380" s="2"/>
      <c r="O380" s="2"/>
    </row>
    <row r="381" spans="1:15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11"/>
      <c r="K381" s="11"/>
      <c r="L381" s="9"/>
      <c r="M381" s="2"/>
      <c r="N381" s="2"/>
      <c r="O381" s="2"/>
    </row>
    <row r="382" spans="1:15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11"/>
      <c r="K382" s="11"/>
      <c r="L382" s="9"/>
      <c r="M382" s="2"/>
      <c r="N382" s="2"/>
      <c r="O382" s="2"/>
    </row>
    <row r="383" spans="1:15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11"/>
      <c r="K383" s="11"/>
      <c r="L383" s="9"/>
      <c r="M383" s="2"/>
      <c r="N383" s="2"/>
      <c r="O383" s="2"/>
    </row>
    <row r="384" spans="1:15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11"/>
      <c r="K384" s="11"/>
      <c r="L384" s="9"/>
      <c r="M384" s="2"/>
      <c r="N384" s="2"/>
      <c r="O384" s="2"/>
    </row>
    <row r="385" spans="1:15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11"/>
      <c r="K385" s="11"/>
      <c r="L385" s="9"/>
      <c r="M385" s="2"/>
      <c r="N385" s="2"/>
      <c r="O385" s="2"/>
    </row>
    <row r="386" spans="1:15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11"/>
      <c r="K386" s="11"/>
      <c r="L386" s="9"/>
      <c r="M386" s="2"/>
      <c r="N386" s="2"/>
      <c r="O386" s="2"/>
    </row>
    <row r="387" spans="1:15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11"/>
      <c r="K387" s="11"/>
      <c r="L387" s="9"/>
      <c r="M387" s="2"/>
      <c r="N387" s="2"/>
      <c r="O387" s="2"/>
    </row>
    <row r="388" spans="1:15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11"/>
      <c r="K388" s="11"/>
      <c r="L388" s="9"/>
      <c r="M388" s="2"/>
      <c r="N388" s="2"/>
      <c r="O388" s="2"/>
    </row>
    <row r="389" spans="1:15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11"/>
      <c r="K389" s="11"/>
      <c r="L389" s="9"/>
      <c r="M389" s="2"/>
      <c r="N389" s="2"/>
      <c r="O389" s="2"/>
    </row>
    <row r="390" spans="1:15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11"/>
      <c r="K390" s="11"/>
      <c r="L390" s="9"/>
      <c r="M390" s="2"/>
      <c r="N390" s="2"/>
      <c r="O390" s="2"/>
    </row>
    <row r="391" spans="1:15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11"/>
      <c r="K391" s="11"/>
      <c r="L391" s="9"/>
      <c r="M391" s="2"/>
      <c r="N391" s="2"/>
      <c r="O391" s="2"/>
    </row>
    <row r="392" spans="1:15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11"/>
      <c r="K392" s="11"/>
      <c r="L392" s="9"/>
      <c r="M392" s="2"/>
      <c r="N392" s="2"/>
      <c r="O392" s="2"/>
    </row>
    <row r="393" spans="1:15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11"/>
      <c r="K393" s="11"/>
      <c r="L393" s="9"/>
      <c r="M393" s="2"/>
      <c r="N393" s="2"/>
      <c r="O393" s="2"/>
    </row>
    <row r="394" spans="1:15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11"/>
      <c r="K394" s="11"/>
      <c r="L394" s="9"/>
      <c r="M394" s="2"/>
      <c r="N394" s="2"/>
      <c r="O394" s="2"/>
    </row>
    <row r="395" spans="1:15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11"/>
      <c r="K395" s="11"/>
      <c r="L395" s="9"/>
      <c r="M395" s="2"/>
      <c r="N395" s="2"/>
      <c r="O395" s="2"/>
    </row>
    <row r="396" spans="1:15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11"/>
      <c r="K396" s="11"/>
      <c r="L396" s="9"/>
      <c r="M396" s="2"/>
      <c r="N396" s="2"/>
      <c r="O396" s="2"/>
    </row>
    <row r="397" spans="1:15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11"/>
      <c r="K397" s="11"/>
      <c r="L397" s="9"/>
      <c r="M397" s="2"/>
      <c r="N397" s="2"/>
      <c r="O397" s="2"/>
    </row>
    <row r="398" spans="1:15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11"/>
      <c r="K398" s="11"/>
      <c r="L398" s="9"/>
      <c r="M398" s="2"/>
      <c r="N398" s="2"/>
      <c r="O398" s="2"/>
    </row>
    <row r="399" spans="1:15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11"/>
      <c r="K399" s="11"/>
      <c r="L399" s="9"/>
      <c r="M399" s="2"/>
      <c r="N399" s="2"/>
      <c r="O399" s="2"/>
    </row>
    <row r="400" spans="1:15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11"/>
      <c r="K400" s="11"/>
      <c r="L400" s="9"/>
      <c r="M400" s="2"/>
      <c r="N400" s="2"/>
      <c r="O400" s="2"/>
    </row>
    <row r="401" spans="1:15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11"/>
      <c r="K401" s="11"/>
      <c r="L401" s="9"/>
      <c r="M401" s="2"/>
      <c r="N401" s="2"/>
      <c r="O401" s="2"/>
    </row>
    <row r="402" spans="1:15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11"/>
      <c r="K402" s="11"/>
      <c r="L402" s="9"/>
      <c r="M402" s="2"/>
      <c r="N402" s="2"/>
      <c r="O402" s="2"/>
    </row>
    <row r="403" spans="1:15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11"/>
      <c r="K403" s="11"/>
      <c r="L403" s="9"/>
      <c r="M403" s="2"/>
      <c r="N403" s="2"/>
      <c r="O403" s="2"/>
    </row>
    <row r="404" spans="1:15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11"/>
      <c r="K404" s="11"/>
      <c r="L404" s="9"/>
      <c r="M404" s="2"/>
      <c r="N404" s="2"/>
      <c r="O404" s="2"/>
    </row>
    <row r="405" spans="1:15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11"/>
      <c r="K405" s="11"/>
      <c r="L405" s="9"/>
      <c r="M405" s="2"/>
      <c r="N405" s="2"/>
      <c r="O405" s="2"/>
    </row>
    <row r="406" spans="1:15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11"/>
      <c r="K406" s="11"/>
      <c r="L406" s="9"/>
      <c r="M406" s="2"/>
      <c r="N406" s="2"/>
      <c r="O406" s="2"/>
    </row>
    <row r="407" spans="1:15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11"/>
      <c r="K407" s="11"/>
      <c r="L407" s="9"/>
      <c r="M407" s="2"/>
      <c r="N407" s="2"/>
      <c r="O407" s="2"/>
    </row>
    <row r="408" spans="1:15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11"/>
      <c r="K408" s="11"/>
      <c r="L408" s="9"/>
      <c r="M408" s="2"/>
      <c r="N408" s="2"/>
      <c r="O408" s="2"/>
    </row>
    <row r="409" spans="1:15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11"/>
      <c r="K409" s="11"/>
      <c r="L409" s="9"/>
      <c r="M409" s="2"/>
      <c r="N409" s="2"/>
      <c r="O409" s="2"/>
    </row>
    <row r="410" spans="1:15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11"/>
      <c r="K410" s="11"/>
      <c r="L410" s="9"/>
      <c r="M410" s="2"/>
      <c r="N410" s="2"/>
      <c r="O410" s="2"/>
    </row>
    <row r="411" spans="1:15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11"/>
      <c r="K411" s="11"/>
      <c r="L411" s="9"/>
      <c r="M411" s="2"/>
      <c r="N411" s="2"/>
      <c r="O411" s="2"/>
    </row>
    <row r="412" spans="1:15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11"/>
      <c r="K412" s="11"/>
      <c r="L412" s="9"/>
      <c r="M412" s="2"/>
      <c r="N412" s="2"/>
      <c r="O412" s="2"/>
    </row>
    <row r="413" spans="1:15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11"/>
      <c r="K413" s="11"/>
      <c r="L413" s="9"/>
      <c r="M413" s="2"/>
      <c r="N413" s="2"/>
      <c r="O413" s="2"/>
    </row>
    <row r="414" spans="1:15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11"/>
      <c r="K414" s="11"/>
      <c r="L414" s="9"/>
      <c r="M414" s="2"/>
      <c r="N414" s="2"/>
      <c r="O414" s="2"/>
    </row>
    <row r="415" spans="1:15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11"/>
      <c r="K415" s="11"/>
      <c r="L415" s="9"/>
      <c r="M415" s="2"/>
      <c r="N415" s="2"/>
      <c r="O415" s="2"/>
    </row>
    <row r="416" spans="1:15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11"/>
      <c r="K416" s="11"/>
      <c r="L416" s="9"/>
      <c r="M416" s="2"/>
      <c r="N416" s="2"/>
      <c r="O416" s="2"/>
    </row>
    <row r="417" spans="1:15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11"/>
      <c r="K417" s="11"/>
      <c r="L417" s="9"/>
      <c r="M417" s="2"/>
      <c r="N417" s="2"/>
      <c r="O417" s="2"/>
    </row>
    <row r="418" spans="1:15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11"/>
      <c r="K418" s="11"/>
      <c r="L418" s="9"/>
      <c r="M418" s="2"/>
      <c r="N418" s="2"/>
      <c r="O418" s="2"/>
    </row>
    <row r="419" spans="1:15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11"/>
      <c r="K419" s="11"/>
      <c r="L419" s="9"/>
      <c r="M419" s="2"/>
      <c r="N419" s="2"/>
      <c r="O419" s="2"/>
    </row>
    <row r="420" spans="1:15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11"/>
      <c r="K420" s="11"/>
      <c r="L420" s="9"/>
      <c r="M420" s="2"/>
      <c r="N420" s="2"/>
      <c r="O420" s="2"/>
    </row>
    <row r="421" spans="1:15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11"/>
      <c r="K421" s="11"/>
      <c r="L421" s="9"/>
      <c r="M421" s="2"/>
      <c r="N421" s="2"/>
      <c r="O421" s="2"/>
    </row>
    <row r="422" spans="1:15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11"/>
      <c r="K422" s="11"/>
      <c r="L422" s="9"/>
      <c r="M422" s="2"/>
      <c r="N422" s="2"/>
      <c r="O422" s="2"/>
    </row>
    <row r="423" spans="1:15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11"/>
      <c r="K423" s="11"/>
      <c r="L423" s="9"/>
      <c r="M423" s="2"/>
      <c r="N423" s="2"/>
      <c r="O423" s="2"/>
    </row>
    <row r="424" spans="1:15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11"/>
      <c r="K424" s="11"/>
      <c r="L424" s="9"/>
      <c r="M424" s="2"/>
      <c r="N424" s="2"/>
      <c r="O424" s="2"/>
    </row>
    <row r="425" spans="1:15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11"/>
      <c r="K425" s="11"/>
      <c r="L425" s="9"/>
      <c r="M425" s="2"/>
      <c r="N425" s="2"/>
      <c r="O425" s="2"/>
    </row>
    <row r="426" spans="1:15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11"/>
      <c r="K426" s="11"/>
      <c r="L426" s="9"/>
      <c r="M426" s="2"/>
      <c r="N426" s="2"/>
      <c r="O426" s="2"/>
    </row>
    <row r="427" spans="1:15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11"/>
      <c r="K427" s="11"/>
      <c r="L427" s="9"/>
      <c r="M427" s="2"/>
      <c r="N427" s="2"/>
      <c r="O427" s="2"/>
    </row>
    <row r="428" spans="1:15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11"/>
      <c r="K428" s="11"/>
      <c r="L428" s="9"/>
      <c r="M428" s="2"/>
      <c r="N428" s="2"/>
      <c r="O428" s="2"/>
    </row>
    <row r="429" spans="1:15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11"/>
      <c r="K429" s="11"/>
      <c r="L429" s="9"/>
      <c r="M429" s="2"/>
      <c r="N429" s="2"/>
      <c r="O429" s="2"/>
    </row>
    <row r="430" spans="1:15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11"/>
      <c r="K430" s="11"/>
      <c r="L430" s="9"/>
      <c r="M430" s="2"/>
      <c r="N430" s="2"/>
      <c r="O430" s="2"/>
    </row>
    <row r="431" spans="1:15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11"/>
      <c r="K431" s="11"/>
      <c r="L431" s="9"/>
      <c r="M431" s="2"/>
      <c r="N431" s="2"/>
      <c r="O431" s="2"/>
    </row>
    <row r="432" spans="1:15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11"/>
      <c r="K432" s="11"/>
      <c r="L432" s="9"/>
      <c r="M432" s="2"/>
      <c r="N432" s="2"/>
      <c r="O432" s="2"/>
    </row>
    <row r="433" spans="1:15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11"/>
      <c r="K433" s="11"/>
      <c r="L433" s="9"/>
      <c r="M433" s="2"/>
      <c r="N433" s="2"/>
      <c r="O433" s="2"/>
    </row>
    <row r="434" spans="1:15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11"/>
      <c r="K434" s="11"/>
      <c r="L434" s="9"/>
      <c r="M434" s="2"/>
      <c r="N434" s="2"/>
      <c r="O434" s="2"/>
    </row>
    <row r="435" spans="1:15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11"/>
      <c r="K435" s="11"/>
      <c r="L435" s="9"/>
      <c r="M435" s="2"/>
      <c r="N435" s="2"/>
      <c r="O435" s="2"/>
    </row>
    <row r="436" spans="1:15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11"/>
      <c r="K436" s="11"/>
      <c r="L436" s="9"/>
      <c r="M436" s="2"/>
      <c r="N436" s="2"/>
      <c r="O436" s="2"/>
    </row>
    <row r="437" spans="1:15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11"/>
      <c r="K437" s="11"/>
      <c r="L437" s="9"/>
      <c r="M437" s="2"/>
      <c r="N437" s="2"/>
      <c r="O437" s="2"/>
    </row>
    <row r="438" spans="1:15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11"/>
      <c r="K438" s="11"/>
      <c r="L438" s="9"/>
      <c r="M438" s="2"/>
      <c r="N438" s="2"/>
      <c r="O438" s="2"/>
    </row>
    <row r="439" spans="1:15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11"/>
      <c r="K439" s="11"/>
      <c r="L439" s="9"/>
      <c r="M439" s="2"/>
      <c r="N439" s="2"/>
      <c r="O439" s="2"/>
    </row>
    <row r="440" spans="1:15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11"/>
      <c r="K440" s="11"/>
      <c r="L440" s="9"/>
      <c r="M440" s="2"/>
      <c r="N440" s="2"/>
      <c r="O440" s="2"/>
    </row>
    <row r="441" spans="1:15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11"/>
      <c r="K441" s="11"/>
      <c r="L441" s="9"/>
      <c r="M441" s="2"/>
      <c r="N441" s="2"/>
      <c r="O441" s="2"/>
    </row>
    <row r="442" spans="1:15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11"/>
      <c r="K442" s="11"/>
      <c r="L442" s="9"/>
      <c r="M442" s="2"/>
      <c r="N442" s="2"/>
      <c r="O442" s="2"/>
    </row>
    <row r="443" spans="1:15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11"/>
      <c r="K443" s="11"/>
      <c r="L443" s="9"/>
      <c r="M443" s="2"/>
      <c r="N443" s="2"/>
      <c r="O443" s="2"/>
    </row>
    <row r="444" spans="1:15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11"/>
      <c r="K444" s="11"/>
      <c r="L444" s="9"/>
      <c r="M444" s="2"/>
      <c r="N444" s="2"/>
      <c r="O444" s="2"/>
    </row>
    <row r="445" spans="1:15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11"/>
      <c r="K445" s="11"/>
      <c r="L445" s="9"/>
      <c r="M445" s="2"/>
      <c r="N445" s="2"/>
      <c r="O445" s="2"/>
    </row>
    <row r="446" spans="1:15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11"/>
      <c r="K446" s="11"/>
      <c r="L446" s="9"/>
      <c r="M446" s="2"/>
      <c r="N446" s="2"/>
      <c r="O446" s="2"/>
    </row>
    <row r="447" spans="1:15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11"/>
      <c r="K447" s="11"/>
      <c r="L447" s="9"/>
      <c r="M447" s="2"/>
      <c r="N447" s="2"/>
      <c r="O447" s="2"/>
    </row>
    <row r="448" spans="1:15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11"/>
      <c r="K448" s="11"/>
      <c r="L448" s="9"/>
      <c r="M448" s="2"/>
      <c r="N448" s="2"/>
      <c r="O448" s="2"/>
    </row>
    <row r="449" spans="1:15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11"/>
      <c r="K449" s="11"/>
      <c r="L449" s="9"/>
      <c r="M449" s="2"/>
      <c r="N449" s="2"/>
      <c r="O449" s="2"/>
    </row>
    <row r="450" spans="1:15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11"/>
      <c r="K450" s="11"/>
      <c r="L450" s="9"/>
      <c r="M450" s="2"/>
      <c r="N450" s="2"/>
      <c r="O450" s="2"/>
    </row>
    <row r="451" spans="1:15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11"/>
      <c r="K451" s="11"/>
      <c r="L451" s="9"/>
      <c r="M451" s="2"/>
      <c r="N451" s="2"/>
      <c r="O451" s="2"/>
    </row>
    <row r="452" spans="1:15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11"/>
      <c r="K452" s="11"/>
      <c r="L452" s="9"/>
      <c r="M452" s="2"/>
      <c r="N452" s="2"/>
      <c r="O452" s="2"/>
    </row>
    <row r="453" spans="1:15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11"/>
      <c r="K453" s="11"/>
      <c r="L453" s="9"/>
      <c r="M453" s="2"/>
      <c r="N453" s="2"/>
      <c r="O453" s="2"/>
    </row>
    <row r="454" spans="1:15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11"/>
      <c r="K454" s="11"/>
      <c r="L454" s="9"/>
      <c r="M454" s="2"/>
      <c r="N454" s="2"/>
      <c r="O454" s="2"/>
    </row>
    <row r="455" spans="1:15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11"/>
      <c r="K455" s="11"/>
      <c r="L455" s="9"/>
      <c r="M455" s="2"/>
      <c r="N455" s="2"/>
      <c r="O455" s="2"/>
    </row>
    <row r="456" spans="1:15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11"/>
      <c r="K456" s="11"/>
      <c r="L456" s="9"/>
      <c r="M456" s="2"/>
      <c r="N456" s="2"/>
      <c r="O456" s="2"/>
    </row>
    <row r="457" spans="1:15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11"/>
      <c r="K457" s="11"/>
      <c r="L457" s="9"/>
      <c r="M457" s="2"/>
      <c r="N457" s="2"/>
      <c r="O457" s="2"/>
    </row>
    <row r="458" spans="1:15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11"/>
      <c r="K458" s="11"/>
      <c r="L458" s="9"/>
      <c r="M458" s="2"/>
      <c r="N458" s="2"/>
      <c r="O458" s="2"/>
    </row>
    <row r="459" spans="1:15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11"/>
      <c r="K459" s="11"/>
      <c r="L459" s="9"/>
      <c r="M459" s="2"/>
      <c r="N459" s="2"/>
      <c r="O459" s="2"/>
    </row>
    <row r="460" spans="1:15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11"/>
      <c r="K460" s="11"/>
      <c r="L460" s="9"/>
      <c r="M460" s="2"/>
      <c r="N460" s="2"/>
      <c r="O460" s="2"/>
    </row>
    <row r="461" spans="1:15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11"/>
      <c r="K461" s="11"/>
      <c r="L461" s="9"/>
      <c r="M461" s="2"/>
      <c r="N461" s="2"/>
      <c r="O461" s="2"/>
    </row>
    <row r="462" spans="1:15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11"/>
      <c r="K462" s="11"/>
      <c r="L462" s="9"/>
      <c r="M462" s="2"/>
      <c r="N462" s="2"/>
      <c r="O462" s="2"/>
    </row>
    <row r="463" spans="1:15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11"/>
      <c r="K463" s="11"/>
      <c r="L463" s="9"/>
      <c r="M463" s="2"/>
      <c r="N463" s="2"/>
      <c r="O463" s="2"/>
    </row>
    <row r="464" spans="1:15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11"/>
      <c r="K464" s="11"/>
      <c r="L464" s="9"/>
      <c r="M464" s="2"/>
      <c r="N464" s="2"/>
      <c r="O464" s="2"/>
    </row>
    <row r="465" spans="1:15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11"/>
      <c r="K465" s="11"/>
      <c r="L465" s="9"/>
      <c r="M465" s="2"/>
      <c r="N465" s="2"/>
      <c r="O465" s="2"/>
    </row>
    <row r="466" spans="1:15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11"/>
      <c r="K466" s="11"/>
      <c r="L466" s="9"/>
      <c r="M466" s="2"/>
      <c r="N466" s="2"/>
      <c r="O466" s="2"/>
    </row>
    <row r="467" spans="1:15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11"/>
      <c r="K467" s="11"/>
      <c r="L467" s="9"/>
      <c r="M467" s="2"/>
      <c r="N467" s="2"/>
      <c r="O467" s="2"/>
    </row>
    <row r="468" spans="1:15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11"/>
      <c r="K468" s="11"/>
      <c r="L468" s="9"/>
      <c r="M468" s="2"/>
      <c r="N468" s="2"/>
      <c r="O468" s="2"/>
    </row>
    <row r="469" spans="1:15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11"/>
      <c r="K469" s="11"/>
      <c r="L469" s="9"/>
      <c r="M469" s="2"/>
      <c r="N469" s="2"/>
      <c r="O469" s="2"/>
    </row>
    <row r="470" spans="1:15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11"/>
      <c r="K470" s="11"/>
      <c r="L470" s="9"/>
      <c r="M470" s="2"/>
      <c r="N470" s="2"/>
      <c r="O470" s="2"/>
    </row>
    <row r="471" spans="1:15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11"/>
      <c r="K471" s="11"/>
      <c r="L471" s="9"/>
      <c r="M471" s="2"/>
      <c r="N471" s="2"/>
      <c r="O471" s="2"/>
    </row>
    <row r="472" spans="1:15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11"/>
      <c r="K472" s="11"/>
      <c r="L472" s="9"/>
      <c r="M472" s="2"/>
      <c r="N472" s="2"/>
      <c r="O472" s="2"/>
    </row>
    <row r="473" spans="1:15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11"/>
      <c r="K473" s="11"/>
      <c r="L473" s="9"/>
      <c r="M473" s="2"/>
      <c r="N473" s="2"/>
      <c r="O473" s="2"/>
    </row>
    <row r="474" spans="1:15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11"/>
      <c r="K474" s="11"/>
      <c r="L474" s="9"/>
      <c r="M474" s="2"/>
      <c r="N474" s="2"/>
      <c r="O474" s="2"/>
    </row>
    <row r="475" spans="1:15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11"/>
      <c r="K475" s="11"/>
      <c r="L475" s="9"/>
      <c r="M475" s="2"/>
      <c r="N475" s="2"/>
      <c r="O475" s="2"/>
    </row>
    <row r="476" spans="1:15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11"/>
      <c r="K476" s="11"/>
      <c r="L476" s="9"/>
      <c r="M476" s="2"/>
      <c r="N476" s="2"/>
      <c r="O476" s="2"/>
    </row>
    <row r="477" spans="1:15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11"/>
      <c r="K477" s="11"/>
      <c r="L477" s="9"/>
      <c r="M477" s="2"/>
      <c r="N477" s="2"/>
      <c r="O477" s="2"/>
    </row>
    <row r="478" spans="1:15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11"/>
      <c r="K478" s="11"/>
      <c r="L478" s="9"/>
      <c r="M478" s="2"/>
      <c r="N478" s="2"/>
      <c r="O478" s="2"/>
    </row>
    <row r="479" spans="1:15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11"/>
      <c r="K479" s="11"/>
      <c r="L479" s="9"/>
      <c r="M479" s="2"/>
      <c r="N479" s="2"/>
      <c r="O479" s="2"/>
    </row>
    <row r="480" spans="1:15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11"/>
      <c r="K480" s="11"/>
      <c r="L480" s="9"/>
      <c r="M480" s="2"/>
      <c r="N480" s="2"/>
      <c r="O480" s="2"/>
    </row>
    <row r="481" spans="1:15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11"/>
      <c r="K481" s="11"/>
      <c r="L481" s="9"/>
      <c r="M481" s="2"/>
      <c r="N481" s="2"/>
      <c r="O481" s="2"/>
    </row>
    <row r="482" spans="1:15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11"/>
      <c r="K482" s="11"/>
      <c r="L482" s="9"/>
      <c r="M482" s="2"/>
      <c r="N482" s="2"/>
      <c r="O482" s="2"/>
    </row>
    <row r="483" spans="1:15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11"/>
      <c r="K483" s="11"/>
      <c r="L483" s="9"/>
      <c r="M483" s="2"/>
      <c r="N483" s="2"/>
      <c r="O483" s="2"/>
    </row>
    <row r="484" spans="1:15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11"/>
      <c r="K484" s="11"/>
      <c r="L484" s="9"/>
      <c r="M484" s="2"/>
      <c r="N484" s="2"/>
      <c r="O484" s="2"/>
    </row>
    <row r="485" spans="1:15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11"/>
      <c r="K485" s="11"/>
      <c r="L485" s="9"/>
      <c r="M485" s="2"/>
      <c r="N485" s="2"/>
      <c r="O485" s="2"/>
    </row>
    <row r="486" spans="1:15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11"/>
      <c r="K486" s="11"/>
      <c r="L486" s="9"/>
      <c r="M486" s="2"/>
      <c r="N486" s="2"/>
      <c r="O486" s="2"/>
    </row>
    <row r="487" spans="1:15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11"/>
      <c r="K487" s="11"/>
      <c r="L487" s="9"/>
      <c r="M487" s="2"/>
      <c r="N487" s="2"/>
      <c r="O487" s="2"/>
    </row>
    <row r="488" spans="1:15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11"/>
      <c r="K488" s="11"/>
      <c r="L488" s="9"/>
      <c r="M488" s="2"/>
      <c r="N488" s="2"/>
      <c r="O488" s="2"/>
    </row>
    <row r="489" spans="1:15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11"/>
      <c r="K489" s="11"/>
      <c r="L489" s="9"/>
      <c r="M489" s="2"/>
      <c r="N489" s="2"/>
      <c r="O489" s="2"/>
    </row>
    <row r="490" spans="1:15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11"/>
      <c r="K490" s="11"/>
      <c r="L490" s="9"/>
      <c r="M490" s="2"/>
      <c r="N490" s="2"/>
      <c r="O490" s="2"/>
    </row>
    <row r="491" spans="1:15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11"/>
      <c r="K491" s="11"/>
      <c r="L491" s="9"/>
      <c r="M491" s="2"/>
      <c r="N491" s="2"/>
      <c r="O491" s="2"/>
    </row>
    <row r="492" spans="1:15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11"/>
      <c r="K492" s="11"/>
      <c r="L492" s="9"/>
      <c r="M492" s="2"/>
      <c r="N492" s="2"/>
      <c r="O492" s="2"/>
    </row>
    <row r="493" spans="1:15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11"/>
      <c r="K493" s="11"/>
      <c r="L493" s="9"/>
      <c r="M493" s="2"/>
      <c r="N493" s="2"/>
      <c r="O493" s="2"/>
    </row>
    <row r="494" spans="1:15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11"/>
      <c r="K494" s="11"/>
      <c r="L494" s="9"/>
      <c r="M494" s="2"/>
      <c r="N494" s="2"/>
      <c r="O494" s="2"/>
    </row>
    <row r="495" spans="1:15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11"/>
      <c r="K495" s="11"/>
      <c r="L495" s="9"/>
      <c r="M495" s="2"/>
      <c r="N495" s="2"/>
      <c r="O495" s="2"/>
    </row>
    <row r="496" spans="1:15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11"/>
      <c r="K496" s="11"/>
      <c r="L496" s="9"/>
      <c r="M496" s="2"/>
      <c r="N496" s="2"/>
      <c r="O496" s="2"/>
    </row>
    <row r="497" spans="1:15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11"/>
      <c r="K497" s="11"/>
      <c r="L497" s="9"/>
      <c r="M497" s="2"/>
      <c r="N497" s="2"/>
      <c r="O497" s="2"/>
    </row>
    <row r="498" spans="1:15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11"/>
      <c r="K498" s="11"/>
      <c r="L498" s="9"/>
      <c r="M498" s="2"/>
      <c r="N498" s="2"/>
      <c r="O498" s="2"/>
    </row>
    <row r="499" spans="1:15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11"/>
      <c r="K499" s="11"/>
      <c r="L499" s="9"/>
      <c r="M499" s="2"/>
      <c r="N499" s="2"/>
      <c r="O499" s="2"/>
    </row>
    <row r="500" spans="1:15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11"/>
      <c r="K500" s="11"/>
      <c r="L500" s="9"/>
      <c r="M500" s="2"/>
      <c r="N500" s="2"/>
      <c r="O500" s="2"/>
    </row>
    <row r="501" spans="1:15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11"/>
      <c r="K501" s="11"/>
      <c r="L501" s="9"/>
      <c r="M501" s="2"/>
      <c r="N501" s="2"/>
      <c r="O501" s="2"/>
    </row>
    <row r="502" spans="1:15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11"/>
      <c r="K502" s="11"/>
      <c r="L502" s="9"/>
      <c r="M502" s="2"/>
      <c r="N502" s="2"/>
      <c r="O502" s="2"/>
    </row>
    <row r="503" spans="1:15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11"/>
      <c r="K503" s="11"/>
      <c r="L503" s="9"/>
      <c r="M503" s="2"/>
      <c r="N503" s="2"/>
      <c r="O503" s="2"/>
    </row>
    <row r="504" spans="1:15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11"/>
      <c r="K504" s="11"/>
      <c r="L504" s="9"/>
      <c r="M504" s="2"/>
      <c r="N504" s="2"/>
      <c r="O504" s="2"/>
    </row>
    <row r="505" spans="1:15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11"/>
      <c r="K505" s="11"/>
      <c r="L505" s="9"/>
      <c r="M505" s="2"/>
      <c r="N505" s="2"/>
      <c r="O505" s="2"/>
    </row>
    <row r="506" spans="1:15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11"/>
      <c r="K506" s="11"/>
      <c r="L506" s="9"/>
      <c r="M506" s="2"/>
      <c r="N506" s="2"/>
      <c r="O506" s="2"/>
    </row>
    <row r="507" spans="1:15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11"/>
      <c r="K507" s="11"/>
      <c r="L507" s="9"/>
      <c r="M507" s="2"/>
      <c r="N507" s="2"/>
      <c r="O507" s="2"/>
    </row>
    <row r="508" spans="1:15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11"/>
      <c r="K508" s="11"/>
      <c r="L508" s="9"/>
      <c r="M508" s="2"/>
      <c r="N508" s="2"/>
      <c r="O508" s="2"/>
    </row>
    <row r="509" spans="1:15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11"/>
      <c r="K509" s="11"/>
      <c r="L509" s="9"/>
      <c r="M509" s="2"/>
      <c r="N509" s="2"/>
      <c r="O509" s="2"/>
    </row>
    <row r="510" spans="1:15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11"/>
      <c r="K510" s="11"/>
      <c r="L510" s="9"/>
      <c r="M510" s="2"/>
      <c r="N510" s="2"/>
      <c r="O510" s="2"/>
    </row>
    <row r="511" spans="1:15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11"/>
      <c r="K511" s="11"/>
      <c r="L511" s="9"/>
      <c r="M511" s="2"/>
      <c r="N511" s="2"/>
      <c r="O511" s="2"/>
    </row>
    <row r="512" spans="1:15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11"/>
      <c r="K512" s="11"/>
      <c r="L512" s="9"/>
      <c r="M512" s="2"/>
      <c r="N512" s="2"/>
      <c r="O512" s="2"/>
    </row>
    <row r="513" spans="1:15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11"/>
      <c r="K513" s="11"/>
      <c r="L513" s="9"/>
      <c r="M513" s="2"/>
      <c r="N513" s="2"/>
      <c r="O513" s="2"/>
    </row>
    <row r="514" spans="1:15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11"/>
      <c r="K514" s="11"/>
      <c r="L514" s="9"/>
      <c r="M514" s="2"/>
      <c r="N514" s="2"/>
      <c r="O514" s="2"/>
    </row>
    <row r="515" spans="1:15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11"/>
      <c r="K515" s="11"/>
      <c r="L515" s="9"/>
      <c r="M515" s="2"/>
      <c r="N515" s="2"/>
      <c r="O515" s="2"/>
    </row>
    <row r="516" spans="1:15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11"/>
      <c r="K516" s="11"/>
      <c r="L516" s="9"/>
      <c r="M516" s="2"/>
      <c r="N516" s="2"/>
      <c r="O516" s="2"/>
    </row>
    <row r="517" spans="1:15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11"/>
      <c r="K517" s="11"/>
      <c r="L517" s="9"/>
      <c r="M517" s="2"/>
      <c r="N517" s="2"/>
      <c r="O517" s="2"/>
    </row>
    <row r="518" spans="1:15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11"/>
      <c r="K518" s="11"/>
      <c r="L518" s="9"/>
      <c r="M518" s="2"/>
      <c r="N518" s="2"/>
      <c r="O518" s="2"/>
    </row>
    <row r="519" spans="1:15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11"/>
      <c r="K519" s="11"/>
      <c r="L519" s="9"/>
      <c r="M519" s="2"/>
      <c r="N519" s="2"/>
      <c r="O519" s="2"/>
    </row>
    <row r="520" spans="1:15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11"/>
      <c r="K520" s="11"/>
      <c r="L520" s="9"/>
      <c r="M520" s="2"/>
      <c r="N520" s="2"/>
      <c r="O520" s="2"/>
    </row>
    <row r="521" spans="1:15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11"/>
      <c r="K521" s="11"/>
      <c r="L521" s="9"/>
      <c r="M521" s="2"/>
      <c r="N521" s="2"/>
      <c r="O521" s="2"/>
    </row>
    <row r="522" spans="1:15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11"/>
      <c r="K522" s="11"/>
      <c r="L522" s="9"/>
      <c r="M522" s="2"/>
      <c r="N522" s="2"/>
      <c r="O522" s="2"/>
    </row>
    <row r="523" spans="1:15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11"/>
      <c r="K523" s="11"/>
      <c r="L523" s="9"/>
      <c r="M523" s="2"/>
      <c r="N523" s="2"/>
      <c r="O523" s="2"/>
    </row>
    <row r="524" spans="1:15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11"/>
      <c r="K524" s="11"/>
      <c r="L524" s="9"/>
      <c r="M524" s="2"/>
      <c r="N524" s="2"/>
      <c r="O524" s="2"/>
    </row>
    <row r="525" spans="1:15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11"/>
      <c r="K525" s="11"/>
      <c r="L525" s="9"/>
      <c r="M525" s="2"/>
      <c r="N525" s="2"/>
      <c r="O525" s="2"/>
    </row>
    <row r="526" spans="1:15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11"/>
      <c r="K526" s="11"/>
      <c r="L526" s="9"/>
      <c r="M526" s="2"/>
      <c r="N526" s="2"/>
      <c r="O526" s="2"/>
    </row>
    <row r="527" spans="1:15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11"/>
      <c r="K527" s="11"/>
      <c r="L527" s="9"/>
      <c r="M527" s="2"/>
      <c r="N527" s="2"/>
      <c r="O527" s="2"/>
    </row>
    <row r="528" spans="1:15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11"/>
      <c r="K528" s="11"/>
      <c r="L528" s="9"/>
      <c r="M528" s="2"/>
      <c r="N528" s="2"/>
      <c r="O528" s="2"/>
    </row>
    <row r="529" spans="1:15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11"/>
      <c r="K529" s="11"/>
      <c r="L529" s="9"/>
      <c r="M529" s="2"/>
      <c r="N529" s="2"/>
      <c r="O529" s="2"/>
    </row>
    <row r="530" spans="1:15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11"/>
      <c r="K530" s="11"/>
      <c r="L530" s="9"/>
      <c r="M530" s="2"/>
      <c r="N530" s="2"/>
      <c r="O530" s="2"/>
    </row>
    <row r="531" spans="1:15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11"/>
      <c r="K531" s="11"/>
      <c r="L531" s="9"/>
      <c r="M531" s="2"/>
      <c r="N531" s="2"/>
      <c r="O531" s="2"/>
    </row>
    <row r="532" spans="1:15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11"/>
      <c r="K532" s="11"/>
      <c r="L532" s="9"/>
      <c r="M532" s="2"/>
      <c r="N532" s="2"/>
      <c r="O532" s="2"/>
    </row>
    <row r="533" spans="1:15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11"/>
      <c r="K533" s="11"/>
      <c r="L533" s="9"/>
      <c r="M533" s="2"/>
      <c r="N533" s="2"/>
      <c r="O533" s="2"/>
    </row>
    <row r="534" spans="1:15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11"/>
      <c r="K534" s="11"/>
      <c r="L534" s="9"/>
      <c r="M534" s="2"/>
      <c r="N534" s="2"/>
      <c r="O534" s="2"/>
    </row>
    <row r="535" spans="1:15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11"/>
      <c r="K535" s="11"/>
      <c r="L535" s="9"/>
      <c r="M535" s="2"/>
      <c r="N535" s="2"/>
      <c r="O535" s="2"/>
    </row>
    <row r="536" spans="1:15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11"/>
      <c r="K536" s="11"/>
      <c r="L536" s="9"/>
      <c r="M536" s="2"/>
      <c r="N536" s="2"/>
      <c r="O536" s="2"/>
    </row>
    <row r="537" spans="1:15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11"/>
      <c r="K537" s="11"/>
      <c r="L537" s="9"/>
      <c r="M537" s="2"/>
      <c r="N537" s="2"/>
      <c r="O537" s="2"/>
    </row>
    <row r="538" spans="1:15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11"/>
      <c r="K538" s="11"/>
      <c r="L538" s="9"/>
      <c r="M538" s="2"/>
      <c r="N538" s="2"/>
      <c r="O538" s="2"/>
    </row>
    <row r="539" spans="1:15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11"/>
      <c r="K539" s="11"/>
      <c r="L539" s="9"/>
      <c r="M539" s="2"/>
      <c r="N539" s="2"/>
      <c r="O539" s="2"/>
    </row>
    <row r="540" spans="1:15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11"/>
      <c r="K540" s="11"/>
      <c r="L540" s="9"/>
      <c r="M540" s="2"/>
      <c r="N540" s="2"/>
      <c r="O540" s="2"/>
    </row>
    <row r="541" spans="1:15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11"/>
      <c r="K541" s="11"/>
      <c r="L541" s="9"/>
      <c r="M541" s="2"/>
      <c r="N541" s="2"/>
      <c r="O541" s="2"/>
    </row>
    <row r="542" spans="1:15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11"/>
      <c r="K542" s="11"/>
      <c r="L542" s="9"/>
      <c r="M542" s="2"/>
      <c r="N542" s="2"/>
      <c r="O542" s="2"/>
    </row>
    <row r="543" spans="1:15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11"/>
      <c r="K543" s="11"/>
      <c r="L543" s="9"/>
      <c r="M543" s="2"/>
      <c r="N543" s="2"/>
      <c r="O543" s="2"/>
    </row>
    <row r="544" spans="1:15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11"/>
      <c r="K544" s="11"/>
      <c r="L544" s="9"/>
      <c r="M544" s="2"/>
      <c r="N544" s="2"/>
      <c r="O544" s="2"/>
    </row>
    <row r="545" spans="1:15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11"/>
      <c r="K545" s="11"/>
      <c r="L545" s="9"/>
      <c r="M545" s="2"/>
      <c r="N545" s="2"/>
      <c r="O545" s="2"/>
    </row>
    <row r="546" spans="1:15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11"/>
      <c r="K546" s="11"/>
      <c r="L546" s="9"/>
      <c r="M546" s="2"/>
      <c r="N546" s="2"/>
      <c r="O546" s="2"/>
    </row>
    <row r="547" spans="1:15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11"/>
      <c r="K547" s="11"/>
      <c r="L547" s="9"/>
      <c r="M547" s="2"/>
      <c r="N547" s="2"/>
      <c r="O547" s="2"/>
    </row>
    <row r="548" spans="1:15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11"/>
      <c r="K548" s="11"/>
      <c r="L548" s="9"/>
      <c r="M548" s="2"/>
      <c r="N548" s="2"/>
      <c r="O548" s="2"/>
    </row>
    <row r="549" spans="1:15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11"/>
      <c r="K549" s="11"/>
      <c r="L549" s="9"/>
      <c r="M549" s="2"/>
      <c r="N549" s="2"/>
      <c r="O549" s="2"/>
    </row>
    <row r="550" spans="1:15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11"/>
      <c r="K550" s="11"/>
      <c r="L550" s="9"/>
      <c r="M550" s="2"/>
      <c r="N550" s="2"/>
      <c r="O550" s="2"/>
    </row>
    <row r="551" spans="1:15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11"/>
      <c r="K551" s="11"/>
      <c r="L551" s="9"/>
      <c r="M551" s="2"/>
      <c r="N551" s="2"/>
      <c r="O551" s="2"/>
    </row>
    <row r="552" spans="1:15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11"/>
      <c r="K552" s="11"/>
      <c r="L552" s="9"/>
      <c r="M552" s="2"/>
      <c r="N552" s="2"/>
      <c r="O552" s="2"/>
    </row>
    <row r="553" spans="1:15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11"/>
      <c r="K553" s="11"/>
      <c r="L553" s="9"/>
      <c r="M553" s="2"/>
      <c r="N553" s="2"/>
      <c r="O553" s="2"/>
    </row>
    <row r="554" spans="1:15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11"/>
      <c r="K554" s="11"/>
      <c r="L554" s="9"/>
      <c r="M554" s="2"/>
      <c r="N554" s="2"/>
      <c r="O554" s="2"/>
    </row>
    <row r="555" spans="1:15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11"/>
      <c r="K555" s="11"/>
      <c r="L555" s="9"/>
      <c r="M555" s="2"/>
      <c r="N555" s="2"/>
      <c r="O555" s="2"/>
    </row>
    <row r="556" spans="1:15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11"/>
      <c r="K556" s="11"/>
      <c r="L556" s="9"/>
      <c r="M556" s="2"/>
      <c r="N556" s="2"/>
      <c r="O556" s="2"/>
    </row>
    <row r="557" spans="1:15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11"/>
      <c r="K557" s="11"/>
      <c r="L557" s="9"/>
      <c r="M557" s="2"/>
      <c r="N557" s="2"/>
      <c r="O557" s="2"/>
    </row>
    <row r="558" spans="1:15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11"/>
      <c r="K558" s="11"/>
      <c r="L558" s="9"/>
      <c r="M558" s="2"/>
      <c r="N558" s="2"/>
      <c r="O558" s="2"/>
    </row>
    <row r="559" spans="1:15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11"/>
      <c r="K559" s="11"/>
      <c r="L559" s="9"/>
      <c r="M559" s="2"/>
      <c r="N559" s="2"/>
      <c r="O559" s="2"/>
    </row>
    <row r="560" spans="1:15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11"/>
      <c r="K560" s="11"/>
      <c r="L560" s="9"/>
      <c r="M560" s="2"/>
      <c r="N560" s="2"/>
      <c r="O560" s="2"/>
    </row>
    <row r="561" spans="1:15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11"/>
      <c r="K561" s="11"/>
      <c r="L561" s="9"/>
      <c r="M561" s="2"/>
      <c r="N561" s="2"/>
      <c r="O561" s="2"/>
    </row>
    <row r="562" spans="1:15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11"/>
      <c r="K562" s="11"/>
      <c r="L562" s="9"/>
      <c r="M562" s="2"/>
      <c r="N562" s="2"/>
      <c r="O562" s="2"/>
    </row>
    <row r="563" spans="1:15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11"/>
      <c r="K563" s="11"/>
      <c r="L563" s="9"/>
      <c r="M563" s="2"/>
      <c r="N563" s="2"/>
      <c r="O563" s="2"/>
    </row>
    <row r="564" spans="1:15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11"/>
      <c r="K564" s="11"/>
      <c r="L564" s="9"/>
      <c r="M564" s="2"/>
      <c r="N564" s="2"/>
      <c r="O564" s="2"/>
    </row>
    <row r="565" spans="1:15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11"/>
      <c r="K565" s="11"/>
      <c r="L565" s="9"/>
      <c r="M565" s="2"/>
      <c r="N565" s="2"/>
      <c r="O565" s="2"/>
    </row>
    <row r="566" spans="1:15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11"/>
      <c r="K566" s="11"/>
      <c r="L566" s="9"/>
      <c r="M566" s="2"/>
      <c r="N566" s="2"/>
      <c r="O566" s="2"/>
    </row>
    <row r="567" spans="1:15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11"/>
      <c r="K567" s="11"/>
      <c r="L567" s="9"/>
      <c r="M567" s="2"/>
      <c r="N567" s="2"/>
      <c r="O567" s="2"/>
    </row>
    <row r="568" spans="1:15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11"/>
      <c r="K568" s="11"/>
      <c r="L568" s="9"/>
      <c r="M568" s="2"/>
      <c r="N568" s="2"/>
      <c r="O568" s="2"/>
    </row>
    <row r="569" spans="1:15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11"/>
      <c r="K569" s="11"/>
      <c r="L569" s="9"/>
      <c r="M569" s="2"/>
      <c r="N569" s="2"/>
      <c r="O569" s="2"/>
    </row>
    <row r="570" spans="1:15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11"/>
      <c r="K570" s="11"/>
      <c r="L570" s="9"/>
      <c r="M570" s="2"/>
      <c r="N570" s="2"/>
      <c r="O570" s="2"/>
    </row>
    <row r="571" spans="1:15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11"/>
      <c r="K571" s="11"/>
      <c r="L571" s="9"/>
      <c r="M571" s="2"/>
      <c r="N571" s="2"/>
      <c r="O571" s="2"/>
    </row>
    <row r="572" spans="1:15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11"/>
      <c r="K572" s="11"/>
      <c r="L572" s="9"/>
      <c r="M572" s="2"/>
      <c r="N572" s="2"/>
      <c r="O572" s="2"/>
    </row>
    <row r="573" spans="1:15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11"/>
      <c r="K573" s="11"/>
      <c r="L573" s="9"/>
      <c r="M573" s="2"/>
      <c r="N573" s="2"/>
      <c r="O573" s="2"/>
    </row>
    <row r="574" spans="1:15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11"/>
      <c r="K574" s="11"/>
      <c r="L574" s="9"/>
      <c r="M574" s="2"/>
      <c r="N574" s="2"/>
      <c r="O574" s="2"/>
    </row>
    <row r="575" spans="1:15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11"/>
      <c r="K575" s="11"/>
      <c r="L575" s="9"/>
      <c r="M575" s="2"/>
      <c r="N575" s="2"/>
      <c r="O575" s="2"/>
    </row>
    <row r="576" spans="1:15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11"/>
      <c r="K576" s="11"/>
      <c r="L576" s="9"/>
      <c r="M576" s="2"/>
      <c r="N576" s="2"/>
      <c r="O576" s="2"/>
    </row>
    <row r="577" spans="1:15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11"/>
      <c r="K577" s="11"/>
      <c r="L577" s="9"/>
      <c r="M577" s="2"/>
      <c r="N577" s="2"/>
      <c r="O577" s="2"/>
    </row>
    <row r="578" spans="1:15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11"/>
      <c r="K578" s="11"/>
      <c r="L578" s="9"/>
      <c r="M578" s="2"/>
      <c r="N578" s="2"/>
      <c r="O578" s="2"/>
    </row>
    <row r="579" spans="1:15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11"/>
      <c r="K579" s="11"/>
      <c r="L579" s="9"/>
      <c r="M579" s="2"/>
      <c r="N579" s="2"/>
      <c r="O579" s="2"/>
    </row>
    <row r="580" spans="1:15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11"/>
      <c r="K580" s="11"/>
      <c r="L580" s="9"/>
      <c r="M580" s="2"/>
      <c r="N580" s="2"/>
      <c r="O580" s="2"/>
    </row>
    <row r="581" spans="1:15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11"/>
      <c r="K581" s="11"/>
      <c r="L581" s="9"/>
      <c r="M581" s="2"/>
      <c r="N581" s="2"/>
      <c r="O581" s="2"/>
    </row>
    <row r="582" spans="1:15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11"/>
      <c r="K582" s="11"/>
      <c r="L582" s="9"/>
      <c r="M582" s="2"/>
      <c r="N582" s="2"/>
      <c r="O582" s="2"/>
    </row>
    <row r="583" spans="1:15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11"/>
      <c r="K583" s="11"/>
      <c r="L583" s="9"/>
      <c r="M583" s="2"/>
      <c r="N583" s="2"/>
      <c r="O583" s="2"/>
    </row>
    <row r="584" spans="1:15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11"/>
      <c r="K584" s="11"/>
      <c r="L584" s="9"/>
      <c r="M584" s="2"/>
      <c r="N584" s="2"/>
      <c r="O584" s="2"/>
    </row>
    <row r="585" spans="1:15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11"/>
      <c r="K585" s="11"/>
      <c r="L585" s="9"/>
      <c r="M585" s="2"/>
      <c r="N585" s="2"/>
      <c r="O585" s="2"/>
    </row>
    <row r="586" spans="1:15" ht="30" customHeight="1">
      <c r="A586" s="2"/>
      <c r="B586" s="2"/>
      <c r="C586" s="2"/>
      <c r="D586" s="2"/>
      <c r="E586" s="2"/>
      <c r="F586" s="2"/>
      <c r="G586" s="2"/>
      <c r="H586" s="2"/>
      <c r="I586" s="2"/>
      <c r="J586" s="11"/>
      <c r="K586" s="11"/>
      <c r="L586" s="9"/>
      <c r="M586" s="2"/>
      <c r="N586" s="2"/>
      <c r="O586" s="2"/>
    </row>
    <row r="587" spans="1:15" ht="30" customHeight="1">
      <c r="A587" s="2"/>
      <c r="B587" s="2"/>
      <c r="C587" s="2"/>
      <c r="D587" s="2"/>
      <c r="E587" s="2"/>
      <c r="F587" s="2"/>
      <c r="G587" s="2"/>
      <c r="H587" s="2"/>
      <c r="I587" s="2"/>
      <c r="J587" s="11"/>
      <c r="K587" s="11"/>
      <c r="L587" s="9"/>
      <c r="M587" s="2"/>
      <c r="N587" s="2"/>
      <c r="O587" s="2"/>
    </row>
    <row r="588" spans="1:15" ht="30" customHeight="1">
      <c r="A588" s="2"/>
      <c r="B588" s="2"/>
      <c r="C588" s="2"/>
      <c r="D588" s="2"/>
      <c r="E588" s="2"/>
      <c r="F588" s="2"/>
      <c r="G588" s="2"/>
      <c r="H588" s="2"/>
      <c r="I588" s="2"/>
      <c r="J588" s="11"/>
      <c r="K588" s="11"/>
      <c r="L588" s="9"/>
      <c r="M588" s="2"/>
      <c r="N588" s="2"/>
      <c r="O588" s="2"/>
    </row>
    <row r="589" spans="1:15" ht="30" customHeight="1">
      <c r="A589" s="2"/>
      <c r="B589" s="2"/>
      <c r="C589" s="2"/>
      <c r="D589" s="2"/>
      <c r="E589" s="2"/>
      <c r="F589" s="2"/>
      <c r="G589" s="2"/>
      <c r="H589" s="2"/>
      <c r="I589" s="2"/>
      <c r="J589" s="11"/>
      <c r="K589" s="11"/>
      <c r="L589" s="9"/>
      <c r="M589" s="2"/>
      <c r="N589" s="2"/>
      <c r="O589" s="2"/>
    </row>
    <row r="590" spans="1:15" ht="30" customHeight="1">
      <c r="A590" s="2"/>
      <c r="B590" s="2"/>
      <c r="C590" s="2"/>
      <c r="D590" s="2"/>
      <c r="E590" s="2"/>
      <c r="F590" s="2"/>
      <c r="G590" s="2"/>
      <c r="H590" s="2"/>
      <c r="I590" s="2"/>
      <c r="J590" s="11"/>
      <c r="K590" s="11"/>
      <c r="L590" s="9"/>
      <c r="M590" s="2"/>
      <c r="N590" s="2"/>
      <c r="O590" s="2"/>
    </row>
  </sheetData>
  <autoFilter ref="A2:O298" xr:uid="{48C3EA1C-1E31-4450-8B8A-792657D07DD1}"/>
  <mergeCells count="1">
    <mergeCell ref="A1:O1"/>
  </mergeCells>
  <conditionalFormatting sqref="C1:C1048576">
    <cfRule type="duplicateValues" dxfId="2" priority="1"/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EB77-7BCA-4541-8334-0D23051C250B}">
  <sheetPr>
    <outlinePr summaryBelow="0" summaryRight="0"/>
  </sheetPr>
  <dimension ref="A1:P586"/>
  <sheetViews>
    <sheetView zoomScale="55" zoomScaleNormal="55" workbookViewId="0">
      <pane xSplit="1" ySplit="2" topLeftCell="B282" activePane="bottomRight" state="frozen"/>
      <selection pane="topRight" activeCell="B1" sqref="B1"/>
      <selection pane="bottomLeft" activeCell="A3" sqref="A3"/>
      <selection pane="bottomRight" activeCell="E304" sqref="E304"/>
    </sheetView>
  </sheetViews>
  <sheetFormatPr defaultColWidth="12.5703125" defaultRowHeight="15.75" customHeight="1"/>
  <cols>
    <col min="1" max="9" width="31.5703125" style="28" customWidth="1"/>
    <col min="10" max="11" width="31.5703125" style="29" customWidth="1"/>
    <col min="12" max="12" width="31.5703125" style="30" customWidth="1"/>
    <col min="13" max="15" width="31.5703125" style="28" customWidth="1"/>
    <col min="16" max="16384" width="12.5703125" style="28"/>
  </cols>
  <sheetData>
    <row r="1" spans="1:16" ht="30" customHeight="1">
      <c r="A1" s="36" t="s">
        <v>614</v>
      </c>
      <c r="B1" s="37"/>
      <c r="C1" s="37"/>
      <c r="D1" s="37"/>
      <c r="E1" s="37"/>
      <c r="F1" s="37"/>
      <c r="G1" s="37"/>
      <c r="H1" s="37"/>
      <c r="I1" s="37"/>
      <c r="J1" s="38"/>
      <c r="K1" s="38"/>
      <c r="L1" s="39"/>
      <c r="M1" s="37"/>
      <c r="N1" s="37"/>
      <c r="O1" s="37"/>
    </row>
    <row r="2" spans="1:16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0" t="s">
        <v>10</v>
      </c>
      <c r="K2" s="10" t="s">
        <v>11</v>
      </c>
      <c r="L2" s="8" t="s">
        <v>12</v>
      </c>
      <c r="M2" s="1" t="s">
        <v>13</v>
      </c>
      <c r="N2" s="1" t="s">
        <v>14</v>
      </c>
      <c r="O2" s="1" t="s">
        <v>15</v>
      </c>
    </row>
    <row r="3" spans="1:16" ht="30" customHeight="1">
      <c r="A3" s="7" t="s">
        <v>16</v>
      </c>
      <c r="B3" s="34" t="s">
        <v>605</v>
      </c>
      <c r="C3" s="34" t="s">
        <v>310</v>
      </c>
      <c r="D3" s="31">
        <v>6766.2811857263478</v>
      </c>
      <c r="E3" s="32">
        <v>5225.5973817567565</v>
      </c>
      <c r="F3" s="31">
        <f t="shared" ref="F3:F66" si="0">(+D3-E3)/7</f>
        <v>220.09768628137019</v>
      </c>
      <c r="G3" s="33">
        <v>64</v>
      </c>
      <c r="H3" s="33">
        <v>0</v>
      </c>
      <c r="I3" s="18" t="s">
        <v>17</v>
      </c>
      <c r="J3" s="34">
        <v>40.865291666700003</v>
      </c>
      <c r="K3" s="34">
        <v>71.961494999999999</v>
      </c>
      <c r="L3" s="15">
        <v>160</v>
      </c>
      <c r="M3" s="12" t="s">
        <v>18</v>
      </c>
      <c r="N3" s="12"/>
      <c r="O3" s="24" t="s">
        <v>19</v>
      </c>
      <c r="P3" s="28">
        <v>7</v>
      </c>
    </row>
    <row r="4" spans="1:16" ht="30" customHeight="1">
      <c r="A4" s="7" t="s">
        <v>16</v>
      </c>
      <c r="B4" s="34" t="s">
        <v>606</v>
      </c>
      <c r="C4" s="34" t="s">
        <v>344</v>
      </c>
      <c r="D4" s="31">
        <v>12029.693315726345</v>
      </c>
      <c r="E4" s="32">
        <v>9830.5073817567554</v>
      </c>
      <c r="F4" s="31">
        <f t="shared" si="0"/>
        <v>314.16941913851275</v>
      </c>
      <c r="G4" s="33">
        <v>38</v>
      </c>
      <c r="H4" s="33">
        <v>4</v>
      </c>
      <c r="I4" s="4" t="s">
        <v>21</v>
      </c>
      <c r="J4" s="34">
        <v>40.859666666700001</v>
      </c>
      <c r="K4" s="34">
        <v>72.121076666700006</v>
      </c>
      <c r="L4" s="15">
        <v>63</v>
      </c>
      <c r="M4" s="12" t="s">
        <v>22</v>
      </c>
      <c r="N4" s="12"/>
      <c r="O4" s="24" t="s">
        <v>19</v>
      </c>
    </row>
    <row r="5" spans="1:16" ht="30" customHeight="1">
      <c r="A5" s="7" t="s">
        <v>16</v>
      </c>
      <c r="B5" s="34" t="s">
        <v>607</v>
      </c>
      <c r="C5" s="34" t="s">
        <v>345</v>
      </c>
      <c r="D5" s="31">
        <v>17066.791445726343</v>
      </c>
      <c r="E5" s="32">
        <v>14237.417381756753</v>
      </c>
      <c r="F5" s="31">
        <f t="shared" si="0"/>
        <v>404.19629485279853</v>
      </c>
      <c r="G5" s="33">
        <v>22</v>
      </c>
      <c r="H5" s="33">
        <v>1</v>
      </c>
      <c r="I5" s="4" t="s">
        <v>20</v>
      </c>
      <c r="J5" s="34">
        <v>40.875443333299998</v>
      </c>
      <c r="K5" s="34">
        <v>71.966825</v>
      </c>
      <c r="L5" s="15">
        <v>250</v>
      </c>
      <c r="M5" s="12" t="s">
        <v>23</v>
      </c>
      <c r="N5" s="12"/>
      <c r="O5" s="24" t="s">
        <v>19</v>
      </c>
    </row>
    <row r="6" spans="1:16" ht="30" customHeight="1">
      <c r="A6" s="7" t="s">
        <v>16</v>
      </c>
      <c r="B6" s="34" t="s">
        <v>608</v>
      </c>
      <c r="C6" s="34" t="s">
        <v>346</v>
      </c>
      <c r="D6" s="31">
        <v>15667.622285726344</v>
      </c>
      <c r="E6" s="32">
        <v>13013.297381756754</v>
      </c>
      <c r="F6" s="31">
        <f t="shared" si="0"/>
        <v>379.18927199565559</v>
      </c>
      <c r="G6" s="33">
        <v>72</v>
      </c>
      <c r="H6" s="33">
        <v>0</v>
      </c>
      <c r="I6" s="4" t="s">
        <v>20</v>
      </c>
      <c r="J6" s="34">
        <v>40.879336666500002</v>
      </c>
      <c r="K6" s="34">
        <v>71.986581666700005</v>
      </c>
      <c r="L6" s="15">
        <v>160</v>
      </c>
      <c r="M6" s="12" t="s">
        <v>24</v>
      </c>
      <c r="N6" s="12"/>
      <c r="O6" s="24" t="s">
        <v>19</v>
      </c>
    </row>
    <row r="7" spans="1:16" ht="30" customHeight="1">
      <c r="A7" s="7" t="s">
        <v>16</v>
      </c>
      <c r="B7" s="34" t="s">
        <v>609</v>
      </c>
      <c r="C7" s="34" t="s">
        <v>347</v>
      </c>
      <c r="D7" s="31">
        <v>4152.5373657263472</v>
      </c>
      <c r="E7" s="32">
        <v>2938.8573817567558</v>
      </c>
      <c r="F7" s="31">
        <f t="shared" si="0"/>
        <v>173.38285485279877</v>
      </c>
      <c r="G7" s="33">
        <v>16</v>
      </c>
      <c r="H7" s="33">
        <v>0</v>
      </c>
      <c r="I7" s="4" t="s">
        <v>20</v>
      </c>
      <c r="J7" s="34">
        <v>40.874026666600002</v>
      </c>
      <c r="K7" s="34">
        <v>72.094549999700007</v>
      </c>
      <c r="L7" s="15">
        <v>400</v>
      </c>
      <c r="M7" s="12" t="s">
        <v>25</v>
      </c>
      <c r="N7" s="12"/>
      <c r="O7" s="24" t="s">
        <v>19</v>
      </c>
    </row>
    <row r="8" spans="1:16" ht="30" customHeight="1">
      <c r="A8" s="7" t="s">
        <v>16</v>
      </c>
      <c r="B8" s="34" t="s">
        <v>606</v>
      </c>
      <c r="C8" s="34" t="s">
        <v>348</v>
      </c>
      <c r="D8" s="31">
        <v>14724.155795726345</v>
      </c>
      <c r="E8" s="32">
        <v>12187.867381756754</v>
      </c>
      <c r="F8" s="31">
        <f t="shared" si="0"/>
        <v>362.32691628137007</v>
      </c>
      <c r="G8" s="33">
        <v>62</v>
      </c>
      <c r="H8" s="33">
        <v>2</v>
      </c>
      <c r="I8" s="4" t="s">
        <v>26</v>
      </c>
      <c r="J8" s="34">
        <v>40.859666666700001</v>
      </c>
      <c r="K8" s="34">
        <v>72.121076666700006</v>
      </c>
      <c r="L8" s="15">
        <v>100</v>
      </c>
      <c r="M8" s="12" t="s">
        <v>27</v>
      </c>
      <c r="N8" s="12"/>
      <c r="O8" s="24" t="s">
        <v>19</v>
      </c>
    </row>
    <row r="9" spans="1:16" ht="30" customHeight="1">
      <c r="A9" s="7" t="s">
        <v>16</v>
      </c>
      <c r="B9" s="34" t="s">
        <v>606</v>
      </c>
      <c r="C9" s="34" t="s">
        <v>349</v>
      </c>
      <c r="D9" s="31">
        <v>23561.877515726348</v>
      </c>
      <c r="E9" s="32">
        <v>19919.907381756759</v>
      </c>
      <c r="F9" s="31">
        <f t="shared" si="0"/>
        <v>520.28144770994129</v>
      </c>
      <c r="G9" s="33">
        <v>84</v>
      </c>
      <c r="H9" s="33">
        <v>4</v>
      </c>
      <c r="I9" s="4" t="s">
        <v>26</v>
      </c>
      <c r="J9" s="34">
        <v>40.861923333299998</v>
      </c>
      <c r="K9" s="34">
        <v>72.000451666700002</v>
      </c>
      <c r="L9" s="15">
        <v>250</v>
      </c>
      <c r="M9" s="12" t="s">
        <v>28</v>
      </c>
      <c r="N9" s="12"/>
      <c r="O9" s="24" t="s">
        <v>19</v>
      </c>
    </row>
    <row r="10" spans="1:16" ht="30" customHeight="1">
      <c r="A10" s="7" t="s">
        <v>16</v>
      </c>
      <c r="B10" s="34" t="s">
        <v>609</v>
      </c>
      <c r="C10" s="34" t="s">
        <v>350</v>
      </c>
      <c r="D10" s="31">
        <v>19585.197635726348</v>
      </c>
      <c r="E10" s="32">
        <v>16440.747381756759</v>
      </c>
      <c r="F10" s="31">
        <f t="shared" si="0"/>
        <v>449.2071791385128</v>
      </c>
      <c r="G10" s="33">
        <v>100</v>
      </c>
      <c r="H10" s="33">
        <v>0</v>
      </c>
      <c r="I10" s="4" t="s">
        <v>26</v>
      </c>
      <c r="J10" s="34">
        <v>40.876303333300001</v>
      </c>
      <c r="K10" s="34">
        <v>71.989218333300002</v>
      </c>
      <c r="L10" s="15">
        <v>160</v>
      </c>
      <c r="M10" s="12" t="s">
        <v>29</v>
      </c>
      <c r="N10" s="12"/>
      <c r="O10" s="24" t="s">
        <v>19</v>
      </c>
    </row>
    <row r="11" spans="1:16" ht="30" customHeight="1">
      <c r="A11" s="7" t="s">
        <v>16</v>
      </c>
      <c r="B11" s="34" t="s">
        <v>608</v>
      </c>
      <c r="C11" s="34" t="s">
        <v>351</v>
      </c>
      <c r="D11" s="31">
        <v>20729.386355726347</v>
      </c>
      <c r="E11" s="32">
        <v>17441.787381756756</v>
      </c>
      <c r="F11" s="31">
        <f t="shared" si="0"/>
        <v>469.65699628137008</v>
      </c>
      <c r="G11" s="33">
        <v>69</v>
      </c>
      <c r="H11" s="33">
        <v>0</v>
      </c>
      <c r="I11" s="4" t="s">
        <v>17</v>
      </c>
      <c r="J11" s="34">
        <v>40.880254999999998</v>
      </c>
      <c r="K11" s="34">
        <v>71.986491666700005</v>
      </c>
      <c r="L11" s="15">
        <v>400</v>
      </c>
      <c r="M11" s="12" t="s">
        <v>30</v>
      </c>
      <c r="N11" s="12"/>
      <c r="O11" s="24" t="s">
        <v>19</v>
      </c>
    </row>
    <row r="12" spans="1:16" ht="30" customHeight="1">
      <c r="A12" s="7" t="s">
        <v>16</v>
      </c>
      <c r="B12" s="34" t="s">
        <v>609</v>
      </c>
      <c r="C12" s="34" t="s">
        <v>352</v>
      </c>
      <c r="D12" s="31">
        <v>13004.272265726346</v>
      </c>
      <c r="E12" s="32">
        <v>10683.157381756755</v>
      </c>
      <c r="F12" s="31">
        <f t="shared" si="0"/>
        <v>331.58784056708436</v>
      </c>
      <c r="G12" s="33">
        <v>64</v>
      </c>
      <c r="H12" s="33">
        <v>1</v>
      </c>
      <c r="I12" s="4" t="s">
        <v>21</v>
      </c>
      <c r="J12" s="34">
        <v>40.881878333300001</v>
      </c>
      <c r="K12" s="34">
        <v>71.992743333299998</v>
      </c>
      <c r="L12" s="15">
        <v>60</v>
      </c>
      <c r="M12" s="12" t="s">
        <v>31</v>
      </c>
      <c r="N12" s="12"/>
      <c r="O12" s="24" t="s">
        <v>19</v>
      </c>
    </row>
    <row r="13" spans="1:16" ht="30" customHeight="1">
      <c r="A13" s="7" t="s">
        <v>16</v>
      </c>
      <c r="B13" s="34" t="s">
        <v>609</v>
      </c>
      <c r="C13" s="34" t="s">
        <v>353</v>
      </c>
      <c r="D13" s="31">
        <v>26800.282265726346</v>
      </c>
      <c r="E13" s="32">
        <v>22753.157381756759</v>
      </c>
      <c r="F13" s="31">
        <f t="shared" si="0"/>
        <v>578.16069770994102</v>
      </c>
      <c r="G13" s="33">
        <v>25</v>
      </c>
      <c r="H13" s="33">
        <v>1</v>
      </c>
      <c r="I13" s="4" t="s">
        <v>32</v>
      </c>
      <c r="J13" s="34">
        <v>40.8861933333</v>
      </c>
      <c r="K13" s="34">
        <v>71.991990000000001</v>
      </c>
      <c r="L13" s="15">
        <v>100</v>
      </c>
      <c r="M13" s="12" t="s">
        <v>33</v>
      </c>
      <c r="N13" s="12"/>
      <c r="O13" s="24" t="s">
        <v>19</v>
      </c>
    </row>
    <row r="14" spans="1:16" ht="30" customHeight="1">
      <c r="A14" s="7" t="s">
        <v>16</v>
      </c>
      <c r="B14" s="34" t="s">
        <v>609</v>
      </c>
      <c r="C14" s="34" t="s">
        <v>354</v>
      </c>
      <c r="D14" s="31">
        <v>26968.897625726349</v>
      </c>
      <c r="E14" s="32">
        <v>22900.677381756759</v>
      </c>
      <c r="F14" s="31">
        <f t="shared" si="0"/>
        <v>581.17432056708435</v>
      </c>
      <c r="G14" s="33">
        <v>108</v>
      </c>
      <c r="H14" s="33">
        <v>1</v>
      </c>
      <c r="I14" s="4" t="s">
        <v>32</v>
      </c>
      <c r="J14" s="34">
        <v>40.871985000000002</v>
      </c>
      <c r="K14" s="34">
        <v>72.001351666700003</v>
      </c>
      <c r="L14" s="15">
        <v>100</v>
      </c>
      <c r="M14" s="12"/>
      <c r="N14" s="12" t="s">
        <v>34</v>
      </c>
      <c r="O14" s="24" t="s">
        <v>19</v>
      </c>
    </row>
    <row r="15" spans="1:16" ht="30" customHeight="1">
      <c r="A15" s="7" t="s">
        <v>16</v>
      </c>
      <c r="B15" s="34" t="s">
        <v>605</v>
      </c>
      <c r="C15" s="34" t="s">
        <v>330</v>
      </c>
      <c r="D15" s="31">
        <v>21276.94050572635</v>
      </c>
      <c r="E15" s="32">
        <v>17920.837381756759</v>
      </c>
      <c r="F15" s="31">
        <f t="shared" si="0"/>
        <v>479.44330342422734</v>
      </c>
      <c r="G15" s="33">
        <v>70</v>
      </c>
      <c r="H15" s="33">
        <v>0</v>
      </c>
      <c r="I15" s="4" t="s">
        <v>17</v>
      </c>
      <c r="J15" s="34">
        <v>40.863475000000001</v>
      </c>
      <c r="K15" s="34">
        <v>71.947638333300006</v>
      </c>
      <c r="L15" s="15">
        <v>400</v>
      </c>
      <c r="M15" s="12" t="s">
        <v>35</v>
      </c>
      <c r="N15" s="12"/>
      <c r="O15" s="24" t="s">
        <v>19</v>
      </c>
    </row>
    <row r="16" spans="1:16" ht="30" customHeight="1">
      <c r="A16" s="7" t="s">
        <v>16</v>
      </c>
      <c r="B16" s="34" t="s">
        <v>607</v>
      </c>
      <c r="C16" s="34" t="s">
        <v>355</v>
      </c>
      <c r="D16" s="31">
        <v>22980.433415726344</v>
      </c>
      <c r="E16" s="32">
        <v>19411.207381756758</v>
      </c>
      <c r="F16" s="31">
        <f t="shared" si="0"/>
        <v>509.88943342422652</v>
      </c>
      <c r="G16" s="33">
        <v>44</v>
      </c>
      <c r="H16" s="33">
        <v>0</v>
      </c>
      <c r="I16" s="4" t="s">
        <v>26</v>
      </c>
      <c r="J16" s="34">
        <v>40.867853333299998</v>
      </c>
      <c r="K16" s="34">
        <v>71.9555883333</v>
      </c>
      <c r="L16" s="15">
        <v>160</v>
      </c>
      <c r="M16" s="12" t="s">
        <v>36</v>
      </c>
      <c r="N16" s="12"/>
      <c r="O16" s="24" t="s">
        <v>19</v>
      </c>
    </row>
    <row r="17" spans="1:15" ht="30" customHeight="1">
      <c r="A17" s="7" t="s">
        <v>16</v>
      </c>
      <c r="B17" s="34" t="s">
        <v>607</v>
      </c>
      <c r="C17" s="34" t="s">
        <v>356</v>
      </c>
      <c r="D17" s="31">
        <v>32640.452195726346</v>
      </c>
      <c r="E17" s="32">
        <v>27862.667381756757</v>
      </c>
      <c r="F17" s="31">
        <f t="shared" si="0"/>
        <v>682.54068770994127</v>
      </c>
      <c r="G17" s="33">
        <v>80</v>
      </c>
      <c r="H17" s="33">
        <v>1</v>
      </c>
      <c r="I17" s="4" t="s">
        <v>37</v>
      </c>
      <c r="J17" s="34">
        <v>40.871698333300003</v>
      </c>
      <c r="K17" s="34">
        <v>71.957906666699998</v>
      </c>
      <c r="L17" s="15">
        <v>160</v>
      </c>
      <c r="M17" s="12" t="s">
        <v>38</v>
      </c>
      <c r="N17" s="12"/>
      <c r="O17" s="24" t="s">
        <v>19</v>
      </c>
    </row>
    <row r="18" spans="1:15" ht="30" customHeight="1">
      <c r="A18" s="7" t="s">
        <v>16</v>
      </c>
      <c r="B18" s="34" t="s">
        <v>609</v>
      </c>
      <c r="C18" s="34" t="s">
        <v>357</v>
      </c>
      <c r="D18" s="31">
        <v>22935.536375726344</v>
      </c>
      <c r="E18" s="32">
        <v>19371.927381756755</v>
      </c>
      <c r="F18" s="31">
        <f t="shared" si="0"/>
        <v>509.08699913851262</v>
      </c>
      <c r="G18" s="33">
        <v>83</v>
      </c>
      <c r="H18" s="33">
        <v>3</v>
      </c>
      <c r="I18" s="4" t="s">
        <v>21</v>
      </c>
      <c r="J18" s="34">
        <v>40.881491666700001</v>
      </c>
      <c r="K18" s="34">
        <v>72.005658333300005</v>
      </c>
      <c r="L18" s="15">
        <v>400</v>
      </c>
      <c r="M18" s="12"/>
      <c r="N18" s="12" t="s">
        <v>39</v>
      </c>
      <c r="O18" s="24" t="s">
        <v>19</v>
      </c>
    </row>
    <row r="19" spans="1:15" ht="30" customHeight="1">
      <c r="A19" s="7" t="s">
        <v>16</v>
      </c>
      <c r="B19" s="34" t="s">
        <v>609</v>
      </c>
      <c r="C19" s="34" t="s">
        <v>358</v>
      </c>
      <c r="D19" s="31">
        <v>15877.168475726345</v>
      </c>
      <c r="E19" s="32">
        <v>13196.627381756754</v>
      </c>
      <c r="F19" s="31">
        <f t="shared" si="0"/>
        <v>382.93444199565573</v>
      </c>
      <c r="G19" s="33">
        <v>105</v>
      </c>
      <c r="H19" s="33">
        <v>0</v>
      </c>
      <c r="I19" s="4" t="s">
        <v>21</v>
      </c>
      <c r="J19" s="34">
        <v>40.882366666700001</v>
      </c>
      <c r="K19" s="34">
        <v>72.011693333300002</v>
      </c>
      <c r="L19" s="15">
        <v>63</v>
      </c>
      <c r="M19" s="12" t="s">
        <v>40</v>
      </c>
      <c r="N19" s="12"/>
      <c r="O19" s="24" t="s">
        <v>19</v>
      </c>
    </row>
    <row r="20" spans="1:15" ht="30" customHeight="1">
      <c r="A20" s="7" t="s">
        <v>16</v>
      </c>
      <c r="B20" s="34" t="s">
        <v>608</v>
      </c>
      <c r="C20" s="34" t="s">
        <v>359</v>
      </c>
      <c r="D20" s="31">
        <v>47106.145895726353</v>
      </c>
      <c r="E20" s="32">
        <v>40518.567381756759</v>
      </c>
      <c r="F20" s="31">
        <f t="shared" si="0"/>
        <v>941.08264485279926</v>
      </c>
      <c r="G20" s="33">
        <v>7</v>
      </c>
      <c r="H20" s="33">
        <v>4</v>
      </c>
      <c r="I20" s="4" t="s">
        <v>21</v>
      </c>
      <c r="J20" s="34">
        <v>40.867094999999999</v>
      </c>
      <c r="K20" s="34">
        <v>71.968564999999998</v>
      </c>
      <c r="L20" s="15">
        <v>160</v>
      </c>
      <c r="M20" s="12"/>
      <c r="N20" s="12" t="s">
        <v>41</v>
      </c>
      <c r="O20" s="24" t="s">
        <v>19</v>
      </c>
    </row>
    <row r="21" spans="1:15" ht="30" customHeight="1">
      <c r="A21" s="7" t="s">
        <v>16</v>
      </c>
      <c r="B21" s="34" t="s">
        <v>609</v>
      </c>
      <c r="C21" s="34" t="s">
        <v>360</v>
      </c>
      <c r="D21" s="31">
        <v>3728.7358257263459</v>
      </c>
      <c r="E21" s="32">
        <v>2568.0773817567551</v>
      </c>
      <c r="F21" s="31">
        <f t="shared" si="0"/>
        <v>165.80834913851297</v>
      </c>
      <c r="G21" s="33">
        <v>37</v>
      </c>
      <c r="H21" s="33">
        <v>1</v>
      </c>
      <c r="I21" s="4" t="s">
        <v>21</v>
      </c>
      <c r="J21" s="34">
        <v>40.865857601199998</v>
      </c>
      <c r="K21" s="34">
        <v>71.963380873199995</v>
      </c>
      <c r="L21" s="15">
        <v>160</v>
      </c>
      <c r="M21" s="12"/>
      <c r="N21" s="12" t="s">
        <v>42</v>
      </c>
      <c r="O21" s="24" t="s">
        <v>19</v>
      </c>
    </row>
    <row r="22" spans="1:15" ht="30" customHeight="1">
      <c r="A22" s="7" t="s">
        <v>16</v>
      </c>
      <c r="B22" s="34" t="s">
        <v>608</v>
      </c>
      <c r="C22" s="34" t="s">
        <v>361</v>
      </c>
      <c r="D22" s="31">
        <v>9634.833995726347</v>
      </c>
      <c r="E22" s="32">
        <v>7735.2673817567565</v>
      </c>
      <c r="F22" s="31">
        <f t="shared" si="0"/>
        <v>271.36665913851294</v>
      </c>
      <c r="G22" s="33">
        <v>36</v>
      </c>
      <c r="H22" s="33">
        <v>0</v>
      </c>
      <c r="I22" s="4" t="s">
        <v>21</v>
      </c>
      <c r="J22" s="34">
        <v>40.868364999999997</v>
      </c>
      <c r="K22" s="34">
        <v>71.977401666700004</v>
      </c>
      <c r="L22" s="15">
        <v>160</v>
      </c>
      <c r="M22" s="12" t="s">
        <v>43</v>
      </c>
      <c r="N22" s="12"/>
      <c r="O22" s="24" t="s">
        <v>19</v>
      </c>
    </row>
    <row r="23" spans="1:15" ht="30" customHeight="1">
      <c r="A23" s="7" t="s">
        <v>16</v>
      </c>
      <c r="B23" s="34" t="s">
        <v>606</v>
      </c>
      <c r="C23" s="34" t="s">
        <v>362</v>
      </c>
      <c r="D23" s="31">
        <v>35174.711795726354</v>
      </c>
      <c r="E23" s="32">
        <v>30079.867381756761</v>
      </c>
      <c r="F23" s="31">
        <f t="shared" si="0"/>
        <v>727.8349162813704</v>
      </c>
      <c r="G23" s="33">
        <v>146</v>
      </c>
      <c r="H23" s="33">
        <v>3</v>
      </c>
      <c r="I23" s="3" t="s">
        <v>21</v>
      </c>
      <c r="J23" s="34">
        <v>40.866354999999999</v>
      </c>
      <c r="K23" s="34">
        <v>71.987798333300006</v>
      </c>
      <c r="L23" s="15">
        <v>63</v>
      </c>
      <c r="M23" s="12" t="s">
        <v>44</v>
      </c>
      <c r="N23" s="12"/>
      <c r="O23" s="24" t="s">
        <v>19</v>
      </c>
    </row>
    <row r="24" spans="1:15" ht="30" customHeight="1">
      <c r="A24" s="7" t="s">
        <v>16</v>
      </c>
      <c r="B24" s="34" t="s">
        <v>606</v>
      </c>
      <c r="C24" s="34" t="s">
        <v>363</v>
      </c>
      <c r="D24" s="31">
        <v>51368.198585726343</v>
      </c>
      <c r="E24" s="32">
        <v>44247.397381756746</v>
      </c>
      <c r="F24" s="31">
        <f t="shared" si="0"/>
        <v>1017.2573148527996</v>
      </c>
      <c r="G24" s="33">
        <v>201</v>
      </c>
      <c r="H24" s="33">
        <v>0</v>
      </c>
      <c r="I24" s="3" t="s">
        <v>21</v>
      </c>
      <c r="J24" s="34">
        <v>40.8589916667</v>
      </c>
      <c r="K24" s="34">
        <v>72.007035000000002</v>
      </c>
      <c r="L24" s="15">
        <v>63</v>
      </c>
      <c r="M24" s="12" t="s">
        <v>45</v>
      </c>
      <c r="N24" s="12"/>
      <c r="O24" s="24" t="s">
        <v>19</v>
      </c>
    </row>
    <row r="25" spans="1:15" ht="30" customHeight="1">
      <c r="A25" s="7" t="s">
        <v>16</v>
      </c>
      <c r="B25" s="34" t="s">
        <v>608</v>
      </c>
      <c r="C25" s="34" t="s">
        <v>364</v>
      </c>
      <c r="D25" s="31">
        <v>57872.12004572634</v>
      </c>
      <c r="E25" s="32">
        <v>49937.617381756754</v>
      </c>
      <c r="F25" s="31">
        <f t="shared" si="0"/>
        <v>1133.5003805670838</v>
      </c>
      <c r="G25" s="33">
        <v>48</v>
      </c>
      <c r="H25" s="33">
        <v>0</v>
      </c>
      <c r="I25" s="3" t="s">
        <v>17</v>
      </c>
      <c r="J25" s="34">
        <v>40.8780866667</v>
      </c>
      <c r="K25" s="34">
        <v>71.986896666700005</v>
      </c>
      <c r="L25" s="15">
        <v>250</v>
      </c>
      <c r="M25" s="12" t="s">
        <v>46</v>
      </c>
      <c r="N25" s="12"/>
      <c r="O25" s="24" t="s">
        <v>19</v>
      </c>
    </row>
    <row r="26" spans="1:15" ht="30" customHeight="1">
      <c r="A26" s="7" t="s">
        <v>16</v>
      </c>
      <c r="B26" s="34" t="s">
        <v>609</v>
      </c>
      <c r="C26" s="34" t="s">
        <v>365</v>
      </c>
      <c r="D26" s="31">
        <v>22039.287215726348</v>
      </c>
      <c r="E26" s="32">
        <v>18587.80738175676</v>
      </c>
      <c r="F26" s="31">
        <f t="shared" si="0"/>
        <v>493.06854770994113</v>
      </c>
      <c r="G26" s="33">
        <v>177</v>
      </c>
      <c r="H26" s="33">
        <v>1</v>
      </c>
      <c r="I26" s="3" t="s">
        <v>17</v>
      </c>
      <c r="J26" s="34">
        <v>40.888159999999999</v>
      </c>
      <c r="K26" s="34">
        <v>72.008324999999999</v>
      </c>
      <c r="L26" s="15">
        <v>100</v>
      </c>
      <c r="M26" s="12" t="s">
        <v>47</v>
      </c>
      <c r="N26" s="12"/>
      <c r="O26" s="24" t="s">
        <v>19</v>
      </c>
    </row>
    <row r="27" spans="1:15" ht="30" customHeight="1">
      <c r="A27" s="7" t="s">
        <v>16</v>
      </c>
      <c r="B27" s="34" t="s">
        <v>609</v>
      </c>
      <c r="C27" s="34" t="s">
        <v>366</v>
      </c>
      <c r="D27" s="31">
        <v>25738.435265726344</v>
      </c>
      <c r="E27" s="32">
        <v>21824.157381756759</v>
      </c>
      <c r="F27" s="31">
        <f t="shared" si="0"/>
        <v>559.18255485279792</v>
      </c>
      <c r="G27" s="33">
        <v>95</v>
      </c>
      <c r="H27" s="33">
        <v>9</v>
      </c>
      <c r="I27" s="17" t="s">
        <v>17</v>
      </c>
      <c r="J27" s="34">
        <v>40.879911666700004</v>
      </c>
      <c r="K27" s="34">
        <v>72.022811666699994</v>
      </c>
      <c r="L27" s="15">
        <v>100</v>
      </c>
      <c r="M27" s="12" t="s">
        <v>48</v>
      </c>
      <c r="N27" s="12"/>
      <c r="O27" s="24" t="s">
        <v>19</v>
      </c>
    </row>
    <row r="28" spans="1:15" ht="30" customHeight="1">
      <c r="A28" s="7" t="s">
        <v>16</v>
      </c>
      <c r="B28" s="34" t="s">
        <v>610</v>
      </c>
      <c r="C28" s="34" t="s">
        <v>367</v>
      </c>
      <c r="D28" s="31">
        <v>26030.323175726349</v>
      </c>
      <c r="E28" s="32">
        <v>22079.527381756761</v>
      </c>
      <c r="F28" s="31">
        <f t="shared" si="0"/>
        <v>564.39939913851254</v>
      </c>
      <c r="G28" s="33">
        <v>133</v>
      </c>
      <c r="H28" s="33">
        <v>1</v>
      </c>
      <c r="I28" s="3" t="s">
        <v>17</v>
      </c>
      <c r="J28" s="34">
        <v>40.880920000000003</v>
      </c>
      <c r="K28" s="34">
        <v>72.040239999999997</v>
      </c>
      <c r="L28" s="20">
        <v>100</v>
      </c>
      <c r="M28" s="12"/>
      <c r="N28" s="12" t="s">
        <v>49</v>
      </c>
      <c r="O28" s="24" t="s">
        <v>19</v>
      </c>
    </row>
    <row r="29" spans="1:15" ht="30" customHeight="1">
      <c r="A29" s="7" t="s">
        <v>16</v>
      </c>
      <c r="B29" s="34" t="s">
        <v>610</v>
      </c>
      <c r="C29" s="34" t="s">
        <v>368</v>
      </c>
      <c r="D29" s="31">
        <v>19341.121415726346</v>
      </c>
      <c r="E29" s="32">
        <v>16227.207381756753</v>
      </c>
      <c r="F29" s="31">
        <f t="shared" si="0"/>
        <v>444.84486199565617</v>
      </c>
      <c r="G29" s="33">
        <v>126</v>
      </c>
      <c r="H29" s="33">
        <v>0</v>
      </c>
      <c r="I29" s="3"/>
      <c r="J29" s="34">
        <v>40.881768333300002</v>
      </c>
      <c r="K29" s="34">
        <v>72.055153333299998</v>
      </c>
      <c r="L29" s="20">
        <v>63</v>
      </c>
      <c r="M29" s="12" t="s">
        <v>50</v>
      </c>
      <c r="N29" s="12"/>
      <c r="O29" s="24" t="s">
        <v>19</v>
      </c>
    </row>
    <row r="30" spans="1:15" ht="30" customHeight="1">
      <c r="A30" s="7" t="s">
        <v>16</v>
      </c>
      <c r="B30" s="34" t="s">
        <v>610</v>
      </c>
      <c r="C30" s="34" t="s">
        <v>369</v>
      </c>
      <c r="D30" s="31">
        <v>29504.745995726342</v>
      </c>
      <c r="E30" s="32">
        <v>25119.267381756756</v>
      </c>
      <c r="F30" s="31">
        <f t="shared" si="0"/>
        <v>626.49694485279804</v>
      </c>
      <c r="G30" s="33">
        <v>163</v>
      </c>
      <c r="H30" s="33">
        <v>0</v>
      </c>
      <c r="I30" s="3" t="s">
        <v>51</v>
      </c>
      <c r="J30" s="34">
        <v>40.882671666699999</v>
      </c>
      <c r="K30" s="34">
        <v>72.072426666699997</v>
      </c>
      <c r="L30" s="25">
        <v>100</v>
      </c>
      <c r="M30" s="12"/>
      <c r="N30" s="12" t="s">
        <v>52</v>
      </c>
      <c r="O30" s="24" t="s">
        <v>19</v>
      </c>
    </row>
    <row r="31" spans="1:15" ht="30" customHeight="1">
      <c r="A31" s="7" t="s">
        <v>16</v>
      </c>
      <c r="B31" s="34" t="s">
        <v>610</v>
      </c>
      <c r="C31" s="34" t="s">
        <v>370</v>
      </c>
      <c r="D31" s="31">
        <v>4556.4735657263473</v>
      </c>
      <c r="E31" s="32">
        <v>3292.2573817567554</v>
      </c>
      <c r="F31" s="31">
        <f t="shared" si="0"/>
        <v>180.60231199565598</v>
      </c>
      <c r="G31" s="33">
        <v>19</v>
      </c>
      <c r="H31" s="33">
        <v>0</v>
      </c>
      <c r="I31" s="3" t="s">
        <v>53</v>
      </c>
      <c r="J31" s="34">
        <v>40.877465000000001</v>
      </c>
      <c r="K31" s="34">
        <v>72.08811</v>
      </c>
      <c r="L31" s="15">
        <v>100</v>
      </c>
      <c r="M31" s="12" t="s">
        <v>54</v>
      </c>
      <c r="N31" s="12"/>
      <c r="O31" s="24" t="s">
        <v>19</v>
      </c>
    </row>
    <row r="32" spans="1:15" ht="30" customHeight="1">
      <c r="A32" s="7" t="s">
        <v>16</v>
      </c>
      <c r="B32" s="34" t="s">
        <v>610</v>
      </c>
      <c r="C32" s="34" t="s">
        <v>371</v>
      </c>
      <c r="D32" s="31">
        <v>22664.039585726347</v>
      </c>
      <c r="E32" s="32">
        <v>19134.397381756757</v>
      </c>
      <c r="F32" s="31">
        <f t="shared" si="0"/>
        <v>504.23460056708427</v>
      </c>
      <c r="G32" s="33">
        <v>84</v>
      </c>
      <c r="H32" s="33">
        <v>1</v>
      </c>
      <c r="I32" s="3" t="s">
        <v>20</v>
      </c>
      <c r="J32" s="34">
        <v>40.879755000000003</v>
      </c>
      <c r="K32" s="34">
        <v>72.084291666699997</v>
      </c>
      <c r="L32" s="15">
        <v>100</v>
      </c>
      <c r="M32" s="12" t="s">
        <v>55</v>
      </c>
      <c r="N32" s="12"/>
      <c r="O32" s="24" t="s">
        <v>19</v>
      </c>
    </row>
    <row r="33" spans="1:15" ht="30" customHeight="1">
      <c r="A33" s="7" t="s">
        <v>16</v>
      </c>
      <c r="B33" s="34" t="s">
        <v>611</v>
      </c>
      <c r="C33" s="34" t="s">
        <v>372</v>
      </c>
      <c r="D33" s="31">
        <v>24513.562175726351</v>
      </c>
      <c r="E33" s="32">
        <v>20752.527381756761</v>
      </c>
      <c r="F33" s="31">
        <f t="shared" si="0"/>
        <v>537.29068485279845</v>
      </c>
      <c r="G33" s="33">
        <v>110</v>
      </c>
      <c r="H33" s="33">
        <v>3</v>
      </c>
      <c r="I33" s="3" t="s">
        <v>56</v>
      </c>
      <c r="J33" s="34">
        <v>40.874026666699997</v>
      </c>
      <c r="K33" s="34">
        <v>72.094549999999998</v>
      </c>
      <c r="L33" s="15">
        <v>160</v>
      </c>
      <c r="M33" s="12" t="s">
        <v>57</v>
      </c>
      <c r="N33" s="12"/>
      <c r="O33" s="24" t="s">
        <v>19</v>
      </c>
    </row>
    <row r="34" spans="1:15" ht="30" customHeight="1">
      <c r="A34" s="7" t="s">
        <v>16</v>
      </c>
      <c r="B34" s="34" t="s">
        <v>611</v>
      </c>
      <c r="C34" s="34" t="s">
        <v>373</v>
      </c>
      <c r="D34" s="31">
        <v>10600.714715726348</v>
      </c>
      <c r="E34" s="32">
        <v>8580.3073817567565</v>
      </c>
      <c r="F34" s="31">
        <f t="shared" si="0"/>
        <v>288.62961913851308</v>
      </c>
      <c r="G34" s="33">
        <v>101</v>
      </c>
      <c r="H34" s="33">
        <v>0</v>
      </c>
      <c r="I34" s="3" t="s">
        <v>58</v>
      </c>
      <c r="J34" s="34">
        <v>40.863348333300003</v>
      </c>
      <c r="K34" s="34">
        <v>72.082953333299997</v>
      </c>
      <c r="L34" s="15">
        <v>160</v>
      </c>
      <c r="M34" s="12" t="s">
        <v>59</v>
      </c>
      <c r="N34" s="12"/>
      <c r="O34" s="24" t="s">
        <v>19</v>
      </c>
    </row>
    <row r="35" spans="1:15" ht="30" customHeight="1">
      <c r="A35" s="7" t="s">
        <v>16</v>
      </c>
      <c r="B35" s="34" t="s">
        <v>612</v>
      </c>
      <c r="C35" s="34" t="s">
        <v>374</v>
      </c>
      <c r="D35" s="31">
        <v>6755.6970057263461</v>
      </c>
      <c r="E35" s="32">
        <v>5216.3373817567553</v>
      </c>
      <c r="F35" s="31">
        <f t="shared" si="0"/>
        <v>219.90851770994155</v>
      </c>
      <c r="G35" s="33">
        <v>87</v>
      </c>
      <c r="H35" s="33">
        <v>2</v>
      </c>
      <c r="I35" s="3" t="s">
        <v>58</v>
      </c>
      <c r="J35" s="34">
        <v>40.848415000000003</v>
      </c>
      <c r="K35" s="34">
        <v>72.071595000000002</v>
      </c>
      <c r="L35" s="15">
        <v>63</v>
      </c>
      <c r="M35" s="12" t="s">
        <v>60</v>
      </c>
      <c r="N35" s="12"/>
      <c r="O35" s="24" t="s">
        <v>19</v>
      </c>
    </row>
    <row r="36" spans="1:15" ht="30" customHeight="1">
      <c r="A36" s="7" t="s">
        <v>16</v>
      </c>
      <c r="B36" s="34" t="s">
        <v>611</v>
      </c>
      <c r="C36" s="34" t="s">
        <v>375</v>
      </c>
      <c r="D36" s="31">
        <v>44155.04562572635</v>
      </c>
      <c r="E36" s="32">
        <v>37936.677381756759</v>
      </c>
      <c r="F36" s="31">
        <f t="shared" si="0"/>
        <v>888.33832056708445</v>
      </c>
      <c r="G36" s="33">
        <v>215</v>
      </c>
      <c r="H36" s="33">
        <v>18</v>
      </c>
      <c r="I36" s="3" t="s">
        <v>32</v>
      </c>
      <c r="J36" s="34">
        <v>40.8672316667</v>
      </c>
      <c r="K36" s="34">
        <v>72.104288333300005</v>
      </c>
      <c r="L36" s="15">
        <v>100</v>
      </c>
      <c r="M36" s="12" t="s">
        <v>61</v>
      </c>
      <c r="N36" s="12"/>
      <c r="O36" s="24" t="s">
        <v>19</v>
      </c>
    </row>
    <row r="37" spans="1:15" ht="30" customHeight="1">
      <c r="A37" s="7" t="s">
        <v>16</v>
      </c>
      <c r="B37" s="34" t="s">
        <v>611</v>
      </c>
      <c r="C37" s="34" t="s">
        <v>376</v>
      </c>
      <c r="D37" s="31">
        <v>28517.856935726348</v>
      </c>
      <c r="E37" s="32">
        <v>24255.847381756761</v>
      </c>
      <c r="F37" s="31">
        <f t="shared" si="0"/>
        <v>608.85850770994091</v>
      </c>
      <c r="G37" s="33">
        <v>98</v>
      </c>
      <c r="H37" s="33">
        <v>1</v>
      </c>
      <c r="I37" s="3" t="s">
        <v>17</v>
      </c>
      <c r="J37" s="34">
        <v>40.875253333300002</v>
      </c>
      <c r="K37" s="34">
        <v>72.108715000000004</v>
      </c>
      <c r="L37" s="15">
        <v>100</v>
      </c>
      <c r="M37" s="12" t="s">
        <v>62</v>
      </c>
      <c r="N37" s="12"/>
      <c r="O37" s="24" t="s">
        <v>19</v>
      </c>
    </row>
    <row r="38" spans="1:15" ht="30" customHeight="1">
      <c r="A38" s="7" t="s">
        <v>16</v>
      </c>
      <c r="B38" s="34" t="s">
        <v>611</v>
      </c>
      <c r="C38" s="34" t="s">
        <v>377</v>
      </c>
      <c r="D38" s="31">
        <v>6492.4412457263461</v>
      </c>
      <c r="E38" s="32">
        <v>4986.0173817567556</v>
      </c>
      <c r="F38" s="31">
        <f t="shared" si="0"/>
        <v>215.20340913851291</v>
      </c>
      <c r="G38" s="33">
        <v>106</v>
      </c>
      <c r="H38" s="33">
        <v>0</v>
      </c>
      <c r="I38" s="3" t="s">
        <v>58</v>
      </c>
      <c r="J38" s="34">
        <v>40.867996666700002</v>
      </c>
      <c r="K38" s="34">
        <v>72.122466666700006</v>
      </c>
      <c r="L38" s="15">
        <v>40</v>
      </c>
      <c r="M38" s="12" t="s">
        <v>63</v>
      </c>
      <c r="N38" s="12"/>
      <c r="O38" s="24" t="s">
        <v>19</v>
      </c>
    </row>
    <row r="39" spans="1:15" ht="30" customHeight="1">
      <c r="A39" s="7" t="s">
        <v>16</v>
      </c>
      <c r="B39" s="34" t="s">
        <v>611</v>
      </c>
      <c r="C39" s="34" t="s">
        <v>378</v>
      </c>
      <c r="D39" s="31">
        <v>10931.133155726346</v>
      </c>
      <c r="E39" s="32">
        <v>8869.3873817567546</v>
      </c>
      <c r="F39" s="31">
        <f t="shared" si="0"/>
        <v>294.53511056708442</v>
      </c>
      <c r="G39" s="33">
        <v>138</v>
      </c>
      <c r="H39" s="33">
        <v>1</v>
      </c>
      <c r="I39" s="3" t="s">
        <v>64</v>
      </c>
      <c r="J39" s="34">
        <v>40.856453333300003</v>
      </c>
      <c r="K39" s="34">
        <v>72.136276666699999</v>
      </c>
      <c r="L39" s="15">
        <v>100</v>
      </c>
      <c r="M39" s="12" t="s">
        <v>65</v>
      </c>
      <c r="N39" s="12"/>
      <c r="O39" s="24" t="s">
        <v>19</v>
      </c>
    </row>
    <row r="40" spans="1:15" ht="30" customHeight="1">
      <c r="A40" s="7" t="s">
        <v>16</v>
      </c>
      <c r="B40" s="34" t="s">
        <v>611</v>
      </c>
      <c r="C40" s="34" t="s">
        <v>379</v>
      </c>
      <c r="D40" s="31">
        <v>25996.501805726351</v>
      </c>
      <c r="E40" s="32">
        <v>22049.937381756761</v>
      </c>
      <c r="F40" s="31">
        <f t="shared" si="0"/>
        <v>563.7949177099415</v>
      </c>
      <c r="G40" s="33">
        <v>170</v>
      </c>
      <c r="H40" s="33">
        <v>1</v>
      </c>
      <c r="I40" s="3" t="s">
        <v>64</v>
      </c>
      <c r="J40" s="34">
        <v>40.848101666700003</v>
      </c>
      <c r="K40" s="34">
        <v>72.161588333300003</v>
      </c>
      <c r="L40" s="15">
        <v>100</v>
      </c>
      <c r="M40" s="12" t="s">
        <v>66</v>
      </c>
      <c r="N40" s="12"/>
      <c r="O40" s="24" t="s">
        <v>19</v>
      </c>
    </row>
    <row r="41" spans="1:15" ht="30" customHeight="1">
      <c r="A41" s="7" t="s">
        <v>16</v>
      </c>
      <c r="B41" s="34" t="s">
        <v>613</v>
      </c>
      <c r="C41" s="34" t="s">
        <v>380</v>
      </c>
      <c r="D41" s="31">
        <v>6397.915145726347</v>
      </c>
      <c r="E41" s="32">
        <v>4903.3173817567558</v>
      </c>
      <c r="F41" s="31">
        <f t="shared" si="0"/>
        <v>213.51396628137016</v>
      </c>
      <c r="G41" s="33">
        <v>86</v>
      </c>
      <c r="H41" s="33">
        <v>2</v>
      </c>
      <c r="I41" s="3" t="s">
        <v>53</v>
      </c>
      <c r="J41" s="34">
        <v>40.823746666700004</v>
      </c>
      <c r="K41" s="34">
        <v>72.162056666699996</v>
      </c>
      <c r="L41" s="15">
        <v>160</v>
      </c>
      <c r="M41" s="12"/>
      <c r="N41" s="12" t="s">
        <v>67</v>
      </c>
      <c r="O41" s="24" t="s">
        <v>19</v>
      </c>
    </row>
    <row r="42" spans="1:15" ht="30" customHeight="1">
      <c r="A42" s="7" t="s">
        <v>16</v>
      </c>
      <c r="B42" s="34" t="s">
        <v>612</v>
      </c>
      <c r="C42" s="34" t="s">
        <v>381</v>
      </c>
      <c r="D42" s="31">
        <v>18525.979535726347</v>
      </c>
      <c r="E42" s="32">
        <v>15514.047381756756</v>
      </c>
      <c r="F42" s="31">
        <f t="shared" si="0"/>
        <v>430.27602199565575</v>
      </c>
      <c r="G42" s="33">
        <v>98</v>
      </c>
      <c r="H42" s="33">
        <v>1</v>
      </c>
      <c r="I42" s="3" t="s">
        <v>37</v>
      </c>
      <c r="J42" s="34">
        <v>40.8202666667</v>
      </c>
      <c r="K42" s="34">
        <v>72.1321616667</v>
      </c>
      <c r="L42" s="20">
        <v>160</v>
      </c>
      <c r="M42" s="12" t="s">
        <v>68</v>
      </c>
      <c r="N42" s="12"/>
      <c r="O42" s="24" t="s">
        <v>19</v>
      </c>
    </row>
    <row r="43" spans="1:15" ht="30" customHeight="1">
      <c r="A43" s="7" t="s">
        <v>16</v>
      </c>
      <c r="B43" s="34" t="s">
        <v>612</v>
      </c>
      <c r="C43" s="34" t="s">
        <v>382</v>
      </c>
      <c r="D43" s="31">
        <v>25008.675485726344</v>
      </c>
      <c r="E43" s="32">
        <v>21185.697381756756</v>
      </c>
      <c r="F43" s="31">
        <f t="shared" si="0"/>
        <v>546.13972913851262</v>
      </c>
      <c r="G43" s="33">
        <v>130</v>
      </c>
      <c r="H43" s="33">
        <v>1</v>
      </c>
      <c r="I43" s="3" t="s">
        <v>53</v>
      </c>
      <c r="J43" s="34">
        <v>40.829568333300003</v>
      </c>
      <c r="K43" s="34">
        <v>72.120596666699996</v>
      </c>
      <c r="L43" s="20">
        <v>160</v>
      </c>
      <c r="M43" s="12" t="s">
        <v>69</v>
      </c>
      <c r="N43" s="12"/>
      <c r="O43" s="24" t="s">
        <v>19</v>
      </c>
    </row>
    <row r="44" spans="1:15" ht="30" customHeight="1">
      <c r="A44" s="7" t="s">
        <v>16</v>
      </c>
      <c r="B44" s="34" t="s">
        <v>612</v>
      </c>
      <c r="C44" s="34" t="s">
        <v>383</v>
      </c>
      <c r="D44" s="31">
        <v>29797.216835726351</v>
      </c>
      <c r="E44" s="32">
        <v>25375.14738175676</v>
      </c>
      <c r="F44" s="31">
        <f t="shared" si="0"/>
        <v>631.72420770994154</v>
      </c>
      <c r="G44" s="33">
        <v>165</v>
      </c>
      <c r="H44" s="33">
        <v>1</v>
      </c>
      <c r="I44" s="3" t="s">
        <v>53</v>
      </c>
      <c r="J44" s="34">
        <v>40.815874208499999</v>
      </c>
      <c r="K44" s="34">
        <v>72.111179034499997</v>
      </c>
      <c r="L44" s="20">
        <v>100</v>
      </c>
      <c r="M44" s="12" t="s">
        <v>70</v>
      </c>
      <c r="N44" s="12"/>
      <c r="O44" s="24" t="s">
        <v>19</v>
      </c>
    </row>
    <row r="45" spans="1:15" ht="30" customHeight="1">
      <c r="A45" s="7" t="s">
        <v>16</v>
      </c>
      <c r="B45" s="34" t="s">
        <v>609</v>
      </c>
      <c r="C45" s="34" t="s">
        <v>384</v>
      </c>
      <c r="D45" s="31">
        <v>134429.63139572632</v>
      </c>
      <c r="E45" s="32">
        <v>116917.06738175676</v>
      </c>
      <c r="F45" s="31">
        <f t="shared" si="0"/>
        <v>2501.7948591385089</v>
      </c>
      <c r="G45" s="33">
        <v>144</v>
      </c>
      <c r="H45" s="33">
        <v>0</v>
      </c>
      <c r="I45" s="3" t="s">
        <v>53</v>
      </c>
      <c r="J45" s="34">
        <v>40.875643333299998</v>
      </c>
      <c r="K45" s="34">
        <v>72.000879999999995</v>
      </c>
      <c r="L45" s="20">
        <v>160</v>
      </c>
      <c r="M45" s="12" t="s">
        <v>71</v>
      </c>
      <c r="N45" s="12"/>
      <c r="O45" s="24" t="s">
        <v>19</v>
      </c>
    </row>
    <row r="46" spans="1:15" ht="30" customHeight="1">
      <c r="A46" s="7" t="s">
        <v>16</v>
      </c>
      <c r="B46" s="34" t="s">
        <v>609</v>
      </c>
      <c r="C46" s="34" t="s">
        <v>385</v>
      </c>
      <c r="D46" s="31">
        <v>14013.118355726345</v>
      </c>
      <c r="E46" s="32">
        <v>11565.787381756754</v>
      </c>
      <c r="F46" s="31">
        <f t="shared" si="0"/>
        <v>349.61871056708435</v>
      </c>
      <c r="G46" s="33">
        <v>83</v>
      </c>
      <c r="H46" s="33">
        <v>2</v>
      </c>
      <c r="I46" s="3" t="s">
        <v>51</v>
      </c>
      <c r="J46" s="34">
        <v>40.88138</v>
      </c>
      <c r="K46" s="34">
        <v>72.003778333300005</v>
      </c>
      <c r="L46" s="20">
        <v>63</v>
      </c>
      <c r="M46" s="12" t="s">
        <v>72</v>
      </c>
      <c r="N46" s="12"/>
      <c r="O46" s="24" t="s">
        <v>19</v>
      </c>
    </row>
    <row r="47" spans="1:15" ht="30" customHeight="1">
      <c r="A47" s="7" t="s">
        <v>16</v>
      </c>
      <c r="B47" s="34" t="s">
        <v>610</v>
      </c>
      <c r="C47" s="34" t="s">
        <v>386</v>
      </c>
      <c r="D47" s="31">
        <v>22557.363395726345</v>
      </c>
      <c r="E47" s="32">
        <v>19041.067381756755</v>
      </c>
      <c r="F47" s="31">
        <f t="shared" si="0"/>
        <v>502.32800199565565</v>
      </c>
      <c r="G47" s="33">
        <v>117</v>
      </c>
      <c r="H47" s="33">
        <v>0</v>
      </c>
      <c r="I47" s="3" t="s">
        <v>51</v>
      </c>
      <c r="J47" s="34">
        <v>40.871155000000002</v>
      </c>
      <c r="K47" s="34">
        <v>72.043671666700007</v>
      </c>
      <c r="L47" s="20">
        <v>400</v>
      </c>
      <c r="M47" s="12" t="s">
        <v>73</v>
      </c>
      <c r="N47" s="12"/>
      <c r="O47" s="24" t="s">
        <v>19</v>
      </c>
    </row>
    <row r="48" spans="1:15" ht="30" customHeight="1">
      <c r="A48" s="7" t="s">
        <v>16</v>
      </c>
      <c r="B48" s="34" t="s">
        <v>613</v>
      </c>
      <c r="C48" s="34" t="s">
        <v>387</v>
      </c>
      <c r="D48" s="31">
        <v>6338.1476757263472</v>
      </c>
      <c r="E48" s="32">
        <v>4851.0273817567559</v>
      </c>
      <c r="F48" s="31">
        <f t="shared" si="0"/>
        <v>212.44575628137019</v>
      </c>
      <c r="G48" s="33">
        <v>72</v>
      </c>
      <c r="H48" s="33">
        <v>0</v>
      </c>
      <c r="I48" s="3" t="s">
        <v>51</v>
      </c>
      <c r="J48" s="34">
        <v>40.820733333200003</v>
      </c>
      <c r="K48" s="34">
        <v>72.163296666700006</v>
      </c>
      <c r="L48" s="20">
        <v>160</v>
      </c>
      <c r="M48" s="12" t="s">
        <v>74</v>
      </c>
      <c r="N48" s="12"/>
      <c r="O48" s="24" t="s">
        <v>19</v>
      </c>
    </row>
    <row r="49" spans="1:15" ht="30" customHeight="1">
      <c r="A49" s="7" t="s">
        <v>16</v>
      </c>
      <c r="B49" s="34" t="s">
        <v>613</v>
      </c>
      <c r="C49" s="34" t="s">
        <v>388</v>
      </c>
      <c r="D49" s="31">
        <v>17816.302265726343</v>
      </c>
      <c r="E49" s="32">
        <v>14893.157381756755</v>
      </c>
      <c r="F49" s="31">
        <f t="shared" si="0"/>
        <v>417.59212628136964</v>
      </c>
      <c r="G49" s="33">
        <v>97</v>
      </c>
      <c r="H49" s="33">
        <v>1</v>
      </c>
      <c r="I49" s="3" t="s">
        <v>75</v>
      </c>
      <c r="J49" s="34">
        <v>40.834948405699997</v>
      </c>
      <c r="K49" s="34">
        <v>72.194619056400001</v>
      </c>
      <c r="L49" s="20">
        <v>250</v>
      </c>
      <c r="M49" s="12" t="s">
        <v>76</v>
      </c>
      <c r="N49" s="12"/>
      <c r="O49" s="24" t="s">
        <v>19</v>
      </c>
    </row>
    <row r="50" spans="1:15" ht="30" customHeight="1">
      <c r="A50" s="7" t="s">
        <v>16</v>
      </c>
      <c r="B50" s="34" t="s">
        <v>607</v>
      </c>
      <c r="C50" s="34" t="s">
        <v>389</v>
      </c>
      <c r="D50" s="31">
        <v>35090.272670726357</v>
      </c>
      <c r="E50" s="32">
        <v>30005.992381756761</v>
      </c>
      <c r="F50" s="31">
        <f t="shared" si="0"/>
        <v>726.32575556708514</v>
      </c>
      <c r="G50" s="33">
        <v>158</v>
      </c>
      <c r="H50" s="33">
        <v>0</v>
      </c>
      <c r="I50" s="3" t="s">
        <v>75</v>
      </c>
      <c r="J50" s="34">
        <v>40.878189999999996</v>
      </c>
      <c r="K50" s="34">
        <v>71.958991666700001</v>
      </c>
      <c r="L50" s="20">
        <v>160</v>
      </c>
      <c r="M50" s="12" t="s">
        <v>77</v>
      </c>
      <c r="N50" s="12"/>
      <c r="O50" s="24" t="s">
        <v>19</v>
      </c>
    </row>
    <row r="51" spans="1:15" ht="30" customHeight="1">
      <c r="A51" s="7" t="s">
        <v>16</v>
      </c>
      <c r="B51" s="34" t="s">
        <v>607</v>
      </c>
      <c r="C51" s="34" t="s">
        <v>390</v>
      </c>
      <c r="D51" s="31">
        <v>23125.114355726349</v>
      </c>
      <c r="E51" s="32">
        <v>19537.787381756756</v>
      </c>
      <c r="F51" s="31">
        <f t="shared" si="0"/>
        <v>512.47528199565625</v>
      </c>
      <c r="G51" s="33">
        <v>113</v>
      </c>
      <c r="H51" s="33">
        <v>1</v>
      </c>
      <c r="I51" s="3" t="s">
        <v>56</v>
      </c>
      <c r="J51" s="34">
        <v>40.870921666699999</v>
      </c>
      <c r="K51" s="34">
        <v>71.95438</v>
      </c>
      <c r="L51" s="20">
        <v>250</v>
      </c>
      <c r="M51" s="12" t="s">
        <v>78</v>
      </c>
      <c r="N51" s="12"/>
      <c r="O51" s="24" t="s">
        <v>19</v>
      </c>
    </row>
    <row r="52" spans="1:15" ht="30" customHeight="1">
      <c r="A52" s="7" t="s">
        <v>16</v>
      </c>
      <c r="B52" s="34" t="s">
        <v>611</v>
      </c>
      <c r="C52" s="34" t="s">
        <v>391</v>
      </c>
      <c r="D52" s="31">
        <v>12997.711445726345</v>
      </c>
      <c r="E52" s="32">
        <v>10677.417381756753</v>
      </c>
      <c r="F52" s="31">
        <f t="shared" si="0"/>
        <v>331.47058056708454</v>
      </c>
      <c r="G52" s="33">
        <v>75</v>
      </c>
      <c r="H52" s="33">
        <v>0</v>
      </c>
      <c r="I52" s="3" t="s">
        <v>56</v>
      </c>
      <c r="J52" s="34">
        <v>40.872001666700001</v>
      </c>
      <c r="K52" s="34">
        <v>72.092106666700005</v>
      </c>
      <c r="L52" s="20">
        <v>160</v>
      </c>
      <c r="M52" s="12" t="s">
        <v>79</v>
      </c>
      <c r="N52" s="12"/>
      <c r="O52" s="24" t="s">
        <v>19</v>
      </c>
    </row>
    <row r="53" spans="1:15" ht="30" customHeight="1">
      <c r="A53" s="7" t="s">
        <v>16</v>
      </c>
      <c r="B53" s="34" t="s">
        <v>607</v>
      </c>
      <c r="C53" s="34" t="s">
        <v>392</v>
      </c>
      <c r="D53" s="31">
        <v>19515.303185726345</v>
      </c>
      <c r="E53" s="32">
        <v>16379.597381756752</v>
      </c>
      <c r="F53" s="31">
        <f t="shared" si="0"/>
        <v>447.95797199565612</v>
      </c>
      <c r="G53" s="33">
        <v>118</v>
      </c>
      <c r="H53" s="33">
        <v>0</v>
      </c>
      <c r="I53" s="3" t="s">
        <v>56</v>
      </c>
      <c r="J53" s="34">
        <v>40.872906666699997</v>
      </c>
      <c r="K53" s="34">
        <v>71.953943333300003</v>
      </c>
      <c r="L53" s="20">
        <v>40</v>
      </c>
      <c r="M53" s="12" t="s">
        <v>80</v>
      </c>
      <c r="N53" s="12"/>
      <c r="O53" s="24" t="s">
        <v>19</v>
      </c>
    </row>
    <row r="54" spans="1:15" ht="30" customHeight="1">
      <c r="A54" s="7" t="s">
        <v>16</v>
      </c>
      <c r="B54" s="34" t="s">
        <v>605</v>
      </c>
      <c r="C54" s="34" t="s">
        <v>322</v>
      </c>
      <c r="D54" s="31">
        <v>15249.592895726344</v>
      </c>
      <c r="E54" s="32">
        <v>12647.567381756755</v>
      </c>
      <c r="F54" s="31">
        <f t="shared" si="0"/>
        <v>371.71793056708418</v>
      </c>
      <c r="G54" s="33">
        <v>76</v>
      </c>
      <c r="H54" s="33">
        <v>4</v>
      </c>
      <c r="I54" s="3" t="s">
        <v>26</v>
      </c>
      <c r="J54" s="34">
        <v>40.877846666700002</v>
      </c>
      <c r="K54" s="34">
        <v>71.933464999999998</v>
      </c>
      <c r="L54" s="20">
        <v>63</v>
      </c>
      <c r="M54" s="12" t="s">
        <v>81</v>
      </c>
      <c r="N54" s="12"/>
      <c r="O54" s="24" t="s">
        <v>19</v>
      </c>
    </row>
    <row r="55" spans="1:15" ht="30" customHeight="1">
      <c r="A55" s="7" t="s">
        <v>16</v>
      </c>
      <c r="B55" s="34" t="s">
        <v>607</v>
      </c>
      <c r="C55" s="34" t="s">
        <v>393</v>
      </c>
      <c r="D55" s="31">
        <v>20680.923155726345</v>
      </c>
      <c r="E55" s="32">
        <v>17399.387381756755</v>
      </c>
      <c r="F55" s="31">
        <f t="shared" si="0"/>
        <v>468.79082485279861</v>
      </c>
      <c r="G55" s="33">
        <v>106</v>
      </c>
      <c r="H55" s="33">
        <v>1</v>
      </c>
      <c r="I55" s="3" t="s">
        <v>26</v>
      </c>
      <c r="J55" s="34">
        <v>40.873988333299998</v>
      </c>
      <c r="K55" s="34">
        <v>71.962540000000004</v>
      </c>
      <c r="L55" s="20">
        <v>100</v>
      </c>
      <c r="M55" s="12" t="s">
        <v>83</v>
      </c>
      <c r="N55" s="12"/>
      <c r="O55" s="24" t="s">
        <v>19</v>
      </c>
    </row>
    <row r="56" spans="1:15" ht="30" customHeight="1">
      <c r="A56" s="7" t="s">
        <v>16</v>
      </c>
      <c r="B56" s="34" t="s">
        <v>607</v>
      </c>
      <c r="C56" s="34" t="s">
        <v>394</v>
      </c>
      <c r="D56" s="31">
        <v>6634.5618657263458</v>
      </c>
      <c r="E56" s="32">
        <v>5110.3573817567558</v>
      </c>
      <c r="F56" s="31">
        <f t="shared" si="0"/>
        <v>217.74349770994144</v>
      </c>
      <c r="G56" s="33">
        <v>30</v>
      </c>
      <c r="H56" s="33">
        <v>0</v>
      </c>
      <c r="I56" s="3" t="s">
        <v>84</v>
      </c>
      <c r="J56" s="34">
        <v>40.870921666500003</v>
      </c>
      <c r="K56" s="34">
        <v>71.95438</v>
      </c>
      <c r="L56" s="20">
        <v>160</v>
      </c>
      <c r="M56" s="12"/>
      <c r="N56" s="12" t="s">
        <v>85</v>
      </c>
      <c r="O56" s="24" t="s">
        <v>19</v>
      </c>
    </row>
    <row r="57" spans="1:15" ht="30" customHeight="1">
      <c r="A57" s="7" t="s">
        <v>16</v>
      </c>
      <c r="B57" s="34" t="s">
        <v>607</v>
      </c>
      <c r="C57" s="34" t="s">
        <v>395</v>
      </c>
      <c r="D57" s="31">
        <v>28308.61935572635</v>
      </c>
      <c r="E57" s="32">
        <v>24072.787381756756</v>
      </c>
      <c r="F57" s="31">
        <f t="shared" si="0"/>
        <v>605.11885342422772</v>
      </c>
      <c r="G57" s="33">
        <v>66</v>
      </c>
      <c r="H57" s="33">
        <v>0</v>
      </c>
      <c r="I57" s="3" t="s">
        <v>86</v>
      </c>
      <c r="J57" s="34">
        <v>40.875286666699999</v>
      </c>
      <c r="K57" s="34">
        <v>71.9537066667</v>
      </c>
      <c r="L57" s="20">
        <v>100</v>
      </c>
      <c r="M57" s="12" t="s">
        <v>87</v>
      </c>
      <c r="N57" s="12"/>
      <c r="O57" s="24" t="s">
        <v>19</v>
      </c>
    </row>
    <row r="58" spans="1:15" ht="30" customHeight="1">
      <c r="A58" s="7" t="s">
        <v>16</v>
      </c>
      <c r="B58" s="34" t="s">
        <v>605</v>
      </c>
      <c r="C58" s="34" t="s">
        <v>328</v>
      </c>
      <c r="D58" s="31">
        <v>18290.247215726347</v>
      </c>
      <c r="E58" s="32">
        <v>15307.807381756755</v>
      </c>
      <c r="F58" s="31">
        <f t="shared" si="0"/>
        <v>426.06283342422751</v>
      </c>
      <c r="G58" s="33">
        <v>82</v>
      </c>
      <c r="H58" s="33">
        <v>0</v>
      </c>
      <c r="I58" s="3" t="s">
        <v>75</v>
      </c>
      <c r="J58" s="34">
        <v>40.870680129199997</v>
      </c>
      <c r="K58" s="34">
        <v>71.958324657800006</v>
      </c>
      <c r="L58" s="20">
        <v>100</v>
      </c>
      <c r="M58" s="12" t="s">
        <v>88</v>
      </c>
      <c r="N58" s="12"/>
      <c r="O58" s="24" t="s">
        <v>19</v>
      </c>
    </row>
    <row r="59" spans="1:15" ht="30" customHeight="1">
      <c r="A59" s="7" t="s">
        <v>16</v>
      </c>
      <c r="B59" s="34" t="s">
        <v>605</v>
      </c>
      <c r="C59" s="34" t="s">
        <v>334</v>
      </c>
      <c r="D59" s="31">
        <v>35822.75850572635</v>
      </c>
      <c r="E59" s="32">
        <v>30646.837381756759</v>
      </c>
      <c r="F59" s="31">
        <f t="shared" si="0"/>
        <v>739.41730342422727</v>
      </c>
      <c r="G59" s="33">
        <v>124</v>
      </c>
      <c r="H59" s="33">
        <v>1</v>
      </c>
      <c r="I59" s="3" t="s">
        <v>53</v>
      </c>
      <c r="J59" s="34">
        <v>40.867751666700002</v>
      </c>
      <c r="K59" s="34">
        <v>71.964714999999998</v>
      </c>
      <c r="L59" s="20">
        <v>100</v>
      </c>
      <c r="M59" s="12" t="s">
        <v>89</v>
      </c>
      <c r="N59" s="12"/>
      <c r="O59" s="24" t="s">
        <v>19</v>
      </c>
    </row>
    <row r="60" spans="1:15" ht="30" customHeight="1">
      <c r="A60" s="7" t="s">
        <v>16</v>
      </c>
      <c r="B60" s="34" t="s">
        <v>605</v>
      </c>
      <c r="C60" s="34" t="s">
        <v>329</v>
      </c>
      <c r="D60" s="31">
        <v>28667.807105726348</v>
      </c>
      <c r="E60" s="32">
        <v>24387.037381756756</v>
      </c>
      <c r="F60" s="31">
        <f t="shared" si="0"/>
        <v>611.53853199565594</v>
      </c>
      <c r="G60" s="33">
        <v>69</v>
      </c>
      <c r="H60" s="33">
        <v>0</v>
      </c>
      <c r="I60" s="3" t="s">
        <v>53</v>
      </c>
      <c r="J60" s="34">
        <v>40.874960000000002</v>
      </c>
      <c r="K60" s="34">
        <v>71.946984999999998</v>
      </c>
      <c r="L60" s="20">
        <v>63</v>
      </c>
      <c r="M60" s="12" t="s">
        <v>90</v>
      </c>
      <c r="N60" s="12"/>
      <c r="O60" s="24" t="s">
        <v>19</v>
      </c>
    </row>
    <row r="61" spans="1:15" ht="30" customHeight="1">
      <c r="A61" s="7" t="s">
        <v>16</v>
      </c>
      <c r="B61" s="34" t="s">
        <v>605</v>
      </c>
      <c r="C61" s="34" t="s">
        <v>314</v>
      </c>
      <c r="D61" s="31">
        <v>4130.8775157263472</v>
      </c>
      <c r="E61" s="32">
        <v>2919.907381756756</v>
      </c>
      <c r="F61" s="31">
        <f t="shared" si="0"/>
        <v>172.99573342422732</v>
      </c>
      <c r="G61" s="33">
        <v>18</v>
      </c>
      <c r="H61" s="33">
        <v>1</v>
      </c>
      <c r="I61" s="3" t="s">
        <v>75</v>
      </c>
      <c r="J61" s="34">
        <v>40.879668882099999</v>
      </c>
      <c r="K61" s="34">
        <v>71.946328058800006</v>
      </c>
      <c r="L61" s="14">
        <v>100</v>
      </c>
      <c r="M61" s="12" t="s">
        <v>91</v>
      </c>
      <c r="N61" s="12"/>
      <c r="O61" s="24" t="s">
        <v>19</v>
      </c>
    </row>
    <row r="62" spans="1:15" ht="30" customHeight="1">
      <c r="A62" s="7" t="s">
        <v>16</v>
      </c>
      <c r="B62" s="34" t="s">
        <v>605</v>
      </c>
      <c r="C62" s="34" t="s">
        <v>313</v>
      </c>
      <c r="D62" s="31">
        <v>19299.801965726347</v>
      </c>
      <c r="E62" s="32">
        <v>16191.057381756755</v>
      </c>
      <c r="F62" s="31">
        <f t="shared" si="0"/>
        <v>444.10636913851312</v>
      </c>
      <c r="G62" s="33">
        <v>49</v>
      </c>
      <c r="H62" s="33">
        <v>3</v>
      </c>
      <c r="I62" s="3" t="s">
        <v>26</v>
      </c>
      <c r="J62" s="34">
        <v>40.889975940799999</v>
      </c>
      <c r="K62" s="34">
        <v>71.955590816200001</v>
      </c>
      <c r="L62" s="14">
        <v>100</v>
      </c>
      <c r="M62" s="12" t="s">
        <v>92</v>
      </c>
      <c r="N62" s="12"/>
      <c r="O62" s="24" t="s">
        <v>19</v>
      </c>
    </row>
    <row r="63" spans="1:15" ht="30" customHeight="1">
      <c r="A63" s="7" t="s">
        <v>16</v>
      </c>
      <c r="B63" s="34" t="s">
        <v>608</v>
      </c>
      <c r="C63" s="34" t="s">
        <v>396</v>
      </c>
      <c r="D63" s="31">
        <v>74317.295435726337</v>
      </c>
      <c r="E63" s="32">
        <v>64325.347381756757</v>
      </c>
      <c r="F63" s="31">
        <f t="shared" si="0"/>
        <v>1427.4211505670828</v>
      </c>
      <c r="G63" s="33">
        <v>27</v>
      </c>
      <c r="H63" s="33">
        <v>1</v>
      </c>
      <c r="I63" s="3" t="s">
        <v>86</v>
      </c>
      <c r="J63" s="34">
        <v>40.879336666500002</v>
      </c>
      <c r="K63" s="34">
        <v>71.986581666700005</v>
      </c>
      <c r="L63" s="14">
        <v>100</v>
      </c>
      <c r="M63" s="12"/>
      <c r="N63" s="12" t="s">
        <v>93</v>
      </c>
      <c r="O63" s="24" t="s">
        <v>19</v>
      </c>
    </row>
    <row r="64" spans="1:15" ht="30" customHeight="1">
      <c r="A64" s="7" t="s">
        <v>16</v>
      </c>
      <c r="B64" s="34" t="s">
        <v>608</v>
      </c>
      <c r="C64" s="34" t="s">
        <v>397</v>
      </c>
      <c r="D64" s="31">
        <v>74546.306915726338</v>
      </c>
      <c r="E64" s="32">
        <v>64525.707381756758</v>
      </c>
      <c r="F64" s="31">
        <f t="shared" si="0"/>
        <v>1431.5142191385114</v>
      </c>
      <c r="G64" s="33">
        <v>145</v>
      </c>
      <c r="H64" s="33">
        <v>0</v>
      </c>
      <c r="I64" s="4" t="s">
        <v>94</v>
      </c>
      <c r="J64" s="34">
        <v>40.884120000000003</v>
      </c>
      <c r="K64" s="34">
        <v>71.971571666700001</v>
      </c>
      <c r="L64" s="14">
        <v>160</v>
      </c>
      <c r="M64" s="12" t="s">
        <v>95</v>
      </c>
      <c r="N64" s="12"/>
      <c r="O64" s="24" t="s">
        <v>19</v>
      </c>
    </row>
    <row r="65" spans="1:15" ht="30" customHeight="1">
      <c r="A65" s="7" t="s">
        <v>16</v>
      </c>
      <c r="B65" s="34" t="s">
        <v>605</v>
      </c>
      <c r="C65" s="34" t="s">
        <v>332</v>
      </c>
      <c r="D65" s="31">
        <v>25286.538785726349</v>
      </c>
      <c r="E65" s="32">
        <v>21428.797381756758</v>
      </c>
      <c r="F65" s="31">
        <f t="shared" si="0"/>
        <v>551.10591485279861</v>
      </c>
      <c r="G65" s="33">
        <v>60</v>
      </c>
      <c r="H65" s="33">
        <v>0</v>
      </c>
      <c r="I65" s="4" t="s">
        <v>94</v>
      </c>
      <c r="J65" s="34">
        <v>40.883293333300003</v>
      </c>
      <c r="K65" s="34">
        <v>71.964291666700007</v>
      </c>
      <c r="L65" s="14">
        <v>100</v>
      </c>
      <c r="M65" s="12" t="s">
        <v>96</v>
      </c>
      <c r="N65" s="12"/>
      <c r="O65" s="24" t="s">
        <v>19</v>
      </c>
    </row>
    <row r="66" spans="1:15" ht="30" customHeight="1">
      <c r="A66" s="7" t="s">
        <v>16</v>
      </c>
      <c r="B66" s="34" t="s">
        <v>609</v>
      </c>
      <c r="C66" s="34" t="s">
        <v>398</v>
      </c>
      <c r="D66" s="31">
        <v>52485.218195726353</v>
      </c>
      <c r="E66" s="32">
        <v>45224.667381756757</v>
      </c>
      <c r="F66" s="31">
        <f t="shared" si="0"/>
        <v>1037.2215448527993</v>
      </c>
      <c r="G66" s="33">
        <v>86</v>
      </c>
      <c r="H66" s="33">
        <v>2</v>
      </c>
      <c r="I66" s="4" t="s">
        <v>94</v>
      </c>
      <c r="J66" s="34">
        <v>40.876348333300001</v>
      </c>
      <c r="K66" s="34">
        <v>71.981988333299995</v>
      </c>
      <c r="L66" s="14">
        <v>100</v>
      </c>
      <c r="M66" s="12" t="s">
        <v>97</v>
      </c>
      <c r="N66" s="12"/>
      <c r="O66" s="24" t="s">
        <v>19</v>
      </c>
    </row>
    <row r="67" spans="1:15" ht="30" customHeight="1">
      <c r="A67" s="7" t="s">
        <v>16</v>
      </c>
      <c r="B67" s="34" t="s">
        <v>605</v>
      </c>
      <c r="C67" s="34" t="s">
        <v>331</v>
      </c>
      <c r="D67" s="31">
        <v>19348.768085726344</v>
      </c>
      <c r="E67" s="32">
        <v>16233.897381756755</v>
      </c>
      <c r="F67" s="31">
        <f t="shared" ref="F67:F130" si="1">(+D67-E67)/7</f>
        <v>444.98152913851271</v>
      </c>
      <c r="G67" s="33">
        <v>72</v>
      </c>
      <c r="H67" s="33">
        <v>2</v>
      </c>
      <c r="I67" s="4" t="s">
        <v>94</v>
      </c>
      <c r="J67" s="34">
        <v>40.883031666699999</v>
      </c>
      <c r="K67" s="34">
        <v>71.961638333300002</v>
      </c>
      <c r="L67" s="14">
        <v>250</v>
      </c>
      <c r="M67" s="12" t="s">
        <v>98</v>
      </c>
      <c r="N67" s="12"/>
      <c r="O67" s="24" t="s">
        <v>19</v>
      </c>
    </row>
    <row r="68" spans="1:15" ht="30" customHeight="1">
      <c r="A68" s="7" t="s">
        <v>16</v>
      </c>
      <c r="B68" s="34" t="s">
        <v>605</v>
      </c>
      <c r="C68" s="34" t="s">
        <v>340</v>
      </c>
      <c r="D68" s="31">
        <v>38880.123485726355</v>
      </c>
      <c r="E68" s="32">
        <v>33321.697381756756</v>
      </c>
      <c r="F68" s="31">
        <f t="shared" si="1"/>
        <v>794.06087199565707</v>
      </c>
      <c r="G68" s="33">
        <v>75</v>
      </c>
      <c r="H68" s="33">
        <v>3</v>
      </c>
      <c r="I68" s="4" t="s">
        <v>86</v>
      </c>
      <c r="J68" s="34">
        <v>40.893335</v>
      </c>
      <c r="K68" s="34">
        <v>71.929253333299997</v>
      </c>
      <c r="L68" s="14">
        <v>160</v>
      </c>
      <c r="M68" s="12"/>
      <c r="N68" s="12" t="s">
        <v>99</v>
      </c>
      <c r="O68" s="24" t="s">
        <v>19</v>
      </c>
    </row>
    <row r="69" spans="1:15" ht="30" customHeight="1">
      <c r="A69" s="7" t="s">
        <v>16</v>
      </c>
      <c r="B69" s="34" t="s">
        <v>605</v>
      </c>
      <c r="C69" s="34" t="s">
        <v>336</v>
      </c>
      <c r="D69" s="31">
        <v>30139.23672572635</v>
      </c>
      <c r="E69" s="32">
        <v>25674.37738175676</v>
      </c>
      <c r="F69" s="31">
        <f t="shared" si="1"/>
        <v>637.83704913851295</v>
      </c>
      <c r="G69" s="33">
        <v>59</v>
      </c>
      <c r="H69" s="33">
        <v>0</v>
      </c>
      <c r="I69" s="4" t="s">
        <v>86</v>
      </c>
      <c r="J69" s="34">
        <v>40.891123333300001</v>
      </c>
      <c r="K69" s="34">
        <v>71.940986666699999</v>
      </c>
      <c r="L69" s="14">
        <v>100</v>
      </c>
      <c r="M69" s="12" t="s">
        <v>100</v>
      </c>
      <c r="N69" s="12"/>
      <c r="O69" s="24" t="s">
        <v>19</v>
      </c>
    </row>
    <row r="70" spans="1:15" ht="30" customHeight="1">
      <c r="A70" s="7" t="s">
        <v>16</v>
      </c>
      <c r="B70" s="34" t="s">
        <v>605</v>
      </c>
      <c r="C70" s="34" t="s">
        <v>326</v>
      </c>
      <c r="D70" s="31">
        <v>17262.061565726341</v>
      </c>
      <c r="E70" s="32">
        <v>14408.257381756754</v>
      </c>
      <c r="F70" s="31">
        <f t="shared" si="1"/>
        <v>407.68631199565527</v>
      </c>
      <c r="G70" s="33">
        <v>25</v>
      </c>
      <c r="H70" s="33">
        <v>1</v>
      </c>
      <c r="I70" s="6" t="s">
        <v>86</v>
      </c>
      <c r="J70" s="34">
        <v>40.880083115799998</v>
      </c>
      <c r="K70" s="34">
        <v>71.942641781600003</v>
      </c>
      <c r="L70" s="14">
        <v>250</v>
      </c>
      <c r="M70" s="12" t="s">
        <v>101</v>
      </c>
      <c r="N70" s="12"/>
      <c r="O70" s="24" t="s">
        <v>19</v>
      </c>
    </row>
    <row r="71" spans="1:15" ht="30" customHeight="1">
      <c r="A71" s="7" t="s">
        <v>16</v>
      </c>
      <c r="B71" s="34" t="s">
        <v>605</v>
      </c>
      <c r="C71" s="34" t="s">
        <v>319</v>
      </c>
      <c r="D71" s="31">
        <v>23702.180765726349</v>
      </c>
      <c r="E71" s="32">
        <v>20042.657381756759</v>
      </c>
      <c r="F71" s="31">
        <f t="shared" si="1"/>
        <v>522.78905485279859</v>
      </c>
      <c r="G71" s="33">
        <v>135</v>
      </c>
      <c r="H71" s="33">
        <v>1</v>
      </c>
      <c r="I71" s="6" t="s">
        <v>94</v>
      </c>
      <c r="J71" s="34">
        <v>40.874026666600002</v>
      </c>
      <c r="K71" s="34">
        <v>72.094549999700007</v>
      </c>
      <c r="L71" s="19">
        <v>100</v>
      </c>
      <c r="M71" s="12" t="s">
        <v>102</v>
      </c>
      <c r="N71" s="12"/>
      <c r="O71" s="24" t="s">
        <v>19</v>
      </c>
    </row>
    <row r="72" spans="1:15" ht="30" customHeight="1">
      <c r="A72" s="5" t="s">
        <v>103</v>
      </c>
      <c r="B72" s="34" t="s">
        <v>607</v>
      </c>
      <c r="C72" s="34" t="s">
        <v>399</v>
      </c>
      <c r="D72" s="31">
        <v>22534.183355726345</v>
      </c>
      <c r="E72" s="32">
        <v>19020.787381756756</v>
      </c>
      <c r="F72" s="31">
        <f t="shared" si="1"/>
        <v>501.91371056708419</v>
      </c>
      <c r="G72" s="33">
        <v>64</v>
      </c>
      <c r="H72" s="33">
        <v>1</v>
      </c>
      <c r="I72" s="6" t="s">
        <v>104</v>
      </c>
      <c r="J72" s="34">
        <v>40.875187246099998</v>
      </c>
      <c r="K72" s="34">
        <v>71.961364354899999</v>
      </c>
      <c r="L72" s="20">
        <v>60</v>
      </c>
      <c r="M72" s="12" t="s">
        <v>105</v>
      </c>
      <c r="N72" s="12"/>
      <c r="O72" s="24" t="s">
        <v>19</v>
      </c>
    </row>
    <row r="73" spans="1:15" ht="30" customHeight="1">
      <c r="A73" s="5" t="s">
        <v>103</v>
      </c>
      <c r="B73" s="34" t="s">
        <v>605</v>
      </c>
      <c r="C73" s="34" t="s">
        <v>338</v>
      </c>
      <c r="D73" s="31">
        <v>17202.111215726345</v>
      </c>
      <c r="E73" s="32">
        <v>14355.807381756757</v>
      </c>
      <c r="F73" s="31">
        <f t="shared" si="1"/>
        <v>406.61483342422696</v>
      </c>
      <c r="G73" s="33">
        <v>27</v>
      </c>
      <c r="H73" s="33">
        <v>0</v>
      </c>
      <c r="I73" s="3" t="s">
        <v>106</v>
      </c>
      <c r="J73" s="34">
        <v>40.876370000000001</v>
      </c>
      <c r="K73" s="34">
        <v>71.934290000000004</v>
      </c>
      <c r="L73" s="20">
        <v>100</v>
      </c>
      <c r="M73" s="12" t="s">
        <v>107</v>
      </c>
      <c r="N73" s="12"/>
      <c r="O73" s="24" t="s">
        <v>19</v>
      </c>
    </row>
    <row r="74" spans="1:15" ht="30" customHeight="1">
      <c r="A74" s="5" t="s">
        <v>103</v>
      </c>
      <c r="B74" s="34" t="s">
        <v>608</v>
      </c>
      <c r="C74" s="34" t="s">
        <v>400</v>
      </c>
      <c r="D74" s="31">
        <v>7883.9180157263472</v>
      </c>
      <c r="E74" s="32">
        <v>6203.407381756756</v>
      </c>
      <c r="F74" s="31">
        <f t="shared" si="1"/>
        <v>240.07294770994162</v>
      </c>
      <c r="G74" s="33">
        <v>109</v>
      </c>
      <c r="H74" s="33">
        <v>1</v>
      </c>
      <c r="I74" s="3" t="s">
        <v>106</v>
      </c>
      <c r="J74" s="34">
        <v>40.871744999999997</v>
      </c>
      <c r="K74" s="34">
        <v>71.974869999999996</v>
      </c>
      <c r="L74" s="20">
        <v>160</v>
      </c>
      <c r="M74" s="12"/>
      <c r="N74" s="12" t="s">
        <v>108</v>
      </c>
      <c r="O74" s="24" t="s">
        <v>19</v>
      </c>
    </row>
    <row r="75" spans="1:15" ht="30" customHeight="1">
      <c r="A75" s="5" t="s">
        <v>103</v>
      </c>
      <c r="B75" s="34" t="s">
        <v>608</v>
      </c>
      <c r="C75" s="34" t="s">
        <v>401</v>
      </c>
      <c r="D75" s="31">
        <v>8571.1581957263443</v>
      </c>
      <c r="E75" s="32">
        <v>6804.6673817567544</v>
      </c>
      <c r="F75" s="31">
        <f t="shared" si="1"/>
        <v>252.35583056708427</v>
      </c>
      <c r="G75" s="33">
        <v>11</v>
      </c>
      <c r="H75" s="33">
        <v>0</v>
      </c>
      <c r="I75" s="3" t="s">
        <v>106</v>
      </c>
      <c r="J75" s="34">
        <v>40.876070782500001</v>
      </c>
      <c r="K75" s="34">
        <v>71.971403360400004</v>
      </c>
      <c r="L75" s="20">
        <v>250</v>
      </c>
      <c r="M75" s="12" t="s">
        <v>109</v>
      </c>
      <c r="N75" s="12"/>
      <c r="O75" s="24" t="s">
        <v>19</v>
      </c>
    </row>
    <row r="76" spans="1:15" ht="30" customHeight="1">
      <c r="A76" s="5" t="s">
        <v>103</v>
      </c>
      <c r="B76" s="34" t="s">
        <v>608</v>
      </c>
      <c r="C76" s="34" t="s">
        <v>402</v>
      </c>
      <c r="D76" s="31">
        <v>25851.820865726346</v>
      </c>
      <c r="E76" s="32">
        <v>21923.357381756756</v>
      </c>
      <c r="F76" s="31">
        <f t="shared" si="1"/>
        <v>561.20906913851286</v>
      </c>
      <c r="G76" s="33">
        <v>60</v>
      </c>
      <c r="H76" s="33">
        <v>0</v>
      </c>
      <c r="I76" s="3" t="s">
        <v>111</v>
      </c>
      <c r="J76" s="34">
        <v>40.882694999999998</v>
      </c>
      <c r="K76" s="34">
        <v>71.966549999999998</v>
      </c>
      <c r="L76" s="20">
        <v>250</v>
      </c>
      <c r="M76" s="12" t="s">
        <v>112</v>
      </c>
      <c r="N76" s="12"/>
      <c r="O76" s="24" t="s">
        <v>19</v>
      </c>
    </row>
    <row r="77" spans="1:15" ht="30" customHeight="1">
      <c r="A77" s="5" t="s">
        <v>103</v>
      </c>
      <c r="B77" s="34" t="s">
        <v>605</v>
      </c>
      <c r="C77" s="34" t="s">
        <v>325</v>
      </c>
      <c r="D77" s="31">
        <v>19871.530565726345</v>
      </c>
      <c r="E77" s="32">
        <v>16691.257381756754</v>
      </c>
      <c r="F77" s="31">
        <f t="shared" si="1"/>
        <v>454.32474056708452</v>
      </c>
      <c r="G77" s="33">
        <v>95</v>
      </c>
      <c r="H77" s="33">
        <v>0</v>
      </c>
      <c r="I77" s="3" t="s">
        <v>111</v>
      </c>
      <c r="J77" s="34">
        <v>40.881264999999999</v>
      </c>
      <c r="K77" s="34">
        <v>71.952876666700007</v>
      </c>
      <c r="L77" s="20">
        <v>160</v>
      </c>
      <c r="M77" s="12" t="s">
        <v>113</v>
      </c>
      <c r="N77" s="12"/>
      <c r="O77" s="24" t="s">
        <v>19</v>
      </c>
    </row>
    <row r="78" spans="1:15" ht="30" customHeight="1">
      <c r="A78" s="5" t="s">
        <v>103</v>
      </c>
      <c r="B78" s="34" t="s">
        <v>608</v>
      </c>
      <c r="C78" s="34" t="s">
        <v>403</v>
      </c>
      <c r="D78" s="31">
        <v>38286.860765726356</v>
      </c>
      <c r="E78" s="32">
        <v>32802.657381756755</v>
      </c>
      <c r="F78" s="31">
        <f t="shared" si="1"/>
        <v>783.45762628137163</v>
      </c>
      <c r="G78" s="33">
        <v>93</v>
      </c>
      <c r="H78" s="33">
        <v>0</v>
      </c>
      <c r="I78" s="3" t="s">
        <v>114</v>
      </c>
      <c r="J78" s="34">
        <v>40.879336666500002</v>
      </c>
      <c r="K78" s="34">
        <v>71.986581666700005</v>
      </c>
      <c r="L78" s="20">
        <v>100</v>
      </c>
      <c r="M78" s="12" t="s">
        <v>115</v>
      </c>
      <c r="N78" s="12"/>
      <c r="O78" s="24" t="s">
        <v>19</v>
      </c>
    </row>
    <row r="79" spans="1:15" ht="30" customHeight="1">
      <c r="A79" s="5" t="s">
        <v>103</v>
      </c>
      <c r="B79" s="34" t="s">
        <v>608</v>
      </c>
      <c r="C79" s="34" t="s">
        <v>404</v>
      </c>
      <c r="D79" s="31">
        <v>72461.680655726348</v>
      </c>
      <c r="E79" s="32">
        <v>62701.887381756758</v>
      </c>
      <c r="F79" s="31">
        <f t="shared" si="1"/>
        <v>1394.2561819956557</v>
      </c>
      <c r="G79" s="33">
        <v>104</v>
      </c>
      <c r="H79" s="33">
        <v>3</v>
      </c>
      <c r="I79" s="3" t="s">
        <v>116</v>
      </c>
      <c r="J79" s="34">
        <v>40.874789999999997</v>
      </c>
      <c r="K79" s="34">
        <v>71.973321666700002</v>
      </c>
      <c r="L79" s="20">
        <v>160</v>
      </c>
      <c r="M79" s="12" t="s">
        <v>117</v>
      </c>
      <c r="N79" s="12"/>
      <c r="O79" s="24" t="s">
        <v>19</v>
      </c>
    </row>
    <row r="80" spans="1:15" ht="30" customHeight="1">
      <c r="A80" s="5" t="s">
        <v>103</v>
      </c>
      <c r="B80" s="34" t="s">
        <v>608</v>
      </c>
      <c r="C80" s="34" t="s">
        <v>405</v>
      </c>
      <c r="D80" s="31">
        <v>12623.607545726345</v>
      </c>
      <c r="E80" s="32">
        <v>10350.117381756754</v>
      </c>
      <c r="F80" s="31">
        <f t="shared" si="1"/>
        <v>324.78430913851298</v>
      </c>
      <c r="G80" s="33">
        <v>54</v>
      </c>
      <c r="H80" s="33">
        <v>2</v>
      </c>
      <c r="I80" s="3" t="s">
        <v>118</v>
      </c>
      <c r="J80" s="34">
        <v>40.870626666699998</v>
      </c>
      <c r="K80" s="34">
        <v>72.030681666700005</v>
      </c>
      <c r="L80" s="20">
        <v>160</v>
      </c>
      <c r="M80" s="12" t="s">
        <v>119</v>
      </c>
      <c r="N80" s="12"/>
      <c r="O80" s="24" t="s">
        <v>19</v>
      </c>
    </row>
    <row r="81" spans="1:15" ht="30" customHeight="1">
      <c r="A81" s="5" t="s">
        <v>103</v>
      </c>
      <c r="B81" s="34" t="s">
        <v>608</v>
      </c>
      <c r="C81" s="34" t="s">
        <v>406</v>
      </c>
      <c r="D81" s="31">
        <v>16453.38906572634</v>
      </c>
      <c r="E81" s="32">
        <v>13700.757381756754</v>
      </c>
      <c r="F81" s="31">
        <f t="shared" si="1"/>
        <v>393.23309770994092</v>
      </c>
      <c r="G81" s="33">
        <v>92</v>
      </c>
      <c r="H81" s="33">
        <v>1</v>
      </c>
      <c r="I81" s="3" t="s">
        <v>120</v>
      </c>
      <c r="J81" s="34">
        <v>40.885669999999998</v>
      </c>
      <c r="K81" s="34">
        <v>71.975136666699996</v>
      </c>
      <c r="L81" s="20">
        <v>160</v>
      </c>
      <c r="M81" s="12" t="s">
        <v>121</v>
      </c>
      <c r="N81" s="12"/>
      <c r="O81" s="24" t="s">
        <v>19</v>
      </c>
    </row>
    <row r="82" spans="1:15" ht="30" customHeight="1">
      <c r="A82" s="7" t="s">
        <v>16</v>
      </c>
      <c r="B82" s="34" t="s">
        <v>608</v>
      </c>
      <c r="C82" s="34" t="s">
        <v>407</v>
      </c>
      <c r="D82" s="31">
        <v>10815.987335726344</v>
      </c>
      <c r="E82" s="32">
        <v>8768.6473817567548</v>
      </c>
      <c r="F82" s="31">
        <f t="shared" si="1"/>
        <v>292.47713628136989</v>
      </c>
      <c r="G82" s="33">
        <v>76</v>
      </c>
      <c r="H82" s="33">
        <v>3</v>
      </c>
      <c r="I82" s="3" t="s">
        <v>58</v>
      </c>
      <c r="J82" s="34">
        <v>40.875881666700003</v>
      </c>
      <c r="K82" s="34">
        <v>71.976506666700004</v>
      </c>
      <c r="L82" s="20">
        <v>63</v>
      </c>
      <c r="M82" s="12" t="s">
        <v>122</v>
      </c>
      <c r="N82" s="12"/>
      <c r="O82" s="24" t="s">
        <v>19</v>
      </c>
    </row>
    <row r="83" spans="1:15" ht="30" customHeight="1">
      <c r="A83" s="5" t="s">
        <v>103</v>
      </c>
      <c r="B83" s="34" t="s">
        <v>610</v>
      </c>
      <c r="C83" s="34" t="s">
        <v>408</v>
      </c>
      <c r="D83" s="31">
        <v>26838.43560572635</v>
      </c>
      <c r="E83" s="32">
        <v>22786.537381756756</v>
      </c>
      <c r="F83" s="31">
        <f t="shared" si="1"/>
        <v>578.84260342422772</v>
      </c>
      <c r="G83" s="33">
        <v>152</v>
      </c>
      <c r="H83" s="33">
        <v>1</v>
      </c>
      <c r="I83" s="3" t="s">
        <v>123</v>
      </c>
      <c r="J83" s="34">
        <v>40.876424999999998</v>
      </c>
      <c r="K83" s="34">
        <v>72.024273333300002</v>
      </c>
      <c r="L83" s="20">
        <v>100</v>
      </c>
      <c r="M83" s="12" t="s">
        <v>124</v>
      </c>
      <c r="N83" s="12"/>
      <c r="O83" s="24" t="s">
        <v>19</v>
      </c>
    </row>
    <row r="84" spans="1:15" ht="30" customHeight="1">
      <c r="A84" s="7" t="s">
        <v>16</v>
      </c>
      <c r="B84" s="34" t="s">
        <v>608</v>
      </c>
      <c r="C84" s="34" t="s">
        <v>409</v>
      </c>
      <c r="D84" s="31">
        <v>13277.140655726347</v>
      </c>
      <c r="E84" s="32">
        <v>10921.887381756755</v>
      </c>
      <c r="F84" s="31">
        <f t="shared" si="1"/>
        <v>336.46475342422752</v>
      </c>
      <c r="G84" s="33">
        <v>167</v>
      </c>
      <c r="H84" s="33">
        <v>1</v>
      </c>
      <c r="I84" s="3"/>
      <c r="J84" s="34">
        <v>40.870156999999999</v>
      </c>
      <c r="K84" s="34">
        <v>71.971063000000001</v>
      </c>
      <c r="L84" s="20">
        <v>100</v>
      </c>
      <c r="M84" s="12"/>
      <c r="N84" s="12" t="s">
        <v>125</v>
      </c>
      <c r="O84" s="24" t="s">
        <v>19</v>
      </c>
    </row>
    <row r="85" spans="1:15" ht="30" customHeight="1">
      <c r="A85" s="7" t="s">
        <v>16</v>
      </c>
      <c r="B85" s="34" t="s">
        <v>609</v>
      </c>
      <c r="C85" s="34" t="s">
        <v>410</v>
      </c>
      <c r="D85" s="31">
        <v>17845.505915726346</v>
      </c>
      <c r="E85" s="32">
        <v>14918.707381756754</v>
      </c>
      <c r="F85" s="31">
        <f t="shared" si="1"/>
        <v>418.11407628137022</v>
      </c>
      <c r="G85" s="33">
        <v>73</v>
      </c>
      <c r="H85" s="33">
        <v>1</v>
      </c>
      <c r="I85" s="3"/>
      <c r="J85" s="34">
        <v>40.8745966667</v>
      </c>
      <c r="K85" s="34">
        <v>71.988754999999998</v>
      </c>
      <c r="L85" s="20">
        <v>160</v>
      </c>
      <c r="M85" s="12" t="s">
        <v>126</v>
      </c>
      <c r="N85" s="12"/>
      <c r="O85" s="24" t="s">
        <v>19</v>
      </c>
    </row>
    <row r="86" spans="1:15" ht="30" customHeight="1">
      <c r="A86" s="7" t="s">
        <v>16</v>
      </c>
      <c r="B86" s="34" t="s">
        <v>610</v>
      </c>
      <c r="C86" s="34" t="s">
        <v>411</v>
      </c>
      <c r="D86" s="31">
        <v>14749.187495726344</v>
      </c>
      <c r="E86" s="32">
        <v>12209.767381756754</v>
      </c>
      <c r="F86" s="31">
        <f t="shared" si="1"/>
        <v>362.77430199565578</v>
      </c>
      <c r="G86" s="33">
        <v>55</v>
      </c>
      <c r="H86" s="33">
        <v>1</v>
      </c>
      <c r="I86" s="4"/>
      <c r="J86" s="34">
        <v>40.878901666700003</v>
      </c>
      <c r="K86" s="34">
        <v>72.031078333300002</v>
      </c>
      <c r="L86" s="20">
        <v>250</v>
      </c>
      <c r="M86" s="12" t="s">
        <v>127</v>
      </c>
      <c r="N86" s="12"/>
      <c r="O86" s="24" t="s">
        <v>19</v>
      </c>
    </row>
    <row r="87" spans="1:15" ht="30" customHeight="1">
      <c r="A87" s="7" t="s">
        <v>16</v>
      </c>
      <c r="B87" s="34" t="s">
        <v>610</v>
      </c>
      <c r="C87" s="34" t="s">
        <v>412</v>
      </c>
      <c r="D87" s="31">
        <v>10596.599915726345</v>
      </c>
      <c r="E87" s="32">
        <v>8576.7073817567543</v>
      </c>
      <c r="F87" s="31">
        <f t="shared" si="1"/>
        <v>288.55607628137011</v>
      </c>
      <c r="G87" s="33">
        <v>34</v>
      </c>
      <c r="H87" s="33">
        <v>0</v>
      </c>
      <c r="I87" s="4"/>
      <c r="J87" s="34">
        <v>40.877465000000001</v>
      </c>
      <c r="K87" s="34">
        <v>72.08811</v>
      </c>
      <c r="L87" s="20">
        <v>100</v>
      </c>
      <c r="M87" s="12"/>
      <c r="N87" s="12" t="s">
        <v>128</v>
      </c>
      <c r="O87" s="24" t="s">
        <v>19</v>
      </c>
    </row>
    <row r="88" spans="1:15" ht="30" customHeight="1">
      <c r="A88" s="7" t="s">
        <v>16</v>
      </c>
      <c r="B88" s="34" t="s">
        <v>610</v>
      </c>
      <c r="C88" s="34" t="s">
        <v>413</v>
      </c>
      <c r="D88" s="31">
        <v>15565.003745726344</v>
      </c>
      <c r="E88" s="32">
        <v>12923.517381756754</v>
      </c>
      <c r="F88" s="31">
        <f t="shared" si="1"/>
        <v>377.35519485279866</v>
      </c>
      <c r="G88" s="33">
        <v>90</v>
      </c>
      <c r="H88" s="33">
        <v>2</v>
      </c>
      <c r="I88" s="4"/>
      <c r="J88" s="34">
        <v>40.875194999999998</v>
      </c>
      <c r="K88" s="34">
        <v>72.038955000000001</v>
      </c>
      <c r="L88" s="20">
        <v>100</v>
      </c>
      <c r="M88" s="12" t="s">
        <v>129</v>
      </c>
      <c r="N88" s="12"/>
      <c r="O88" s="24" t="s">
        <v>19</v>
      </c>
    </row>
    <row r="89" spans="1:15" ht="30" customHeight="1">
      <c r="A89" s="7" t="s">
        <v>16</v>
      </c>
      <c r="B89" s="34" t="s">
        <v>610</v>
      </c>
      <c r="C89" s="34" t="s">
        <v>414</v>
      </c>
      <c r="D89" s="31">
        <v>6823.7397957263474</v>
      </c>
      <c r="E89" s="32">
        <v>5275.867381756756</v>
      </c>
      <c r="F89" s="31">
        <f t="shared" si="1"/>
        <v>221.12463056708449</v>
      </c>
      <c r="G89" s="33">
        <v>72</v>
      </c>
      <c r="H89" s="33">
        <v>0</v>
      </c>
      <c r="I89" s="4" t="s">
        <v>17</v>
      </c>
      <c r="J89" s="34">
        <v>40.879893333299997</v>
      </c>
      <c r="K89" s="34">
        <v>72.067336666700001</v>
      </c>
      <c r="L89" s="20">
        <v>250</v>
      </c>
      <c r="M89" s="12" t="s">
        <v>130</v>
      </c>
      <c r="N89" s="12"/>
      <c r="O89" s="24" t="s">
        <v>19</v>
      </c>
    </row>
    <row r="90" spans="1:15" ht="30" customHeight="1">
      <c r="A90" s="7" t="s">
        <v>16</v>
      </c>
      <c r="B90" s="34" t="s">
        <v>610</v>
      </c>
      <c r="C90" s="34" t="s">
        <v>415</v>
      </c>
      <c r="D90" s="31">
        <v>27495.546305726351</v>
      </c>
      <c r="E90" s="32">
        <v>23361.437381756761</v>
      </c>
      <c r="F90" s="31">
        <f t="shared" si="1"/>
        <v>590.58698913851288</v>
      </c>
      <c r="G90" s="33">
        <v>78</v>
      </c>
      <c r="H90" s="33">
        <v>0</v>
      </c>
      <c r="I90" s="4" t="s">
        <v>64</v>
      </c>
      <c r="J90" s="34">
        <v>40.878976666699998</v>
      </c>
      <c r="K90" s="34">
        <v>72.029004999999998</v>
      </c>
      <c r="L90" s="14">
        <v>250</v>
      </c>
      <c r="M90" s="12" t="s">
        <v>131</v>
      </c>
      <c r="N90" s="12"/>
      <c r="O90" s="24" t="s">
        <v>19</v>
      </c>
    </row>
    <row r="91" spans="1:15" ht="30" customHeight="1">
      <c r="A91" s="7" t="s">
        <v>16</v>
      </c>
      <c r="B91" s="34" t="s">
        <v>605</v>
      </c>
      <c r="C91" s="34" t="s">
        <v>342</v>
      </c>
      <c r="D91" s="31">
        <v>24278.687105726345</v>
      </c>
      <c r="E91" s="32">
        <v>20547.037381756756</v>
      </c>
      <c r="F91" s="31">
        <f t="shared" si="1"/>
        <v>533.0928177099413</v>
      </c>
      <c r="G91" s="33">
        <v>124</v>
      </c>
      <c r="H91" s="33">
        <v>1</v>
      </c>
      <c r="I91" s="4" t="s">
        <v>58</v>
      </c>
      <c r="J91" s="34">
        <v>40.881158094900002</v>
      </c>
      <c r="K91" s="34">
        <v>71.960061555699994</v>
      </c>
      <c r="L91" s="14">
        <v>250</v>
      </c>
      <c r="M91" s="12" t="s">
        <v>132</v>
      </c>
      <c r="N91" s="12"/>
      <c r="O91" s="24" t="s">
        <v>19</v>
      </c>
    </row>
    <row r="92" spans="1:15" ht="30" customHeight="1">
      <c r="A92" s="7" t="s">
        <v>16</v>
      </c>
      <c r="B92" s="34" t="s">
        <v>609</v>
      </c>
      <c r="C92" s="34" t="s">
        <v>416</v>
      </c>
      <c r="D92" s="31">
        <v>22834.232285726343</v>
      </c>
      <c r="E92" s="32">
        <v>19283.297381756754</v>
      </c>
      <c r="F92" s="31">
        <f t="shared" si="1"/>
        <v>507.27641485279827</v>
      </c>
      <c r="G92" s="33">
        <v>93</v>
      </c>
      <c r="H92" s="33">
        <v>2</v>
      </c>
      <c r="I92" s="4" t="s">
        <v>133</v>
      </c>
      <c r="J92" s="34">
        <v>40.880791666699999</v>
      </c>
      <c r="K92" s="34">
        <v>72.024038333299998</v>
      </c>
      <c r="L92" s="14">
        <v>160</v>
      </c>
      <c r="M92" s="12" t="s">
        <v>134</v>
      </c>
      <c r="N92" s="12"/>
      <c r="O92" s="24" t="s">
        <v>19</v>
      </c>
    </row>
    <row r="93" spans="1:15" ht="30" customHeight="1">
      <c r="A93" s="7" t="s">
        <v>16</v>
      </c>
      <c r="B93" s="34" t="s">
        <v>610</v>
      </c>
      <c r="C93" s="34" t="s">
        <v>417</v>
      </c>
      <c r="D93" s="31">
        <v>24723.58842572635</v>
      </c>
      <c r="E93" s="32">
        <v>20936.277381756761</v>
      </c>
      <c r="F93" s="31">
        <f t="shared" si="1"/>
        <v>541.0444348527983</v>
      </c>
      <c r="G93" s="33">
        <v>94</v>
      </c>
      <c r="H93" s="33">
        <v>1</v>
      </c>
      <c r="I93" s="4" t="s">
        <v>58</v>
      </c>
      <c r="J93" s="34">
        <v>40.880018333300001</v>
      </c>
      <c r="K93" s="34">
        <v>72.078343333299998</v>
      </c>
      <c r="L93" s="14">
        <v>100</v>
      </c>
      <c r="M93" s="12" t="s">
        <v>135</v>
      </c>
      <c r="N93" s="12"/>
      <c r="O93" s="24" t="s">
        <v>19</v>
      </c>
    </row>
    <row r="94" spans="1:15" ht="30" customHeight="1">
      <c r="A94" s="7" t="s">
        <v>16</v>
      </c>
      <c r="B94" s="34" t="s">
        <v>608</v>
      </c>
      <c r="C94" s="34" t="s">
        <v>418</v>
      </c>
      <c r="D94" s="31">
        <v>37878.741185726358</v>
      </c>
      <c r="E94" s="32">
        <v>32445.597381756757</v>
      </c>
      <c r="F94" s="31">
        <f t="shared" si="1"/>
        <v>776.16340056708577</v>
      </c>
      <c r="G94" s="33">
        <v>149</v>
      </c>
      <c r="H94" s="33">
        <v>1</v>
      </c>
      <c r="I94" s="3" t="s">
        <v>17</v>
      </c>
      <c r="J94" s="34">
        <v>40.878603333299999</v>
      </c>
      <c r="K94" s="34">
        <v>71.966620000000006</v>
      </c>
      <c r="L94" s="14">
        <v>100</v>
      </c>
      <c r="M94" s="12" t="s">
        <v>136</v>
      </c>
      <c r="N94" s="12"/>
      <c r="O94" s="24" t="s">
        <v>19</v>
      </c>
    </row>
    <row r="95" spans="1:15" ht="30" customHeight="1">
      <c r="A95" s="7" t="s">
        <v>16</v>
      </c>
      <c r="B95" s="34" t="s">
        <v>611</v>
      </c>
      <c r="C95" s="34" t="s">
        <v>419</v>
      </c>
      <c r="D95" s="31">
        <v>15110.912705726345</v>
      </c>
      <c r="E95" s="32">
        <v>12526.237381756755</v>
      </c>
      <c r="F95" s="31">
        <f t="shared" si="1"/>
        <v>369.23933199565573</v>
      </c>
      <c r="G95" s="33">
        <v>96</v>
      </c>
      <c r="H95" s="33">
        <v>2</v>
      </c>
      <c r="I95" s="5" t="s">
        <v>133</v>
      </c>
      <c r="J95" s="34">
        <v>40.858133333300003</v>
      </c>
      <c r="K95" s="34">
        <v>72.060698333299996</v>
      </c>
      <c r="L95" s="14">
        <v>100</v>
      </c>
      <c r="M95" s="12" t="s">
        <v>137</v>
      </c>
      <c r="N95" s="12"/>
      <c r="O95" s="24" t="s">
        <v>19</v>
      </c>
    </row>
    <row r="96" spans="1:15" ht="30" customHeight="1">
      <c r="A96" s="7" t="s">
        <v>16</v>
      </c>
      <c r="B96" s="34" t="s">
        <v>610</v>
      </c>
      <c r="C96" s="34" t="s">
        <v>420</v>
      </c>
      <c r="D96" s="31">
        <v>8151.9972357263468</v>
      </c>
      <c r="E96" s="32">
        <v>6437.9473817567559</v>
      </c>
      <c r="F96" s="31">
        <f t="shared" si="1"/>
        <v>244.8642648527987</v>
      </c>
      <c r="G96" s="33">
        <v>63</v>
      </c>
      <c r="H96" s="33">
        <v>2</v>
      </c>
      <c r="I96" s="5" t="s">
        <v>133</v>
      </c>
      <c r="J96" s="34">
        <v>40.879048333299998</v>
      </c>
      <c r="K96" s="34">
        <v>72.052588333299994</v>
      </c>
      <c r="L96" s="14">
        <v>100</v>
      </c>
      <c r="M96" s="12" t="s">
        <v>138</v>
      </c>
      <c r="N96" s="12"/>
      <c r="O96" s="24" t="s">
        <v>19</v>
      </c>
    </row>
    <row r="97" spans="1:15" ht="30" customHeight="1">
      <c r="A97" s="7" t="s">
        <v>16</v>
      </c>
      <c r="B97" s="34" t="s">
        <v>609</v>
      </c>
      <c r="C97" s="34" t="s">
        <v>421</v>
      </c>
      <c r="D97" s="31">
        <v>16556.487665726341</v>
      </c>
      <c r="E97" s="32">
        <v>13790.957381756754</v>
      </c>
      <c r="F97" s="31">
        <f t="shared" si="1"/>
        <v>395.07575485279813</v>
      </c>
      <c r="G97" s="33">
        <v>57</v>
      </c>
      <c r="H97" s="33">
        <v>0</v>
      </c>
      <c r="I97" s="5"/>
      <c r="J97" s="34">
        <v>40.877659999999999</v>
      </c>
      <c r="K97" s="34">
        <v>72.015798333299998</v>
      </c>
      <c r="L97" s="14">
        <v>160</v>
      </c>
      <c r="M97" s="12" t="s">
        <v>139</v>
      </c>
      <c r="N97" s="12"/>
      <c r="O97" s="24" t="s">
        <v>19</v>
      </c>
    </row>
    <row r="98" spans="1:15" ht="30" customHeight="1">
      <c r="A98" s="7" t="s">
        <v>16</v>
      </c>
      <c r="B98" s="34" t="s">
        <v>610</v>
      </c>
      <c r="C98" s="34" t="s">
        <v>422</v>
      </c>
      <c r="D98" s="31">
        <v>3072.5052357263467</v>
      </c>
      <c r="E98" s="32">
        <v>1993.9473817567557</v>
      </c>
      <c r="F98" s="31">
        <f t="shared" si="1"/>
        <v>154.07969342422729</v>
      </c>
      <c r="G98" s="33">
        <v>15</v>
      </c>
      <c r="H98" s="33">
        <v>0</v>
      </c>
      <c r="I98" s="5" t="s">
        <v>17</v>
      </c>
      <c r="J98" s="34">
        <v>40.877465000000001</v>
      </c>
      <c r="K98" s="34">
        <v>72.08811</v>
      </c>
      <c r="L98" s="14">
        <v>160</v>
      </c>
      <c r="M98" s="12" t="s">
        <v>140</v>
      </c>
      <c r="N98" s="12"/>
      <c r="O98" s="24" t="s">
        <v>19</v>
      </c>
    </row>
    <row r="99" spans="1:15" ht="30" customHeight="1">
      <c r="A99" s="7" t="s">
        <v>16</v>
      </c>
      <c r="B99" s="34" t="s">
        <v>610</v>
      </c>
      <c r="C99" s="34" t="s">
        <v>423</v>
      </c>
      <c r="D99" s="31">
        <v>16371.264515726349</v>
      </c>
      <c r="E99" s="32">
        <v>13628.907381756755</v>
      </c>
      <c r="F99" s="31">
        <f t="shared" si="1"/>
        <v>391.76530485279909</v>
      </c>
      <c r="G99" s="33">
        <v>76</v>
      </c>
      <c r="H99" s="33">
        <v>1</v>
      </c>
      <c r="I99" s="5" t="s">
        <v>58</v>
      </c>
      <c r="J99" s="34">
        <v>40.875548333300003</v>
      </c>
      <c r="K99" s="34">
        <v>72.079404999999994</v>
      </c>
      <c r="L99" s="19">
        <v>160</v>
      </c>
      <c r="M99" s="12" t="s">
        <v>141</v>
      </c>
      <c r="N99" s="12"/>
      <c r="O99" s="24" t="s">
        <v>19</v>
      </c>
    </row>
    <row r="100" spans="1:15" ht="30" customHeight="1">
      <c r="A100" s="7" t="s">
        <v>16</v>
      </c>
      <c r="B100" s="34" t="s">
        <v>610</v>
      </c>
      <c r="C100" s="34" t="s">
        <v>424</v>
      </c>
      <c r="D100" s="31">
        <v>8242.6599957263479</v>
      </c>
      <c r="E100" s="32">
        <v>6517.2673817567565</v>
      </c>
      <c r="F100" s="31">
        <f t="shared" si="1"/>
        <v>246.48465913851305</v>
      </c>
      <c r="G100" s="33">
        <v>40</v>
      </c>
      <c r="H100" s="33">
        <v>1</v>
      </c>
      <c r="I100" s="12" t="s">
        <v>20</v>
      </c>
      <c r="J100" s="34">
        <v>40.883151666700002</v>
      </c>
      <c r="K100" s="34">
        <v>72.085181666699995</v>
      </c>
      <c r="L100" s="20">
        <v>63</v>
      </c>
      <c r="M100" s="12" t="s">
        <v>142</v>
      </c>
      <c r="N100" s="12"/>
      <c r="O100" s="24" t="s">
        <v>19</v>
      </c>
    </row>
    <row r="101" spans="1:15" ht="30" customHeight="1">
      <c r="A101" s="7" t="s">
        <v>16</v>
      </c>
      <c r="B101" s="34" t="s">
        <v>611</v>
      </c>
      <c r="C101" s="34" t="s">
        <v>425</v>
      </c>
      <c r="D101" s="31">
        <v>13191.118475726344</v>
      </c>
      <c r="E101" s="32">
        <v>10846.627381756754</v>
      </c>
      <c r="F101" s="31">
        <f t="shared" si="1"/>
        <v>334.92729913851275</v>
      </c>
      <c r="G101" s="33">
        <v>67</v>
      </c>
      <c r="H101" s="33">
        <v>1</v>
      </c>
      <c r="I101" s="12" t="s">
        <v>26</v>
      </c>
      <c r="J101" s="34">
        <v>40.858853333299997</v>
      </c>
      <c r="K101" s="34">
        <v>72.0770083333</v>
      </c>
      <c r="L101" s="20">
        <v>400</v>
      </c>
      <c r="M101" s="12" t="s">
        <v>143</v>
      </c>
      <c r="N101" s="12"/>
      <c r="O101" s="24" t="s">
        <v>19</v>
      </c>
    </row>
    <row r="102" spans="1:15" ht="30" customHeight="1">
      <c r="A102" s="7" t="s">
        <v>16</v>
      </c>
      <c r="B102" s="34" t="s">
        <v>611</v>
      </c>
      <c r="C102" s="34" t="s">
        <v>426</v>
      </c>
      <c r="D102" s="31">
        <v>2267.2045857263465</v>
      </c>
      <c r="E102" s="32">
        <v>1289.3973817567555</v>
      </c>
      <c r="F102" s="31">
        <f t="shared" si="1"/>
        <v>139.68674342422727</v>
      </c>
      <c r="G102" s="33">
        <v>10</v>
      </c>
      <c r="H102" s="33">
        <v>0</v>
      </c>
      <c r="I102" s="12" t="s">
        <v>26</v>
      </c>
      <c r="J102" s="34">
        <v>40.874026666600002</v>
      </c>
      <c r="K102" s="34">
        <v>72.094549999700007</v>
      </c>
      <c r="L102" s="20">
        <v>320</v>
      </c>
      <c r="M102" s="12" t="s">
        <v>144</v>
      </c>
      <c r="N102" s="12"/>
      <c r="O102" s="24" t="s">
        <v>19</v>
      </c>
    </row>
    <row r="103" spans="1:15" ht="30" customHeight="1">
      <c r="A103" s="7" t="s">
        <v>16</v>
      </c>
      <c r="B103" s="34" t="s">
        <v>608</v>
      </c>
      <c r="C103" s="34" t="s">
        <v>427</v>
      </c>
      <c r="D103" s="31">
        <v>34864.810205726353</v>
      </c>
      <c r="E103" s="32">
        <v>29808.73738175676</v>
      </c>
      <c r="F103" s="31">
        <f t="shared" si="1"/>
        <v>722.29611770994177</v>
      </c>
      <c r="G103" s="33">
        <v>149</v>
      </c>
      <c r="H103" s="33">
        <v>3</v>
      </c>
      <c r="I103" s="12" t="s">
        <v>26</v>
      </c>
      <c r="J103" s="34">
        <v>40.876869999999997</v>
      </c>
      <c r="K103" s="34">
        <v>71.973841666699997</v>
      </c>
      <c r="L103" s="20">
        <v>160</v>
      </c>
      <c r="M103" s="12" t="s">
        <v>145</v>
      </c>
      <c r="N103" s="12"/>
      <c r="O103" s="24" t="s">
        <v>19</v>
      </c>
    </row>
    <row r="104" spans="1:15" ht="30" customHeight="1">
      <c r="A104" s="7" t="s">
        <v>16</v>
      </c>
      <c r="B104" s="34" t="s">
        <v>612</v>
      </c>
      <c r="C104" s="34" t="s">
        <v>428</v>
      </c>
      <c r="D104" s="31">
        <v>14579.337695726346</v>
      </c>
      <c r="E104" s="32">
        <v>12061.167381756753</v>
      </c>
      <c r="F104" s="31">
        <f t="shared" si="1"/>
        <v>359.73861628137041</v>
      </c>
      <c r="G104" s="33">
        <v>63</v>
      </c>
      <c r="H104" s="33">
        <v>0</v>
      </c>
      <c r="I104" s="12" t="s">
        <v>26</v>
      </c>
      <c r="J104" s="34">
        <v>40.849305000000001</v>
      </c>
      <c r="K104" s="34">
        <v>72.038023333300004</v>
      </c>
      <c r="L104" s="20">
        <v>100</v>
      </c>
      <c r="M104" s="12" t="s">
        <v>146</v>
      </c>
      <c r="N104" s="12"/>
      <c r="O104" s="24" t="s">
        <v>19</v>
      </c>
    </row>
    <row r="105" spans="1:15" ht="30" customHeight="1">
      <c r="A105" s="7" t="s">
        <v>16</v>
      </c>
      <c r="B105" s="34" t="s">
        <v>612</v>
      </c>
      <c r="C105" s="34" t="s">
        <v>429</v>
      </c>
      <c r="D105" s="31">
        <v>24410.817905726348</v>
      </c>
      <c r="E105" s="32">
        <v>20662.637381756755</v>
      </c>
      <c r="F105" s="31">
        <f t="shared" si="1"/>
        <v>535.45436056708479</v>
      </c>
      <c r="G105" s="33">
        <v>111</v>
      </c>
      <c r="H105" s="33">
        <v>33</v>
      </c>
      <c r="I105" s="12" t="s">
        <v>26</v>
      </c>
      <c r="J105" s="34">
        <v>40.848043333299998</v>
      </c>
      <c r="K105" s="34">
        <v>72.060901666700005</v>
      </c>
      <c r="L105" s="20">
        <v>160</v>
      </c>
      <c r="M105" s="12" t="s">
        <v>147</v>
      </c>
      <c r="N105" s="12"/>
      <c r="O105" s="24" t="s">
        <v>19</v>
      </c>
    </row>
    <row r="106" spans="1:15" ht="30" customHeight="1">
      <c r="A106" s="7" t="s">
        <v>16</v>
      </c>
      <c r="B106" s="34" t="s">
        <v>608</v>
      </c>
      <c r="C106" s="34" t="s">
        <v>430</v>
      </c>
      <c r="D106" s="31">
        <v>30701.318405726346</v>
      </c>
      <c r="E106" s="32">
        <v>26166.137381756755</v>
      </c>
      <c r="F106" s="31">
        <f t="shared" si="1"/>
        <v>647.88300342422735</v>
      </c>
      <c r="G106" s="33">
        <v>92</v>
      </c>
      <c r="H106" s="33">
        <v>0</v>
      </c>
      <c r="I106" s="12" t="s">
        <v>26</v>
      </c>
      <c r="J106" s="34">
        <v>40.8855233333</v>
      </c>
      <c r="K106" s="34">
        <v>71.964566666699994</v>
      </c>
      <c r="L106" s="20">
        <v>400</v>
      </c>
      <c r="M106" s="12" t="s">
        <v>148</v>
      </c>
      <c r="N106" s="12"/>
      <c r="O106" s="24" t="s">
        <v>19</v>
      </c>
    </row>
    <row r="107" spans="1:15" ht="30" customHeight="1">
      <c r="A107" s="7" t="s">
        <v>16</v>
      </c>
      <c r="B107" s="34" t="s">
        <v>611</v>
      </c>
      <c r="C107" s="34" t="s">
        <v>431</v>
      </c>
      <c r="D107" s="31">
        <v>11470.743455726346</v>
      </c>
      <c r="E107" s="32">
        <v>9341.487381756755</v>
      </c>
      <c r="F107" s="31">
        <f t="shared" si="1"/>
        <v>304.17943913851298</v>
      </c>
      <c r="G107" s="33">
        <v>115</v>
      </c>
      <c r="H107" s="33">
        <v>4</v>
      </c>
      <c r="I107" s="12" t="s">
        <v>37</v>
      </c>
      <c r="J107" s="34">
        <v>40.867975000000001</v>
      </c>
      <c r="K107" s="34">
        <v>72.100838333300004</v>
      </c>
      <c r="L107" s="20">
        <v>160</v>
      </c>
      <c r="M107" s="12" t="s">
        <v>149</v>
      </c>
      <c r="N107" s="12"/>
      <c r="O107" s="24" t="s">
        <v>19</v>
      </c>
    </row>
    <row r="108" spans="1:15" ht="30" customHeight="1">
      <c r="A108" s="7" t="s">
        <v>16</v>
      </c>
      <c r="B108" s="34" t="s">
        <v>611</v>
      </c>
      <c r="C108" s="34" t="s">
        <v>432</v>
      </c>
      <c r="D108" s="31">
        <v>17077.547075726343</v>
      </c>
      <c r="E108" s="32">
        <v>14246.827381756755</v>
      </c>
      <c r="F108" s="31">
        <f t="shared" si="1"/>
        <v>404.38852770994112</v>
      </c>
      <c r="G108" s="33">
        <v>77</v>
      </c>
      <c r="H108" s="33">
        <v>2</v>
      </c>
      <c r="I108" s="12" t="s">
        <v>53</v>
      </c>
      <c r="J108" s="34">
        <v>40.872354999999999</v>
      </c>
      <c r="K108" s="34">
        <v>72.101595000000003</v>
      </c>
      <c r="L108" s="20">
        <v>100</v>
      </c>
      <c r="M108" s="12" t="s">
        <v>150</v>
      </c>
      <c r="N108" s="12"/>
      <c r="O108" s="24" t="s">
        <v>19</v>
      </c>
    </row>
    <row r="109" spans="1:15" ht="30" customHeight="1">
      <c r="A109" s="7" t="s">
        <v>16</v>
      </c>
      <c r="B109" s="34" t="s">
        <v>611</v>
      </c>
      <c r="C109" s="34" t="s">
        <v>433</v>
      </c>
      <c r="D109" s="31">
        <v>9803.0035857263447</v>
      </c>
      <c r="E109" s="32">
        <v>7882.3973817567557</v>
      </c>
      <c r="F109" s="31">
        <f t="shared" si="1"/>
        <v>274.37231485279841</v>
      </c>
      <c r="G109" s="33">
        <v>116</v>
      </c>
      <c r="H109" s="33">
        <v>1</v>
      </c>
      <c r="I109" s="12" t="s">
        <v>53</v>
      </c>
      <c r="J109" s="34">
        <v>40.874026666600002</v>
      </c>
      <c r="K109" s="34">
        <v>72.094549999700007</v>
      </c>
      <c r="L109" s="20">
        <v>100</v>
      </c>
      <c r="M109" s="12" t="s">
        <v>151</v>
      </c>
      <c r="N109" s="12"/>
      <c r="O109" s="24" t="s">
        <v>19</v>
      </c>
    </row>
    <row r="110" spans="1:15" ht="30" customHeight="1">
      <c r="A110" s="7" t="s">
        <v>16</v>
      </c>
      <c r="B110" s="34" t="s">
        <v>608</v>
      </c>
      <c r="C110" s="34" t="s">
        <v>434</v>
      </c>
      <c r="D110" s="31">
        <v>10866.416495726346</v>
      </c>
      <c r="E110" s="32">
        <v>8812.7673817567556</v>
      </c>
      <c r="F110" s="31">
        <f t="shared" si="1"/>
        <v>293.37844485279857</v>
      </c>
      <c r="G110" s="33">
        <v>27</v>
      </c>
      <c r="H110" s="33">
        <v>0</v>
      </c>
      <c r="I110" s="12" t="s">
        <v>53</v>
      </c>
      <c r="J110" s="34">
        <v>40.887851666700001</v>
      </c>
      <c r="K110" s="34">
        <v>71.969193333299998</v>
      </c>
      <c r="L110" s="20">
        <v>160</v>
      </c>
      <c r="M110" s="12" t="s">
        <v>152</v>
      </c>
      <c r="N110" s="12"/>
      <c r="O110" s="24" t="s">
        <v>19</v>
      </c>
    </row>
    <row r="111" spans="1:15" ht="30" customHeight="1">
      <c r="A111" s="5" t="s">
        <v>103</v>
      </c>
      <c r="B111" s="34" t="s">
        <v>610</v>
      </c>
      <c r="C111" s="34" t="s">
        <v>435</v>
      </c>
      <c r="D111" s="31">
        <v>21911.339795726344</v>
      </c>
      <c r="E111" s="32">
        <v>18475.867381756758</v>
      </c>
      <c r="F111" s="31">
        <f t="shared" si="1"/>
        <v>490.78177342422663</v>
      </c>
      <c r="G111" s="33">
        <v>101</v>
      </c>
      <c r="H111" s="33">
        <v>2</v>
      </c>
      <c r="I111" s="12" t="s">
        <v>153</v>
      </c>
      <c r="J111" s="34">
        <v>40.877478333299997</v>
      </c>
      <c r="K111" s="34">
        <v>72.076426666700002</v>
      </c>
      <c r="L111" s="20">
        <v>250</v>
      </c>
      <c r="M111" s="12" t="s">
        <v>154</v>
      </c>
      <c r="N111" s="12"/>
      <c r="O111" s="24" t="s">
        <v>19</v>
      </c>
    </row>
    <row r="112" spans="1:15" ht="30" customHeight="1">
      <c r="A112" s="5" t="s">
        <v>103</v>
      </c>
      <c r="B112" s="34" t="s">
        <v>611</v>
      </c>
      <c r="C112" s="34" t="s">
        <v>436</v>
      </c>
      <c r="D112" s="31">
        <v>16096.750205726346</v>
      </c>
      <c r="E112" s="32">
        <v>13388.737381756755</v>
      </c>
      <c r="F112" s="31">
        <f t="shared" si="1"/>
        <v>386.85897485279878</v>
      </c>
      <c r="G112" s="33">
        <v>89</v>
      </c>
      <c r="H112" s="33">
        <v>2</v>
      </c>
      <c r="I112" s="12" t="s">
        <v>118</v>
      </c>
      <c r="J112" s="34">
        <v>40.870533333300003</v>
      </c>
      <c r="K112" s="34">
        <v>72.120976666700003</v>
      </c>
      <c r="L112" s="20">
        <v>100</v>
      </c>
      <c r="M112" s="12" t="s">
        <v>155</v>
      </c>
      <c r="N112" s="12"/>
      <c r="O112" s="24" t="s">
        <v>19</v>
      </c>
    </row>
    <row r="113" spans="1:15" ht="30" customHeight="1">
      <c r="A113" s="5" t="s">
        <v>103</v>
      </c>
      <c r="B113" s="34" t="s">
        <v>611</v>
      </c>
      <c r="C113" s="34" t="s">
        <v>437</v>
      </c>
      <c r="D113" s="31">
        <v>11670.322685726345</v>
      </c>
      <c r="E113" s="32">
        <v>9516.0973817567537</v>
      </c>
      <c r="F113" s="31">
        <f t="shared" si="1"/>
        <v>307.74647199565595</v>
      </c>
      <c r="G113" s="33">
        <v>46</v>
      </c>
      <c r="H113" s="33">
        <v>2</v>
      </c>
      <c r="I113" s="12" t="s">
        <v>110</v>
      </c>
      <c r="J113" s="34">
        <v>40.859666666700001</v>
      </c>
      <c r="K113" s="34">
        <v>72.121076666700006</v>
      </c>
      <c r="L113" s="20">
        <v>63</v>
      </c>
      <c r="M113" s="12" t="s">
        <v>156</v>
      </c>
      <c r="N113" s="12"/>
      <c r="O113" s="24" t="s">
        <v>19</v>
      </c>
    </row>
    <row r="114" spans="1:15" ht="30" customHeight="1">
      <c r="A114" s="5" t="s">
        <v>103</v>
      </c>
      <c r="B114" s="34" t="s">
        <v>611</v>
      </c>
      <c r="C114" s="34" t="s">
        <v>438</v>
      </c>
      <c r="D114" s="31">
        <v>3769.4380557263466</v>
      </c>
      <c r="E114" s="32">
        <v>2603.6873817567557</v>
      </c>
      <c r="F114" s="31">
        <f t="shared" si="1"/>
        <v>166.53581056708441</v>
      </c>
      <c r="G114" s="33">
        <v>36</v>
      </c>
      <c r="H114" s="33">
        <v>0</v>
      </c>
      <c r="I114" s="12" t="s">
        <v>26</v>
      </c>
      <c r="J114" s="34">
        <v>40.8576716667</v>
      </c>
      <c r="K114" s="34">
        <v>72.123549999999994</v>
      </c>
      <c r="L114" s="14">
        <v>40</v>
      </c>
      <c r="M114" s="12" t="s">
        <v>157</v>
      </c>
      <c r="N114" s="12"/>
      <c r="O114" s="24" t="s">
        <v>19</v>
      </c>
    </row>
    <row r="115" spans="1:15" ht="30" customHeight="1">
      <c r="A115" s="5" t="s">
        <v>103</v>
      </c>
      <c r="B115" s="34" t="s">
        <v>609</v>
      </c>
      <c r="C115" s="34" t="s">
        <v>439</v>
      </c>
      <c r="D115" s="31">
        <v>44420.175905726348</v>
      </c>
      <c r="E115" s="32">
        <v>38168.637381756758</v>
      </c>
      <c r="F115" s="31">
        <f t="shared" si="1"/>
        <v>893.07693199565563</v>
      </c>
      <c r="G115" s="33">
        <v>103</v>
      </c>
      <c r="H115" s="33">
        <v>1</v>
      </c>
      <c r="I115" s="12" t="s">
        <v>111</v>
      </c>
      <c r="J115" s="34">
        <v>40.877068333300002</v>
      </c>
      <c r="K115" s="34">
        <v>71.983761666700005</v>
      </c>
      <c r="L115" s="14">
        <v>100</v>
      </c>
      <c r="M115" s="12" t="s">
        <v>158</v>
      </c>
      <c r="N115" s="12"/>
      <c r="O115" s="24" t="s">
        <v>19</v>
      </c>
    </row>
    <row r="116" spans="1:15" ht="30" customHeight="1">
      <c r="A116" s="5" t="s">
        <v>103</v>
      </c>
      <c r="B116" s="34" t="s">
        <v>605</v>
      </c>
      <c r="C116" s="34" t="s">
        <v>315</v>
      </c>
      <c r="D116" s="31">
        <v>12267.768785726346</v>
      </c>
      <c r="E116" s="32">
        <v>10038.797381756754</v>
      </c>
      <c r="F116" s="31">
        <f t="shared" si="1"/>
        <v>318.42448628137026</v>
      </c>
      <c r="G116" s="33">
        <v>80</v>
      </c>
      <c r="H116" s="33">
        <v>2</v>
      </c>
      <c r="I116" s="12" t="s">
        <v>111</v>
      </c>
      <c r="J116" s="34">
        <v>40.865369999999999</v>
      </c>
      <c r="K116" s="34">
        <v>71.96087</v>
      </c>
      <c r="L116" s="19">
        <v>160</v>
      </c>
      <c r="M116" s="12" t="s">
        <v>159</v>
      </c>
      <c r="N116" s="12"/>
      <c r="O116" s="24" t="s">
        <v>19</v>
      </c>
    </row>
    <row r="117" spans="1:15" ht="30" customHeight="1">
      <c r="A117" s="5" t="s">
        <v>103</v>
      </c>
      <c r="B117" s="34" t="s">
        <v>611</v>
      </c>
      <c r="C117" s="34" t="s">
        <v>440</v>
      </c>
      <c r="D117" s="31">
        <v>4634.9176557263472</v>
      </c>
      <c r="E117" s="32">
        <v>3360.8873817567564</v>
      </c>
      <c r="F117" s="31">
        <f t="shared" si="1"/>
        <v>182.00432485279867</v>
      </c>
      <c r="G117" s="33">
        <v>41</v>
      </c>
      <c r="H117" s="33">
        <v>1</v>
      </c>
      <c r="I117" s="12" t="s">
        <v>160</v>
      </c>
      <c r="J117" s="34">
        <v>40.858196666700003</v>
      </c>
      <c r="K117" s="34">
        <v>72.1313583333</v>
      </c>
      <c r="L117" s="14">
        <v>100</v>
      </c>
      <c r="M117" s="12"/>
      <c r="N117" s="12" t="s">
        <v>161</v>
      </c>
      <c r="O117" s="24" t="s">
        <v>19</v>
      </c>
    </row>
    <row r="118" spans="1:15" ht="30" customHeight="1">
      <c r="A118" s="5" t="s">
        <v>103</v>
      </c>
      <c r="B118" s="34" t="s">
        <v>609</v>
      </c>
      <c r="C118" s="34" t="s">
        <v>441</v>
      </c>
      <c r="D118" s="31">
        <v>45895.77976172635</v>
      </c>
      <c r="E118" s="32">
        <v>39459.629381756757</v>
      </c>
      <c r="F118" s="31">
        <f t="shared" si="1"/>
        <v>919.4500542813704</v>
      </c>
      <c r="G118" s="33">
        <v>160</v>
      </c>
      <c r="H118" s="33">
        <v>1</v>
      </c>
      <c r="I118" s="12" t="s">
        <v>160</v>
      </c>
      <c r="J118" s="34">
        <v>40.881914999999999</v>
      </c>
      <c r="K118" s="34">
        <v>71.997399999999999</v>
      </c>
      <c r="L118" s="26">
        <v>160</v>
      </c>
      <c r="M118" s="12" t="s">
        <v>162</v>
      </c>
      <c r="N118" s="12"/>
      <c r="O118" s="24" t="s">
        <v>19</v>
      </c>
    </row>
    <row r="119" spans="1:15" ht="30" customHeight="1">
      <c r="A119" s="5" t="s">
        <v>103</v>
      </c>
      <c r="B119" s="34" t="s">
        <v>609</v>
      </c>
      <c r="C119" s="34" t="s">
        <v>442</v>
      </c>
      <c r="D119" s="31">
        <v>33825.811775726346</v>
      </c>
      <c r="E119" s="32">
        <v>28899.727381756755</v>
      </c>
      <c r="F119" s="31">
        <f t="shared" si="1"/>
        <v>703.72634199565596</v>
      </c>
      <c r="G119" s="33">
        <v>130</v>
      </c>
      <c r="H119" s="33">
        <v>3</v>
      </c>
      <c r="I119" s="12" t="s">
        <v>56</v>
      </c>
      <c r="J119" s="34">
        <v>40.8827666667</v>
      </c>
      <c r="K119" s="34">
        <v>72.008274999999998</v>
      </c>
      <c r="L119" s="14">
        <v>250</v>
      </c>
      <c r="M119" s="12" t="s">
        <v>163</v>
      </c>
      <c r="N119" s="12"/>
      <c r="O119" s="24" t="s">
        <v>19</v>
      </c>
    </row>
    <row r="120" spans="1:15" ht="30" customHeight="1">
      <c r="A120" s="5" t="s">
        <v>103</v>
      </c>
      <c r="B120" s="34" t="s">
        <v>611</v>
      </c>
      <c r="C120" s="34" t="s">
        <v>443</v>
      </c>
      <c r="D120" s="31">
        <v>9398.4844557263459</v>
      </c>
      <c r="E120" s="32">
        <v>7528.4873817567559</v>
      </c>
      <c r="F120" s="31">
        <f t="shared" si="1"/>
        <v>267.14243913851288</v>
      </c>
      <c r="G120" s="33">
        <v>78</v>
      </c>
      <c r="H120" s="33">
        <v>2</v>
      </c>
      <c r="I120" s="12" t="s">
        <v>56</v>
      </c>
      <c r="J120" s="34">
        <v>40.851415000000003</v>
      </c>
      <c r="K120" s="34">
        <v>72.131756666699999</v>
      </c>
      <c r="L120" s="14">
        <v>63</v>
      </c>
      <c r="M120" s="12" t="s">
        <v>164</v>
      </c>
      <c r="N120" s="12"/>
      <c r="O120" s="24" t="s">
        <v>19</v>
      </c>
    </row>
    <row r="121" spans="1:15" ht="30" customHeight="1">
      <c r="A121" s="5" t="s">
        <v>103</v>
      </c>
      <c r="B121" s="34" t="s">
        <v>613</v>
      </c>
      <c r="C121" s="34" t="s">
        <v>444</v>
      </c>
      <c r="D121" s="31">
        <v>9739.0870257263468</v>
      </c>
      <c r="E121" s="32">
        <v>7826.4773817567575</v>
      </c>
      <c r="F121" s="31">
        <f t="shared" si="1"/>
        <v>273.22994913851278</v>
      </c>
      <c r="G121" s="33">
        <v>102</v>
      </c>
      <c r="H121" s="33">
        <v>2</v>
      </c>
      <c r="I121" s="12" t="s">
        <v>56</v>
      </c>
      <c r="J121" s="34">
        <v>40.833135628299999</v>
      </c>
      <c r="K121" s="34">
        <v>72.203557438199994</v>
      </c>
      <c r="L121" s="14">
        <v>100</v>
      </c>
      <c r="M121" s="12" t="s">
        <v>165</v>
      </c>
      <c r="N121" s="12"/>
      <c r="O121" s="24" t="s">
        <v>19</v>
      </c>
    </row>
    <row r="122" spans="1:15" ht="30" customHeight="1">
      <c r="A122" s="5" t="s">
        <v>103</v>
      </c>
      <c r="B122" s="34" t="s">
        <v>613</v>
      </c>
      <c r="C122" s="34" t="s">
        <v>445</v>
      </c>
      <c r="D122" s="31">
        <v>7533.0855957263466</v>
      </c>
      <c r="E122" s="32">
        <v>5896.4673817567564</v>
      </c>
      <c r="F122" s="31">
        <f t="shared" si="1"/>
        <v>233.80260199565575</v>
      </c>
      <c r="G122" s="33">
        <v>80</v>
      </c>
      <c r="H122" s="33">
        <v>0</v>
      </c>
      <c r="I122" s="12" t="s">
        <v>166</v>
      </c>
      <c r="J122" s="34">
        <v>40.830279691100003</v>
      </c>
      <c r="K122" s="34">
        <v>72.204835088899998</v>
      </c>
      <c r="L122" s="14">
        <v>250</v>
      </c>
      <c r="M122" s="12" t="s">
        <v>167</v>
      </c>
      <c r="N122" s="12"/>
      <c r="O122" s="24" t="s">
        <v>19</v>
      </c>
    </row>
    <row r="123" spans="1:15" ht="30" customHeight="1">
      <c r="A123" s="5" t="s">
        <v>103</v>
      </c>
      <c r="B123" s="34" t="s">
        <v>613</v>
      </c>
      <c r="C123" s="34" t="s">
        <v>446</v>
      </c>
      <c r="D123" s="31">
        <v>16963.669985726341</v>
      </c>
      <c r="E123" s="32">
        <v>14147.197381756752</v>
      </c>
      <c r="F123" s="31">
        <f t="shared" si="1"/>
        <v>402.35322913851269</v>
      </c>
      <c r="G123" s="33">
        <v>71</v>
      </c>
      <c r="H123" s="33">
        <v>1</v>
      </c>
      <c r="I123" s="12" t="s">
        <v>104</v>
      </c>
      <c r="J123" s="34">
        <v>40.838736666700001</v>
      </c>
      <c r="K123" s="34">
        <v>72.234039999999993</v>
      </c>
      <c r="L123" s="20">
        <v>180</v>
      </c>
      <c r="M123" s="12" t="s">
        <v>168</v>
      </c>
      <c r="N123" s="12"/>
      <c r="O123" s="24" t="s">
        <v>19</v>
      </c>
    </row>
    <row r="124" spans="1:15" ht="30" customHeight="1">
      <c r="A124" s="5" t="s">
        <v>103</v>
      </c>
      <c r="B124" s="34" t="s">
        <v>609</v>
      </c>
      <c r="C124" s="34" t="s">
        <v>447</v>
      </c>
      <c r="D124" s="31">
        <v>22542.847295726348</v>
      </c>
      <c r="E124" s="32">
        <v>19028.367381756758</v>
      </c>
      <c r="F124" s="31">
        <f t="shared" si="1"/>
        <v>502.0685591385128</v>
      </c>
      <c r="G124" s="33">
        <v>83</v>
      </c>
      <c r="H124" s="33">
        <v>2</v>
      </c>
      <c r="I124" s="12" t="s">
        <v>104</v>
      </c>
      <c r="J124" s="34">
        <v>40.8765683333</v>
      </c>
      <c r="K124" s="34">
        <v>71.988531666699998</v>
      </c>
      <c r="L124" s="20">
        <v>400</v>
      </c>
      <c r="M124" s="12" t="s">
        <v>169</v>
      </c>
      <c r="N124" s="12"/>
      <c r="O124" s="24" t="s">
        <v>19</v>
      </c>
    </row>
    <row r="125" spans="1:15" ht="30" customHeight="1">
      <c r="A125" s="5" t="s">
        <v>103</v>
      </c>
      <c r="B125" s="34" t="s">
        <v>611</v>
      </c>
      <c r="C125" s="34" t="s">
        <v>448</v>
      </c>
      <c r="D125" s="31">
        <v>6543.4761957263472</v>
      </c>
      <c r="E125" s="32">
        <v>5030.6673817567553</v>
      </c>
      <c r="F125" s="31">
        <f t="shared" si="1"/>
        <v>216.11554485279885</v>
      </c>
      <c r="G125" s="33">
        <v>90</v>
      </c>
      <c r="H125" s="33">
        <v>0</v>
      </c>
      <c r="I125" s="12" t="s">
        <v>170</v>
      </c>
      <c r="J125" s="34">
        <v>40.813206666600003</v>
      </c>
      <c r="K125" s="34">
        <v>72.109205000000003</v>
      </c>
      <c r="L125" s="14">
        <v>160</v>
      </c>
      <c r="M125" s="12" t="s">
        <v>171</v>
      </c>
      <c r="N125" s="12"/>
      <c r="O125" s="24" t="s">
        <v>19</v>
      </c>
    </row>
    <row r="126" spans="1:15" ht="30" customHeight="1">
      <c r="A126" s="5" t="s">
        <v>103</v>
      </c>
      <c r="B126" s="34" t="s">
        <v>611</v>
      </c>
      <c r="C126" s="34" t="s">
        <v>449</v>
      </c>
      <c r="D126" s="31">
        <v>145941.90453572632</v>
      </c>
      <c r="E126" s="32">
        <v>126989.04738175674</v>
      </c>
      <c r="F126" s="31">
        <f t="shared" si="1"/>
        <v>2707.551021995655</v>
      </c>
      <c r="G126" s="33">
        <v>57</v>
      </c>
      <c r="H126" s="33">
        <v>2</v>
      </c>
      <c r="I126" s="12" t="s">
        <v>170</v>
      </c>
      <c r="J126" s="34">
        <v>40.849451666699998</v>
      </c>
      <c r="K126" s="34">
        <v>72.135064999999997</v>
      </c>
      <c r="L126" s="26">
        <v>160</v>
      </c>
      <c r="M126" s="12" t="s">
        <v>172</v>
      </c>
      <c r="N126" s="12"/>
      <c r="O126" s="24" t="s">
        <v>19</v>
      </c>
    </row>
    <row r="127" spans="1:15" ht="30" customHeight="1">
      <c r="A127" s="5" t="s">
        <v>103</v>
      </c>
      <c r="B127" s="34" t="s">
        <v>611</v>
      </c>
      <c r="C127" s="34" t="s">
        <v>450</v>
      </c>
      <c r="D127" s="31">
        <v>3959.1760557263469</v>
      </c>
      <c r="E127" s="32">
        <v>2769.6873817567557</v>
      </c>
      <c r="F127" s="31">
        <f t="shared" si="1"/>
        <v>169.92695342422732</v>
      </c>
      <c r="G127" s="33">
        <v>35</v>
      </c>
      <c r="H127" s="33">
        <v>2</v>
      </c>
      <c r="I127" s="12" t="s">
        <v>170</v>
      </c>
      <c r="J127" s="34">
        <v>40.845351666699997</v>
      </c>
      <c r="K127" s="34">
        <v>72.155680000000004</v>
      </c>
      <c r="L127" s="14">
        <v>160</v>
      </c>
      <c r="M127" s="12" t="s">
        <v>173</v>
      </c>
      <c r="N127" s="12"/>
      <c r="O127" s="24" t="s">
        <v>19</v>
      </c>
    </row>
    <row r="128" spans="1:15" ht="30" customHeight="1">
      <c r="A128" s="5" t="s">
        <v>103</v>
      </c>
      <c r="B128" s="34" t="s">
        <v>611</v>
      </c>
      <c r="C128" s="34" t="s">
        <v>451</v>
      </c>
      <c r="D128" s="31">
        <v>4214.2022157263464</v>
      </c>
      <c r="E128" s="32">
        <v>2992.8073817567556</v>
      </c>
      <c r="F128" s="31">
        <f t="shared" si="1"/>
        <v>174.48497628137011</v>
      </c>
      <c r="G128" s="33">
        <v>34</v>
      </c>
      <c r="H128" s="33">
        <v>1</v>
      </c>
      <c r="I128" s="12" t="s">
        <v>153</v>
      </c>
      <c r="J128" s="34">
        <v>40.847826666700001</v>
      </c>
      <c r="K128" s="34">
        <v>72.157156666700004</v>
      </c>
      <c r="L128" s="26">
        <v>160</v>
      </c>
      <c r="M128" s="12" t="s">
        <v>174</v>
      </c>
      <c r="N128" s="12"/>
      <c r="O128" s="24" t="s">
        <v>19</v>
      </c>
    </row>
    <row r="129" spans="1:15" ht="30" customHeight="1">
      <c r="A129" s="5" t="s">
        <v>103</v>
      </c>
      <c r="B129" s="34" t="s">
        <v>611</v>
      </c>
      <c r="C129" s="34" t="s">
        <v>452</v>
      </c>
      <c r="D129" s="31">
        <v>11840.446805726344</v>
      </c>
      <c r="E129" s="32">
        <v>9664.9373817567539</v>
      </c>
      <c r="F129" s="31">
        <f t="shared" si="1"/>
        <v>310.78706056708427</v>
      </c>
      <c r="G129" s="33">
        <v>152</v>
      </c>
      <c r="H129" s="33">
        <v>1</v>
      </c>
      <c r="I129" s="12" t="s">
        <v>153</v>
      </c>
      <c r="J129" s="34">
        <v>40.850563333300002</v>
      </c>
      <c r="K129" s="34">
        <v>72.157133333299996</v>
      </c>
      <c r="L129" s="14">
        <v>160</v>
      </c>
      <c r="M129" s="12" t="s">
        <v>175</v>
      </c>
      <c r="N129" s="12"/>
      <c r="O129" s="24" t="s">
        <v>19</v>
      </c>
    </row>
    <row r="130" spans="1:15" ht="30" customHeight="1">
      <c r="A130" s="5" t="s">
        <v>103</v>
      </c>
      <c r="B130" s="34" t="s">
        <v>605</v>
      </c>
      <c r="C130" s="34" t="s">
        <v>317</v>
      </c>
      <c r="D130" s="31">
        <v>26391.61404572635</v>
      </c>
      <c r="E130" s="32">
        <v>22395.617381756761</v>
      </c>
      <c r="F130" s="31">
        <f t="shared" si="1"/>
        <v>570.85666628136983</v>
      </c>
      <c r="G130" s="33">
        <v>90</v>
      </c>
      <c r="H130" s="33">
        <v>1</v>
      </c>
      <c r="I130" s="12" t="s">
        <v>153</v>
      </c>
      <c r="J130" s="34">
        <v>40.876168333300001</v>
      </c>
      <c r="K130" s="34">
        <v>71.945710000000005</v>
      </c>
      <c r="L130" s="14">
        <v>250</v>
      </c>
      <c r="M130" s="12" t="s">
        <v>176</v>
      </c>
      <c r="N130" s="12"/>
      <c r="O130" s="24" t="s">
        <v>19</v>
      </c>
    </row>
    <row r="131" spans="1:15" ht="30" customHeight="1">
      <c r="A131" s="5" t="s">
        <v>103</v>
      </c>
      <c r="B131" s="34" t="s">
        <v>613</v>
      </c>
      <c r="C131" s="34" t="s">
        <v>453</v>
      </c>
      <c r="D131" s="31">
        <v>98109.537665726355</v>
      </c>
      <c r="E131" s="32">
        <v>85140.957381756758</v>
      </c>
      <c r="F131" s="31">
        <f t="shared" ref="F131:F194" si="2">(+D131-E131)/7</f>
        <v>1852.6543262813709</v>
      </c>
      <c r="G131" s="33">
        <v>45</v>
      </c>
      <c r="H131" s="33">
        <v>0</v>
      </c>
      <c r="I131" s="12" t="s">
        <v>153</v>
      </c>
      <c r="J131" s="34">
        <v>40.833511839099998</v>
      </c>
      <c r="K131" s="34">
        <v>72.151867640199995</v>
      </c>
      <c r="L131" s="14">
        <v>160</v>
      </c>
      <c r="M131" s="12" t="s">
        <v>177</v>
      </c>
      <c r="N131" s="12"/>
      <c r="O131" s="24" t="s">
        <v>19</v>
      </c>
    </row>
    <row r="132" spans="1:15" ht="30" customHeight="1">
      <c r="A132" s="5" t="s">
        <v>103</v>
      </c>
      <c r="B132" s="34" t="s">
        <v>613</v>
      </c>
      <c r="C132" s="34" t="s">
        <v>454</v>
      </c>
      <c r="D132" s="31">
        <v>5232.9009657263459</v>
      </c>
      <c r="E132" s="32">
        <v>3884.0573817567556</v>
      </c>
      <c r="F132" s="31">
        <f t="shared" si="2"/>
        <v>192.69194056708434</v>
      </c>
      <c r="G132" s="33">
        <v>45</v>
      </c>
      <c r="H132" s="33">
        <v>0</v>
      </c>
      <c r="I132" s="12" t="s">
        <v>153</v>
      </c>
      <c r="J132" s="34">
        <v>40.829519256700003</v>
      </c>
      <c r="K132" s="34">
        <v>72.156100756300006</v>
      </c>
      <c r="L132" s="14">
        <v>160</v>
      </c>
      <c r="M132" s="12" t="s">
        <v>178</v>
      </c>
      <c r="N132" s="12"/>
      <c r="O132" s="24" t="s">
        <v>19</v>
      </c>
    </row>
    <row r="133" spans="1:15" ht="30" customHeight="1">
      <c r="A133" s="5" t="s">
        <v>103</v>
      </c>
      <c r="B133" s="34" t="s">
        <v>609</v>
      </c>
      <c r="C133" s="34" t="s">
        <v>455</v>
      </c>
      <c r="D133" s="31">
        <v>19393.802285726346</v>
      </c>
      <c r="E133" s="32">
        <v>16273.297381756756</v>
      </c>
      <c r="F133" s="31">
        <f t="shared" si="2"/>
        <v>445.78641485279849</v>
      </c>
      <c r="G133" s="33">
        <v>108</v>
      </c>
      <c r="H133" s="33">
        <v>0</v>
      </c>
      <c r="I133" s="12" t="s">
        <v>166</v>
      </c>
      <c r="J133" s="34">
        <v>40.876078333300001</v>
      </c>
      <c r="K133" s="34">
        <v>71.987033333300005</v>
      </c>
      <c r="L133" s="14">
        <v>40</v>
      </c>
      <c r="M133" s="12" t="s">
        <v>179</v>
      </c>
      <c r="N133" s="12"/>
      <c r="O133" s="24" t="s">
        <v>19</v>
      </c>
    </row>
    <row r="134" spans="1:15" ht="30" customHeight="1">
      <c r="A134" s="5" t="s">
        <v>103</v>
      </c>
      <c r="B134" s="34" t="s">
        <v>612</v>
      </c>
      <c r="C134" s="34" t="s">
        <v>456</v>
      </c>
      <c r="D134" s="31">
        <v>28360.717295726354</v>
      </c>
      <c r="E134" s="32">
        <v>24118.367381756761</v>
      </c>
      <c r="F134" s="31">
        <f t="shared" si="2"/>
        <v>606.04998770994177</v>
      </c>
      <c r="G134" s="33">
        <v>139</v>
      </c>
      <c r="H134" s="33">
        <v>2</v>
      </c>
      <c r="I134" s="12" t="s">
        <v>166</v>
      </c>
      <c r="J134" s="34">
        <v>40.846466666700003</v>
      </c>
      <c r="K134" s="34">
        <v>72.057214999999999</v>
      </c>
      <c r="L134" s="14">
        <v>160</v>
      </c>
      <c r="M134" s="12" t="s">
        <v>180</v>
      </c>
      <c r="N134" s="12"/>
      <c r="O134" s="24" t="s">
        <v>19</v>
      </c>
    </row>
    <row r="135" spans="1:15" ht="30" customHeight="1">
      <c r="A135" s="5" t="s">
        <v>103</v>
      </c>
      <c r="B135" s="34" t="s">
        <v>610</v>
      </c>
      <c r="C135" s="34" t="s">
        <v>457</v>
      </c>
      <c r="D135" s="31">
        <v>18530.425805726343</v>
      </c>
      <c r="E135" s="32">
        <v>15517.937381756756</v>
      </c>
      <c r="F135" s="31">
        <f t="shared" si="2"/>
        <v>430.3554891385125</v>
      </c>
      <c r="G135" s="33">
        <v>59</v>
      </c>
      <c r="H135" s="33">
        <v>2</v>
      </c>
      <c r="I135" s="12"/>
      <c r="J135" s="34">
        <v>40.877453333299997</v>
      </c>
      <c r="K135" s="34">
        <v>72.071951666700002</v>
      </c>
      <c r="L135" s="14">
        <v>160</v>
      </c>
      <c r="M135" s="12" t="s">
        <v>181</v>
      </c>
      <c r="N135" s="12"/>
      <c r="O135" s="24" t="s">
        <v>19</v>
      </c>
    </row>
    <row r="136" spans="1:15" ht="30" customHeight="1">
      <c r="A136" s="5" t="s">
        <v>103</v>
      </c>
      <c r="B136" s="34" t="s">
        <v>612</v>
      </c>
      <c r="C136" s="34" t="s">
        <v>458</v>
      </c>
      <c r="D136" s="31">
        <v>21448.333355726347</v>
      </c>
      <c r="E136" s="32">
        <v>18070.787381756756</v>
      </c>
      <c r="F136" s="31">
        <f t="shared" si="2"/>
        <v>482.50656770994152</v>
      </c>
      <c r="G136" s="33">
        <v>86</v>
      </c>
      <c r="H136" s="33">
        <v>3</v>
      </c>
      <c r="I136" s="12" t="s">
        <v>84</v>
      </c>
      <c r="J136" s="34">
        <v>40.849350000000001</v>
      </c>
      <c r="K136" s="34">
        <v>72.064971666700004</v>
      </c>
      <c r="L136" s="14">
        <v>100</v>
      </c>
      <c r="M136" s="12" t="s">
        <v>182</v>
      </c>
      <c r="N136" s="12"/>
      <c r="O136" s="24" t="s">
        <v>19</v>
      </c>
    </row>
    <row r="137" spans="1:15" ht="30" customHeight="1">
      <c r="A137" s="5" t="s">
        <v>103</v>
      </c>
      <c r="B137" s="34" t="s">
        <v>612</v>
      </c>
      <c r="C137" s="34" t="s">
        <v>459</v>
      </c>
      <c r="D137" s="31">
        <v>9521.2540857263448</v>
      </c>
      <c r="E137" s="32">
        <v>7635.8973817567557</v>
      </c>
      <c r="F137" s="31">
        <f t="shared" si="2"/>
        <v>269.33667199565559</v>
      </c>
      <c r="G137" s="33">
        <v>35</v>
      </c>
      <c r="H137" s="33">
        <v>0</v>
      </c>
      <c r="I137" s="12" t="s">
        <v>84</v>
      </c>
      <c r="J137" s="34">
        <v>40.843751666700001</v>
      </c>
      <c r="K137" s="34">
        <v>72.084658333299998</v>
      </c>
      <c r="L137" s="14">
        <v>160</v>
      </c>
      <c r="M137" s="12" t="s">
        <v>183</v>
      </c>
      <c r="N137" s="12"/>
      <c r="O137" s="24" t="s">
        <v>19</v>
      </c>
    </row>
    <row r="138" spans="1:15" ht="30" customHeight="1">
      <c r="A138" s="5" t="s">
        <v>103</v>
      </c>
      <c r="B138" s="34" t="s">
        <v>612</v>
      </c>
      <c r="C138" s="34" t="s">
        <v>460</v>
      </c>
      <c r="D138" s="31">
        <v>9283.681535726344</v>
      </c>
      <c r="E138" s="32">
        <v>7428.0473817567554</v>
      </c>
      <c r="F138" s="31">
        <f t="shared" si="2"/>
        <v>265.09059342422694</v>
      </c>
      <c r="G138" s="33">
        <v>143</v>
      </c>
      <c r="H138" s="33">
        <v>4</v>
      </c>
      <c r="I138" s="12" t="s">
        <v>153</v>
      </c>
      <c r="J138" s="34">
        <v>40.822108333300001</v>
      </c>
      <c r="K138" s="34">
        <v>72.138861666699995</v>
      </c>
      <c r="L138" s="14">
        <v>400</v>
      </c>
      <c r="M138" s="12" t="s">
        <v>184</v>
      </c>
      <c r="N138" s="12"/>
      <c r="O138" s="24" t="s">
        <v>19</v>
      </c>
    </row>
    <row r="139" spans="1:15" ht="30" customHeight="1">
      <c r="A139" s="5" t="s">
        <v>103</v>
      </c>
      <c r="B139" s="34" t="s">
        <v>612</v>
      </c>
      <c r="C139" s="34" t="s">
        <v>461</v>
      </c>
      <c r="D139" s="31">
        <v>17321.520425726347</v>
      </c>
      <c r="E139" s="32">
        <v>14460.277381756754</v>
      </c>
      <c r="F139" s="31">
        <f t="shared" si="2"/>
        <v>408.74900628137038</v>
      </c>
      <c r="G139" s="33">
        <v>49</v>
      </c>
      <c r="H139" s="33">
        <v>0</v>
      </c>
      <c r="I139" s="12" t="s">
        <v>160</v>
      </c>
      <c r="J139" s="34">
        <v>40.845888333300003</v>
      </c>
      <c r="K139" s="34">
        <v>72.078975</v>
      </c>
      <c r="L139" s="14">
        <v>40</v>
      </c>
      <c r="M139" s="12" t="s">
        <v>185</v>
      </c>
      <c r="N139" s="12"/>
      <c r="O139" s="24" t="s">
        <v>19</v>
      </c>
    </row>
    <row r="140" spans="1:15" ht="30" customHeight="1">
      <c r="A140" s="5" t="s">
        <v>103</v>
      </c>
      <c r="B140" s="34" t="s">
        <v>612</v>
      </c>
      <c r="C140" s="34" t="s">
        <v>462</v>
      </c>
      <c r="D140" s="31">
        <v>22618.479605726348</v>
      </c>
      <c r="E140" s="32">
        <v>19094.537381756756</v>
      </c>
      <c r="F140" s="31">
        <f t="shared" si="2"/>
        <v>503.42031770994174</v>
      </c>
      <c r="G140" s="33">
        <v>133</v>
      </c>
      <c r="H140" s="33">
        <v>3</v>
      </c>
      <c r="I140" s="12" t="s">
        <v>84</v>
      </c>
      <c r="J140" s="34">
        <v>40.831020376700003</v>
      </c>
      <c r="K140" s="34">
        <v>72.119740415600006</v>
      </c>
      <c r="L140" s="14">
        <v>100</v>
      </c>
      <c r="M140" s="12" t="s">
        <v>85</v>
      </c>
      <c r="N140" s="12"/>
      <c r="O140" s="24" t="s">
        <v>19</v>
      </c>
    </row>
    <row r="141" spans="1:15" ht="30" customHeight="1">
      <c r="A141" s="5" t="s">
        <v>103</v>
      </c>
      <c r="B141" s="34" t="s">
        <v>612</v>
      </c>
      <c r="C141" s="34" t="s">
        <v>463</v>
      </c>
      <c r="D141" s="31">
        <v>9077.6100657263451</v>
      </c>
      <c r="E141" s="32">
        <v>7247.7573817567563</v>
      </c>
      <c r="F141" s="31">
        <f t="shared" si="2"/>
        <v>261.40752628136983</v>
      </c>
      <c r="G141" s="33">
        <v>129</v>
      </c>
      <c r="H141" s="33">
        <v>1</v>
      </c>
      <c r="I141" s="12" t="s">
        <v>170</v>
      </c>
      <c r="J141" s="34">
        <v>40.8254529031</v>
      </c>
      <c r="K141" s="34">
        <v>72.125863367899996</v>
      </c>
      <c r="L141" s="14">
        <v>100</v>
      </c>
      <c r="M141" s="12" t="s">
        <v>186</v>
      </c>
      <c r="N141" s="12"/>
      <c r="O141" s="24" t="s">
        <v>19</v>
      </c>
    </row>
    <row r="142" spans="1:15" ht="30" customHeight="1">
      <c r="A142" s="5" t="s">
        <v>103</v>
      </c>
      <c r="B142" s="34" t="s">
        <v>612</v>
      </c>
      <c r="C142" s="34" t="s">
        <v>464</v>
      </c>
      <c r="D142" s="31">
        <v>3223.5526857263467</v>
      </c>
      <c r="E142" s="32">
        <v>2126.0973817567556</v>
      </c>
      <c r="F142" s="31">
        <f t="shared" si="2"/>
        <v>156.77932913851302</v>
      </c>
      <c r="G142" s="33">
        <v>51</v>
      </c>
      <c r="H142" s="33">
        <v>0</v>
      </c>
      <c r="I142" s="12" t="s">
        <v>153</v>
      </c>
      <c r="J142" s="34">
        <v>40.8212983333</v>
      </c>
      <c r="K142" s="34">
        <v>72.128469999999993</v>
      </c>
      <c r="L142" s="14">
        <v>160</v>
      </c>
      <c r="M142" s="12" t="s">
        <v>187</v>
      </c>
      <c r="N142" s="12"/>
      <c r="O142" s="24" t="s">
        <v>19</v>
      </c>
    </row>
    <row r="143" spans="1:15" ht="30" customHeight="1">
      <c r="A143" s="5" t="s">
        <v>103</v>
      </c>
      <c r="B143" s="34" t="s">
        <v>612</v>
      </c>
      <c r="C143" s="34" t="s">
        <v>465</v>
      </c>
      <c r="D143" s="31">
        <v>12607.194065726344</v>
      </c>
      <c r="E143" s="32">
        <v>10335.757381756754</v>
      </c>
      <c r="F143" s="31">
        <f t="shared" si="2"/>
        <v>324.49095485279861</v>
      </c>
      <c r="G143" s="33">
        <v>55</v>
      </c>
      <c r="H143" s="33">
        <v>0</v>
      </c>
      <c r="I143" s="12" t="s">
        <v>104</v>
      </c>
      <c r="J143" s="34">
        <v>40.817111666700001</v>
      </c>
      <c r="K143" s="34">
        <v>72.1181916667</v>
      </c>
      <c r="L143" s="14">
        <v>63</v>
      </c>
      <c r="M143" s="12" t="s">
        <v>188</v>
      </c>
      <c r="N143" s="12"/>
      <c r="O143" s="24" t="s">
        <v>19</v>
      </c>
    </row>
    <row r="144" spans="1:15" ht="30" customHeight="1">
      <c r="A144" s="5" t="s">
        <v>103</v>
      </c>
      <c r="B144" s="34" t="s">
        <v>612</v>
      </c>
      <c r="C144" s="34" t="s">
        <v>466</v>
      </c>
      <c r="D144" s="31">
        <v>11720.843285726347</v>
      </c>
      <c r="E144" s="32">
        <v>9560.2973817567545</v>
      </c>
      <c r="F144" s="31">
        <f t="shared" si="2"/>
        <v>308.64941485279894</v>
      </c>
      <c r="G144" s="33">
        <v>60</v>
      </c>
      <c r="H144" s="33">
        <v>3</v>
      </c>
      <c r="I144" s="12" t="s">
        <v>153</v>
      </c>
      <c r="J144" s="34">
        <v>40.820258333300004</v>
      </c>
      <c r="K144" s="34">
        <v>72.133414999999999</v>
      </c>
      <c r="L144" s="14">
        <v>100</v>
      </c>
      <c r="M144" s="12" t="s">
        <v>189</v>
      </c>
      <c r="N144" s="12"/>
      <c r="O144" s="24" t="s">
        <v>19</v>
      </c>
    </row>
    <row r="145" spans="1:15" ht="30" customHeight="1">
      <c r="A145" s="5" t="s">
        <v>103</v>
      </c>
      <c r="B145" s="34" t="s">
        <v>612</v>
      </c>
      <c r="C145" s="34" t="s">
        <v>467</v>
      </c>
      <c r="D145" s="31">
        <v>11199.166655726347</v>
      </c>
      <c r="E145" s="32">
        <v>9103.8873817567546</v>
      </c>
      <c r="F145" s="31">
        <f t="shared" si="2"/>
        <v>299.32561056708465</v>
      </c>
      <c r="G145" s="33">
        <v>30</v>
      </c>
      <c r="H145" s="33">
        <v>3</v>
      </c>
      <c r="I145" s="12" t="s">
        <v>56</v>
      </c>
      <c r="J145" s="34">
        <v>40.8469716667</v>
      </c>
      <c r="K145" s="34">
        <v>72.074391666699995</v>
      </c>
      <c r="L145" s="14">
        <v>160</v>
      </c>
      <c r="M145" s="12" t="s">
        <v>190</v>
      </c>
      <c r="N145" s="12"/>
      <c r="O145" s="24" t="s">
        <v>19</v>
      </c>
    </row>
    <row r="146" spans="1:15" ht="30" customHeight="1">
      <c r="A146" s="5" t="s">
        <v>103</v>
      </c>
      <c r="B146" s="34" t="s">
        <v>613</v>
      </c>
      <c r="C146" s="34" t="s">
        <v>468</v>
      </c>
      <c r="D146" s="31">
        <v>8885.174585726345</v>
      </c>
      <c r="E146" s="32">
        <v>7079.3973817567557</v>
      </c>
      <c r="F146" s="31">
        <f t="shared" si="2"/>
        <v>257.96817199565561</v>
      </c>
      <c r="G146" s="33">
        <v>25</v>
      </c>
      <c r="H146" s="33">
        <v>3</v>
      </c>
      <c r="I146" s="12" t="s">
        <v>104</v>
      </c>
      <c r="J146" s="34">
        <v>40.820270000000001</v>
      </c>
      <c r="K146" s="34">
        <v>72.169821666700003</v>
      </c>
      <c r="L146" s="14">
        <v>160</v>
      </c>
      <c r="M146" s="12" t="s">
        <v>191</v>
      </c>
      <c r="N146" s="12"/>
      <c r="O146" s="24" t="s">
        <v>19</v>
      </c>
    </row>
    <row r="147" spans="1:15" ht="30" customHeight="1">
      <c r="A147" s="5" t="s">
        <v>192</v>
      </c>
      <c r="B147" s="34" t="s">
        <v>613</v>
      </c>
      <c r="C147" s="34" t="s">
        <v>469</v>
      </c>
      <c r="D147" s="31">
        <v>5537.2590057263469</v>
      </c>
      <c r="E147" s="32">
        <v>4150.3373817567553</v>
      </c>
      <c r="F147" s="31">
        <f t="shared" si="2"/>
        <v>198.13166056708451</v>
      </c>
      <c r="G147" s="33">
        <v>54</v>
      </c>
      <c r="H147" s="33">
        <v>0</v>
      </c>
      <c r="I147" s="12" t="s">
        <v>193</v>
      </c>
      <c r="J147" s="34">
        <v>40.834253333299998</v>
      </c>
      <c r="K147" s="34">
        <v>72.203491666700003</v>
      </c>
      <c r="L147" s="20">
        <v>100</v>
      </c>
      <c r="M147" s="12" t="s">
        <v>194</v>
      </c>
      <c r="N147" s="12"/>
      <c r="O147" s="24" t="s">
        <v>19</v>
      </c>
    </row>
    <row r="148" spans="1:15" ht="30" customHeight="1">
      <c r="A148" s="5" t="s">
        <v>192</v>
      </c>
      <c r="B148" s="34" t="s">
        <v>613</v>
      </c>
      <c r="C148" s="34" t="s">
        <v>470</v>
      </c>
      <c r="D148" s="31">
        <v>35529.727595726356</v>
      </c>
      <c r="E148" s="32">
        <v>30390.46738175676</v>
      </c>
      <c r="F148" s="31">
        <f t="shared" si="2"/>
        <v>734.18003056708505</v>
      </c>
      <c r="G148" s="33">
        <v>95</v>
      </c>
      <c r="H148" s="33">
        <v>3</v>
      </c>
      <c r="I148" s="12" t="s">
        <v>193</v>
      </c>
      <c r="J148" s="34">
        <v>40.837441666700002</v>
      </c>
      <c r="K148" s="34">
        <v>72.2019633333</v>
      </c>
      <c r="L148" s="20">
        <v>100</v>
      </c>
      <c r="M148" s="12" t="s">
        <v>195</v>
      </c>
      <c r="N148" s="12"/>
      <c r="O148" s="24" t="s">
        <v>19</v>
      </c>
    </row>
    <row r="149" spans="1:15" ht="30" customHeight="1">
      <c r="A149" s="5" t="s">
        <v>192</v>
      </c>
      <c r="B149" s="34" t="s">
        <v>613</v>
      </c>
      <c r="C149" s="34" t="s">
        <v>471</v>
      </c>
      <c r="D149" s="31">
        <v>30892.130825726348</v>
      </c>
      <c r="E149" s="32">
        <v>26333.077381756757</v>
      </c>
      <c r="F149" s="31">
        <f t="shared" si="2"/>
        <v>651.29334913851301</v>
      </c>
      <c r="G149" s="33">
        <v>111</v>
      </c>
      <c r="H149" s="33">
        <v>0</v>
      </c>
      <c r="I149" s="12" t="s">
        <v>196</v>
      </c>
      <c r="J149" s="34">
        <v>40.832535</v>
      </c>
      <c r="K149" s="34">
        <v>72.175714999999997</v>
      </c>
      <c r="L149" s="20">
        <v>160</v>
      </c>
      <c r="M149" s="12" t="s">
        <v>197</v>
      </c>
      <c r="N149" s="12"/>
      <c r="O149" s="24" t="s">
        <v>19</v>
      </c>
    </row>
    <row r="150" spans="1:15" ht="30" customHeight="1">
      <c r="A150" s="5" t="s">
        <v>192</v>
      </c>
      <c r="B150" s="34" t="s">
        <v>606</v>
      </c>
      <c r="C150" s="34" t="s">
        <v>472</v>
      </c>
      <c r="D150" s="31">
        <v>19197.789215726349</v>
      </c>
      <c r="E150" s="32">
        <v>16101.807381756755</v>
      </c>
      <c r="F150" s="31">
        <f t="shared" si="2"/>
        <v>442.28311913851343</v>
      </c>
      <c r="G150" s="33">
        <v>62</v>
      </c>
      <c r="H150" s="33">
        <v>0</v>
      </c>
      <c r="I150" s="12" t="s">
        <v>196</v>
      </c>
      <c r="J150" s="34">
        <v>40.862508333299999</v>
      </c>
      <c r="K150" s="34">
        <v>72.001638333299994</v>
      </c>
      <c r="L150" s="20">
        <v>63</v>
      </c>
      <c r="M150" s="12" t="s">
        <v>198</v>
      </c>
      <c r="N150" s="12"/>
      <c r="O150" s="24" t="s">
        <v>19</v>
      </c>
    </row>
    <row r="151" spans="1:15" ht="30" customHeight="1">
      <c r="A151" s="5" t="s">
        <v>192</v>
      </c>
      <c r="B151" s="34" t="s">
        <v>608</v>
      </c>
      <c r="C151" s="34" t="s">
        <v>473</v>
      </c>
      <c r="D151" s="31">
        <v>19806.802475726348</v>
      </c>
      <c r="E151" s="32">
        <v>16634.627381756756</v>
      </c>
      <c r="F151" s="31">
        <f t="shared" si="2"/>
        <v>453.16787056708461</v>
      </c>
      <c r="G151" s="33">
        <v>75</v>
      </c>
      <c r="H151" s="33">
        <v>0</v>
      </c>
      <c r="I151" s="12" t="s">
        <v>193</v>
      </c>
      <c r="J151" s="34">
        <v>40.881864999999998</v>
      </c>
      <c r="K151" s="34">
        <v>71.974893333300002</v>
      </c>
      <c r="L151" s="20">
        <v>250</v>
      </c>
      <c r="M151" s="12" t="s">
        <v>128</v>
      </c>
      <c r="N151" s="12"/>
      <c r="O151" s="24" t="s">
        <v>19</v>
      </c>
    </row>
    <row r="152" spans="1:15" ht="30" customHeight="1">
      <c r="A152" s="5" t="s">
        <v>192</v>
      </c>
      <c r="B152" s="34" t="s">
        <v>608</v>
      </c>
      <c r="C152" s="34" t="s">
        <v>474</v>
      </c>
      <c r="D152" s="31">
        <v>14542.418795726344</v>
      </c>
      <c r="E152" s="32">
        <v>12028.867381756754</v>
      </c>
      <c r="F152" s="31">
        <f t="shared" si="2"/>
        <v>359.07877342422711</v>
      </c>
      <c r="G152" s="33">
        <v>47</v>
      </c>
      <c r="H152" s="33">
        <v>0</v>
      </c>
      <c r="I152" s="12" t="s">
        <v>196</v>
      </c>
      <c r="J152" s="34">
        <v>40.871471666700003</v>
      </c>
      <c r="K152" s="34">
        <v>71.970541666700001</v>
      </c>
      <c r="L152" s="20">
        <v>63</v>
      </c>
      <c r="M152" s="12" t="s">
        <v>199</v>
      </c>
      <c r="N152" s="12"/>
      <c r="O152" s="24" t="s">
        <v>19</v>
      </c>
    </row>
    <row r="153" spans="1:15" ht="30" customHeight="1">
      <c r="A153" s="5" t="s">
        <v>192</v>
      </c>
      <c r="B153" s="34" t="s">
        <v>612</v>
      </c>
      <c r="C153" s="34" t="s">
        <v>475</v>
      </c>
      <c r="D153" s="31">
        <v>33612.996605726352</v>
      </c>
      <c r="E153" s="32">
        <v>28713.537381756756</v>
      </c>
      <c r="F153" s="31">
        <f t="shared" si="2"/>
        <v>699.92274628137079</v>
      </c>
      <c r="G153" s="33">
        <v>132</v>
      </c>
      <c r="H153" s="33">
        <v>3</v>
      </c>
      <c r="I153" s="12" t="s">
        <v>196</v>
      </c>
      <c r="J153" s="34">
        <v>40.847968333300003</v>
      </c>
      <c r="K153" s="34">
        <v>72.039503333300004</v>
      </c>
      <c r="L153" s="20">
        <v>100</v>
      </c>
      <c r="M153" s="12" t="s">
        <v>200</v>
      </c>
      <c r="N153" s="12"/>
      <c r="O153" s="24" t="s">
        <v>19</v>
      </c>
    </row>
    <row r="154" spans="1:15" ht="30" customHeight="1">
      <c r="A154" s="5" t="s">
        <v>192</v>
      </c>
      <c r="B154" s="34" t="s">
        <v>612</v>
      </c>
      <c r="C154" s="34" t="s">
        <v>476</v>
      </c>
      <c r="D154" s="31">
        <v>14153.707355726345</v>
      </c>
      <c r="E154" s="32">
        <v>11688.787381756754</v>
      </c>
      <c r="F154" s="31">
        <f t="shared" si="2"/>
        <v>352.13142485279866</v>
      </c>
      <c r="G154" s="33">
        <v>86</v>
      </c>
      <c r="H154" s="33">
        <v>0</v>
      </c>
      <c r="I154" s="12" t="s">
        <v>196</v>
      </c>
      <c r="J154" s="34">
        <v>40.817636666699997</v>
      </c>
      <c r="K154" s="34">
        <v>72.128388333299995</v>
      </c>
      <c r="L154" s="20">
        <v>100</v>
      </c>
      <c r="M154" s="12" t="s">
        <v>201</v>
      </c>
      <c r="N154" s="12"/>
      <c r="O154" s="24" t="s">
        <v>19</v>
      </c>
    </row>
    <row r="155" spans="1:15" ht="30" customHeight="1">
      <c r="A155" s="5" t="s">
        <v>192</v>
      </c>
      <c r="B155" s="34" t="s">
        <v>611</v>
      </c>
      <c r="C155" s="34" t="s">
        <v>477</v>
      </c>
      <c r="D155" s="31">
        <v>32119.804265726347</v>
      </c>
      <c r="E155" s="32">
        <v>27407.157381756759</v>
      </c>
      <c r="F155" s="31">
        <f t="shared" si="2"/>
        <v>673.23526913851254</v>
      </c>
      <c r="G155" s="33">
        <v>95</v>
      </c>
      <c r="H155" s="33">
        <v>0</v>
      </c>
      <c r="I155" s="12" t="s">
        <v>202</v>
      </c>
      <c r="J155" s="34">
        <v>40.863979999999998</v>
      </c>
      <c r="K155" s="34">
        <v>72.082644999999999</v>
      </c>
      <c r="L155" s="20">
        <v>160</v>
      </c>
      <c r="M155" s="12" t="s">
        <v>203</v>
      </c>
      <c r="N155" s="12"/>
      <c r="O155" s="24" t="s">
        <v>19</v>
      </c>
    </row>
    <row r="156" spans="1:15" ht="30" customHeight="1">
      <c r="A156" s="5" t="s">
        <v>192</v>
      </c>
      <c r="B156" s="34" t="s">
        <v>609</v>
      </c>
      <c r="C156" s="34" t="s">
        <v>478</v>
      </c>
      <c r="D156" s="31">
        <v>83904.733715726325</v>
      </c>
      <c r="E156" s="32">
        <v>72713.307381756749</v>
      </c>
      <c r="F156" s="31">
        <f t="shared" si="2"/>
        <v>1598.7751905670823</v>
      </c>
      <c r="G156" s="33">
        <v>111</v>
      </c>
      <c r="H156" s="33">
        <v>0</v>
      </c>
      <c r="I156" s="12" t="s">
        <v>202</v>
      </c>
      <c r="J156" s="34">
        <v>40.869881666700003</v>
      </c>
      <c r="K156" s="34">
        <v>71.981340000000003</v>
      </c>
      <c r="L156" s="20">
        <v>250</v>
      </c>
      <c r="M156" s="12" t="s">
        <v>204</v>
      </c>
      <c r="N156" s="12"/>
      <c r="O156" s="24" t="s">
        <v>19</v>
      </c>
    </row>
    <row r="157" spans="1:15" ht="30" customHeight="1">
      <c r="A157" s="5" t="s">
        <v>192</v>
      </c>
      <c r="B157" s="34" t="s">
        <v>608</v>
      </c>
      <c r="C157" s="34" t="s">
        <v>479</v>
      </c>
      <c r="D157" s="31">
        <v>12135.832295726346</v>
      </c>
      <c r="E157" s="32">
        <v>9923.367381756756</v>
      </c>
      <c r="F157" s="31">
        <f t="shared" si="2"/>
        <v>316.06641628137004</v>
      </c>
      <c r="G157" s="33">
        <v>60</v>
      </c>
      <c r="H157" s="33">
        <v>0</v>
      </c>
      <c r="I157" s="12" t="s">
        <v>196</v>
      </c>
      <c r="J157" s="34">
        <v>40.883203333300003</v>
      </c>
      <c r="K157" s="34">
        <v>71.969184999999996</v>
      </c>
      <c r="L157" s="14">
        <v>100</v>
      </c>
      <c r="M157" s="12" t="s">
        <v>205</v>
      </c>
      <c r="N157" s="12"/>
      <c r="O157" s="24" t="s">
        <v>19</v>
      </c>
    </row>
    <row r="158" spans="1:15" ht="30" customHeight="1">
      <c r="A158" s="5" t="s">
        <v>192</v>
      </c>
      <c r="B158" s="34" t="s">
        <v>610</v>
      </c>
      <c r="C158" s="34" t="s">
        <v>480</v>
      </c>
      <c r="D158" s="31">
        <v>10567.567715726345</v>
      </c>
      <c r="E158" s="32">
        <v>8551.3073817567565</v>
      </c>
      <c r="F158" s="31">
        <f t="shared" si="2"/>
        <v>288.03719056708411</v>
      </c>
      <c r="G158" s="33">
        <v>26</v>
      </c>
      <c r="H158" s="33">
        <v>0</v>
      </c>
      <c r="I158" s="12" t="s">
        <v>206</v>
      </c>
      <c r="J158" s="34">
        <v>40.877465000000001</v>
      </c>
      <c r="K158" s="34">
        <v>72.08811</v>
      </c>
      <c r="L158" s="14">
        <v>250</v>
      </c>
      <c r="M158" s="12" t="s">
        <v>207</v>
      </c>
      <c r="N158" s="12"/>
      <c r="O158" s="24" t="s">
        <v>19</v>
      </c>
    </row>
    <row r="159" spans="1:15" ht="30" customHeight="1">
      <c r="A159" s="5" t="s">
        <v>192</v>
      </c>
      <c r="B159" s="34" t="s">
        <v>608</v>
      </c>
      <c r="C159" s="34" t="s">
        <v>481</v>
      </c>
      <c r="D159" s="31">
        <v>9089.9087457263468</v>
      </c>
      <c r="E159" s="32">
        <v>7258.5173817567565</v>
      </c>
      <c r="F159" s="31">
        <f t="shared" si="2"/>
        <v>261.62733770994146</v>
      </c>
      <c r="G159" s="33">
        <v>44</v>
      </c>
      <c r="H159" s="33">
        <v>0</v>
      </c>
      <c r="I159" s="12" t="s">
        <v>51</v>
      </c>
      <c r="J159" s="34">
        <v>40.886789999999998</v>
      </c>
      <c r="K159" s="34">
        <v>71.967898333299999</v>
      </c>
      <c r="L159" s="14">
        <v>100</v>
      </c>
      <c r="M159" s="12" t="s">
        <v>208</v>
      </c>
      <c r="N159" s="12"/>
      <c r="O159" s="24" t="s">
        <v>19</v>
      </c>
    </row>
    <row r="160" spans="1:15" ht="30" customHeight="1">
      <c r="A160" s="5" t="s">
        <v>192</v>
      </c>
      <c r="B160" s="34" t="s">
        <v>612</v>
      </c>
      <c r="C160" s="34" t="s">
        <v>482</v>
      </c>
      <c r="D160" s="31">
        <v>19201.138205726347</v>
      </c>
      <c r="E160" s="32">
        <v>16104.737381756755</v>
      </c>
      <c r="F160" s="31">
        <f t="shared" si="2"/>
        <v>442.34297485279887</v>
      </c>
      <c r="G160" s="33">
        <v>67</v>
      </c>
      <c r="H160" s="33">
        <v>1</v>
      </c>
      <c r="I160" s="12" t="s">
        <v>202</v>
      </c>
      <c r="J160" s="34">
        <v>40.813769904799997</v>
      </c>
      <c r="K160" s="34">
        <v>72.127671415400002</v>
      </c>
      <c r="L160" s="14">
        <v>100</v>
      </c>
      <c r="M160" s="12" t="s">
        <v>209</v>
      </c>
      <c r="N160" s="12"/>
      <c r="O160" s="24" t="s">
        <v>19</v>
      </c>
    </row>
    <row r="161" spans="1:15" ht="30" customHeight="1">
      <c r="A161" s="5" t="s">
        <v>192</v>
      </c>
      <c r="B161" s="34" t="s">
        <v>608</v>
      </c>
      <c r="C161" s="34" t="s">
        <v>483</v>
      </c>
      <c r="D161" s="31">
        <v>9515.6419557263453</v>
      </c>
      <c r="E161" s="32">
        <v>7630.9873817567559</v>
      </c>
      <c r="F161" s="31">
        <f t="shared" si="2"/>
        <v>269.23636770994136</v>
      </c>
      <c r="G161" s="33">
        <v>139</v>
      </c>
      <c r="H161" s="33">
        <v>1</v>
      </c>
      <c r="I161" s="12" t="s">
        <v>94</v>
      </c>
      <c r="J161" s="34">
        <v>40.868474999999997</v>
      </c>
      <c r="K161" s="34">
        <v>71.973686666700004</v>
      </c>
      <c r="L161" s="14">
        <v>100</v>
      </c>
      <c r="M161" s="12" t="s">
        <v>210</v>
      </c>
      <c r="N161" s="12"/>
      <c r="O161" s="24" t="s">
        <v>19</v>
      </c>
    </row>
    <row r="162" spans="1:15" ht="30" customHeight="1">
      <c r="A162" s="5" t="s">
        <v>192</v>
      </c>
      <c r="B162" s="34" t="s">
        <v>610</v>
      </c>
      <c r="C162" s="34" t="s">
        <v>484</v>
      </c>
      <c r="D162" s="31">
        <v>16020.683555726346</v>
      </c>
      <c r="E162" s="32">
        <v>13322.187381756754</v>
      </c>
      <c r="F162" s="31">
        <f t="shared" si="2"/>
        <v>385.4994534242274</v>
      </c>
      <c r="G162" s="33">
        <v>220</v>
      </c>
      <c r="H162" s="33">
        <v>2</v>
      </c>
      <c r="I162" s="12" t="s">
        <v>193</v>
      </c>
      <c r="J162" s="34">
        <v>40.877846666700002</v>
      </c>
      <c r="K162" s="34">
        <v>72.089301666699996</v>
      </c>
      <c r="L162" s="14">
        <v>100</v>
      </c>
      <c r="M162" s="12" t="s">
        <v>211</v>
      </c>
      <c r="N162" s="12"/>
      <c r="O162" s="24" t="s">
        <v>19</v>
      </c>
    </row>
    <row r="163" spans="1:15" ht="30" customHeight="1">
      <c r="A163" s="5" t="s">
        <v>103</v>
      </c>
      <c r="B163" s="34" t="s">
        <v>613</v>
      </c>
      <c r="C163" s="34" t="s">
        <v>485</v>
      </c>
      <c r="D163" s="31">
        <v>29153.662115726343</v>
      </c>
      <c r="E163" s="32">
        <v>24812.107381756756</v>
      </c>
      <c r="F163" s="31">
        <f t="shared" si="2"/>
        <v>620.22210485279822</v>
      </c>
      <c r="G163" s="33">
        <v>78</v>
      </c>
      <c r="H163" s="33">
        <v>4</v>
      </c>
      <c r="I163" s="12" t="s">
        <v>116</v>
      </c>
      <c r="J163" s="34">
        <v>40.820733333299998</v>
      </c>
      <c r="K163" s="34">
        <v>72.163296666700006</v>
      </c>
      <c r="L163" s="20">
        <v>63</v>
      </c>
      <c r="M163" s="12" t="s">
        <v>99</v>
      </c>
      <c r="N163" s="12"/>
      <c r="O163" s="24" t="s">
        <v>19</v>
      </c>
    </row>
    <row r="164" spans="1:15" ht="30" customHeight="1">
      <c r="A164" s="5" t="s">
        <v>103</v>
      </c>
      <c r="B164" s="34" t="s">
        <v>612</v>
      </c>
      <c r="C164" s="34" t="s">
        <v>486</v>
      </c>
      <c r="D164" s="31">
        <v>13672.470065726344</v>
      </c>
      <c r="E164" s="32">
        <v>11267.757381756754</v>
      </c>
      <c r="F164" s="31">
        <f t="shared" si="2"/>
        <v>343.53038342422718</v>
      </c>
      <c r="G164" s="33">
        <v>65</v>
      </c>
      <c r="H164" s="33">
        <v>1</v>
      </c>
      <c r="I164" s="12" t="s">
        <v>116</v>
      </c>
      <c r="J164" s="34">
        <v>40.852661666700001</v>
      </c>
      <c r="K164" s="34">
        <v>72.0707816667</v>
      </c>
      <c r="L164" s="20">
        <v>100</v>
      </c>
      <c r="M164" s="12" t="s">
        <v>212</v>
      </c>
      <c r="N164" s="12"/>
      <c r="O164" s="24" t="s">
        <v>19</v>
      </c>
    </row>
    <row r="165" spans="1:15" ht="30" customHeight="1">
      <c r="A165" s="5" t="s">
        <v>103</v>
      </c>
      <c r="B165" s="34" t="s">
        <v>609</v>
      </c>
      <c r="C165" s="34" t="s">
        <v>487</v>
      </c>
      <c r="D165" s="31">
        <v>18549.765365726347</v>
      </c>
      <c r="E165" s="32">
        <v>15534.857381756754</v>
      </c>
      <c r="F165" s="31">
        <f t="shared" si="2"/>
        <v>430.70114056708474</v>
      </c>
      <c r="G165" s="33">
        <v>87</v>
      </c>
      <c r="H165" s="33">
        <v>0</v>
      </c>
      <c r="I165" s="12" t="s">
        <v>116</v>
      </c>
      <c r="J165" s="34">
        <v>40.877846666700002</v>
      </c>
      <c r="K165" s="34">
        <v>72.000298333299995</v>
      </c>
      <c r="L165" s="20">
        <v>100</v>
      </c>
      <c r="M165" s="12" t="s">
        <v>213</v>
      </c>
      <c r="N165" s="12"/>
      <c r="O165" s="24" t="s">
        <v>19</v>
      </c>
    </row>
    <row r="166" spans="1:15" ht="30" customHeight="1">
      <c r="A166" s="5" t="s">
        <v>103</v>
      </c>
      <c r="B166" s="34" t="s">
        <v>606</v>
      </c>
      <c r="C166" s="34" t="s">
        <v>488</v>
      </c>
      <c r="D166" s="31">
        <v>35395.996595726356</v>
      </c>
      <c r="E166" s="32">
        <v>30273.46738175676</v>
      </c>
      <c r="F166" s="31">
        <f t="shared" si="2"/>
        <v>731.78988770994226</v>
      </c>
      <c r="G166" s="33">
        <v>106</v>
      </c>
      <c r="H166" s="33">
        <v>0</v>
      </c>
      <c r="I166" s="12" t="s">
        <v>116</v>
      </c>
      <c r="J166" s="34">
        <v>40.869096666700003</v>
      </c>
      <c r="K166" s="34">
        <v>71.993186666699998</v>
      </c>
      <c r="L166" s="20">
        <v>160</v>
      </c>
      <c r="M166" s="12" t="s">
        <v>214</v>
      </c>
      <c r="N166" s="12"/>
      <c r="O166" s="24" t="s">
        <v>19</v>
      </c>
    </row>
    <row r="167" spans="1:15" ht="30" customHeight="1">
      <c r="A167" s="5" t="s">
        <v>103</v>
      </c>
      <c r="B167" s="34" t="s">
        <v>611</v>
      </c>
      <c r="C167" s="34" t="s">
        <v>489</v>
      </c>
      <c r="D167" s="31">
        <v>5611.531145726346</v>
      </c>
      <c r="E167" s="32">
        <v>4215.3173817567558</v>
      </c>
      <c r="F167" s="31">
        <f t="shared" si="2"/>
        <v>199.4591091385129</v>
      </c>
      <c r="G167" s="33">
        <v>64</v>
      </c>
      <c r="H167" s="33">
        <v>0</v>
      </c>
      <c r="I167" s="12" t="s">
        <v>215</v>
      </c>
      <c r="J167" s="34">
        <v>40.859043333300001</v>
      </c>
      <c r="K167" s="34">
        <v>72.065916666700005</v>
      </c>
      <c r="L167" s="20">
        <v>250</v>
      </c>
      <c r="M167" s="12"/>
      <c r="N167" s="12" t="s">
        <v>216</v>
      </c>
      <c r="O167" s="24" t="s">
        <v>19</v>
      </c>
    </row>
    <row r="168" spans="1:15" ht="30" customHeight="1">
      <c r="A168" s="5" t="s">
        <v>103</v>
      </c>
      <c r="B168" s="34" t="s">
        <v>610</v>
      </c>
      <c r="C168" s="34" t="s">
        <v>490</v>
      </c>
      <c r="D168" s="31">
        <v>27782.336435726349</v>
      </c>
      <c r="E168" s="32">
        <v>23612.347381756761</v>
      </c>
      <c r="F168" s="31">
        <f t="shared" si="2"/>
        <v>595.71272199565544</v>
      </c>
      <c r="G168" s="33">
        <v>129</v>
      </c>
      <c r="H168" s="33">
        <v>0</v>
      </c>
      <c r="I168" s="12" t="s">
        <v>215</v>
      </c>
      <c r="J168" s="34">
        <v>40.880443333300001</v>
      </c>
      <c r="K168" s="34">
        <v>72.033211666699998</v>
      </c>
      <c r="L168" s="20">
        <v>400</v>
      </c>
      <c r="M168" s="12" t="s">
        <v>217</v>
      </c>
      <c r="N168" s="12"/>
      <c r="O168" s="24" t="s">
        <v>19</v>
      </c>
    </row>
    <row r="169" spans="1:15" ht="30" customHeight="1">
      <c r="A169" s="5" t="s">
        <v>103</v>
      </c>
      <c r="B169" s="34" t="s">
        <v>609</v>
      </c>
      <c r="C169" s="34" t="s">
        <v>491</v>
      </c>
      <c r="D169" s="31">
        <v>25602.475415726349</v>
      </c>
      <c r="E169" s="32">
        <v>21705.207381756758</v>
      </c>
      <c r="F169" s="31">
        <f t="shared" si="2"/>
        <v>556.75257628137012</v>
      </c>
      <c r="G169" s="33">
        <v>79</v>
      </c>
      <c r="H169" s="33">
        <v>1</v>
      </c>
      <c r="I169" s="12" t="s">
        <v>215</v>
      </c>
      <c r="J169" s="34">
        <v>40.874026666600002</v>
      </c>
      <c r="K169" s="34">
        <v>72.094549999700007</v>
      </c>
      <c r="L169" s="20">
        <v>160</v>
      </c>
      <c r="M169" s="12" t="s">
        <v>218</v>
      </c>
      <c r="N169" s="12"/>
      <c r="O169" s="24" t="s">
        <v>19</v>
      </c>
    </row>
    <row r="170" spans="1:15" ht="30" customHeight="1">
      <c r="A170" s="5" t="s">
        <v>103</v>
      </c>
      <c r="B170" s="34" t="s">
        <v>609</v>
      </c>
      <c r="C170" s="34" t="s">
        <v>492</v>
      </c>
      <c r="D170" s="31">
        <v>14443.846475726345</v>
      </c>
      <c r="E170" s="32">
        <v>11942.627381756754</v>
      </c>
      <c r="F170" s="31">
        <f t="shared" si="2"/>
        <v>357.31701342422718</v>
      </c>
      <c r="G170" s="33">
        <v>49</v>
      </c>
      <c r="H170" s="33">
        <v>1</v>
      </c>
      <c r="I170" s="12" t="s">
        <v>118</v>
      </c>
      <c r="J170" s="34">
        <v>40.877225000000003</v>
      </c>
      <c r="K170" s="34">
        <v>71.997230000000002</v>
      </c>
      <c r="L170" s="27">
        <v>100</v>
      </c>
      <c r="M170" s="12" t="s">
        <v>219</v>
      </c>
      <c r="N170" s="12"/>
      <c r="O170" s="24" t="s">
        <v>19</v>
      </c>
    </row>
    <row r="171" spans="1:15" ht="30" customHeight="1">
      <c r="A171" s="5" t="s">
        <v>103</v>
      </c>
      <c r="B171" s="34" t="s">
        <v>609</v>
      </c>
      <c r="C171" s="34" t="s">
        <v>493</v>
      </c>
      <c r="D171" s="31">
        <v>19851.950975726344</v>
      </c>
      <c r="E171" s="32">
        <v>16674.127381756756</v>
      </c>
      <c r="F171" s="31">
        <f t="shared" si="2"/>
        <v>453.97479913851254</v>
      </c>
      <c r="G171" s="33">
        <v>106</v>
      </c>
      <c r="H171" s="33">
        <v>2</v>
      </c>
      <c r="I171" s="12" t="s">
        <v>118</v>
      </c>
      <c r="J171" s="34">
        <v>40.878791666700003</v>
      </c>
      <c r="K171" s="34">
        <v>72.014080000000007</v>
      </c>
      <c r="L171" s="20">
        <v>100</v>
      </c>
      <c r="M171" s="12" t="s">
        <v>220</v>
      </c>
      <c r="N171" s="12"/>
      <c r="O171" s="24" t="s">
        <v>19</v>
      </c>
    </row>
    <row r="172" spans="1:15" ht="30" customHeight="1">
      <c r="A172" s="5" t="s">
        <v>103</v>
      </c>
      <c r="B172" s="34" t="s">
        <v>605</v>
      </c>
      <c r="C172" s="34" t="s">
        <v>321</v>
      </c>
      <c r="D172" s="31">
        <v>21543.906443726348</v>
      </c>
      <c r="E172" s="32">
        <v>18154.403381756758</v>
      </c>
      <c r="F172" s="31">
        <f t="shared" si="2"/>
        <v>484.21472313851285</v>
      </c>
      <c r="G172" s="33">
        <v>78</v>
      </c>
      <c r="H172" s="33">
        <v>1</v>
      </c>
      <c r="I172" s="12" t="s">
        <v>118</v>
      </c>
      <c r="J172" s="34">
        <v>40.879103333300002</v>
      </c>
      <c r="K172" s="34">
        <v>71.946520000000007</v>
      </c>
      <c r="L172" s="20">
        <v>100</v>
      </c>
      <c r="M172" s="12" t="s">
        <v>221</v>
      </c>
      <c r="N172" s="12"/>
      <c r="O172" s="24" t="s">
        <v>19</v>
      </c>
    </row>
    <row r="173" spans="1:15" ht="30" customHeight="1">
      <c r="A173" s="5" t="s">
        <v>16</v>
      </c>
      <c r="B173" s="34" t="s">
        <v>610</v>
      </c>
      <c r="C173" s="34" t="s">
        <v>494</v>
      </c>
      <c r="D173" s="31">
        <v>16144.424735726343</v>
      </c>
      <c r="E173" s="32">
        <v>13430.447381756752</v>
      </c>
      <c r="F173" s="31">
        <f t="shared" si="2"/>
        <v>387.71105056708438</v>
      </c>
      <c r="G173" s="33">
        <v>91</v>
      </c>
      <c r="H173" s="33">
        <v>2</v>
      </c>
      <c r="I173" s="12"/>
      <c r="J173" s="34">
        <v>40.867316666699999</v>
      </c>
      <c r="K173" s="34">
        <v>72.0448633333</v>
      </c>
      <c r="L173" s="14">
        <v>400</v>
      </c>
      <c r="M173" s="12" t="s">
        <v>222</v>
      </c>
      <c r="N173" s="12"/>
      <c r="O173" s="24" t="s">
        <v>19</v>
      </c>
    </row>
    <row r="174" spans="1:15" ht="30" customHeight="1">
      <c r="A174" s="5" t="s">
        <v>16</v>
      </c>
      <c r="B174" s="34" t="s">
        <v>612</v>
      </c>
      <c r="C174" s="34" t="s">
        <v>495</v>
      </c>
      <c r="D174" s="31">
        <v>20420.296295726344</v>
      </c>
      <c r="E174" s="32">
        <v>17171.367381756754</v>
      </c>
      <c r="F174" s="31">
        <f t="shared" si="2"/>
        <v>464.13270199565574</v>
      </c>
      <c r="G174" s="33">
        <v>65</v>
      </c>
      <c r="H174" s="33">
        <v>5</v>
      </c>
      <c r="I174" s="12" t="s">
        <v>58</v>
      </c>
      <c r="J174" s="34">
        <v>40.821199999999997</v>
      </c>
      <c r="K174" s="34">
        <v>72.145963333300003</v>
      </c>
      <c r="L174" s="14">
        <v>100</v>
      </c>
      <c r="M174" s="12" t="s">
        <v>223</v>
      </c>
      <c r="N174" s="12"/>
      <c r="O174" s="24" t="s">
        <v>19</v>
      </c>
    </row>
    <row r="175" spans="1:15" ht="30" customHeight="1">
      <c r="A175" s="5" t="s">
        <v>16</v>
      </c>
      <c r="B175" s="34" t="s">
        <v>612</v>
      </c>
      <c r="C175" s="34" t="s">
        <v>496</v>
      </c>
      <c r="D175" s="31">
        <v>28580.699075726345</v>
      </c>
      <c r="E175" s="32">
        <v>24310.827381756757</v>
      </c>
      <c r="F175" s="31">
        <f t="shared" si="2"/>
        <v>609.98167056708394</v>
      </c>
      <c r="G175" s="33">
        <v>142</v>
      </c>
      <c r="H175" s="33">
        <v>3</v>
      </c>
      <c r="I175" s="12" t="s">
        <v>133</v>
      </c>
      <c r="J175" s="34">
        <v>40.853495000000002</v>
      </c>
      <c r="K175" s="34">
        <v>72.061329999999998</v>
      </c>
      <c r="L175" s="20">
        <v>250</v>
      </c>
      <c r="M175" s="12"/>
      <c r="N175" s="12" t="s">
        <v>224</v>
      </c>
      <c r="O175" s="24" t="s">
        <v>19</v>
      </c>
    </row>
    <row r="176" spans="1:15" ht="30" customHeight="1">
      <c r="A176" s="5" t="s">
        <v>16</v>
      </c>
      <c r="B176" s="34" t="s">
        <v>611</v>
      </c>
      <c r="C176" s="34" t="s">
        <v>497</v>
      </c>
      <c r="D176" s="31">
        <v>13665.166295726345</v>
      </c>
      <c r="E176" s="32">
        <v>11261.367381756754</v>
      </c>
      <c r="F176" s="31">
        <f t="shared" si="2"/>
        <v>343.39984485279871</v>
      </c>
      <c r="G176" s="33">
        <v>76</v>
      </c>
      <c r="H176" s="33">
        <v>0</v>
      </c>
      <c r="I176" s="12" t="s">
        <v>133</v>
      </c>
      <c r="J176" s="34">
        <v>40.8542466667</v>
      </c>
      <c r="K176" s="34">
        <v>72.141778333299996</v>
      </c>
      <c r="L176" s="25">
        <v>160</v>
      </c>
      <c r="M176" s="12" t="s">
        <v>225</v>
      </c>
      <c r="N176" s="12"/>
      <c r="O176" s="24" t="s">
        <v>19</v>
      </c>
    </row>
    <row r="177" spans="1:15" ht="30" customHeight="1">
      <c r="A177" s="5" t="s">
        <v>16</v>
      </c>
      <c r="B177" s="34" t="s">
        <v>611</v>
      </c>
      <c r="C177" s="34" t="s">
        <v>498</v>
      </c>
      <c r="D177" s="31">
        <v>15288.957815726344</v>
      </c>
      <c r="E177" s="32">
        <v>12682.007381756754</v>
      </c>
      <c r="F177" s="31">
        <f t="shared" si="2"/>
        <v>372.42149056708433</v>
      </c>
      <c r="G177" s="33">
        <v>101</v>
      </c>
      <c r="H177" s="33">
        <v>1</v>
      </c>
      <c r="I177" s="12" t="s">
        <v>133</v>
      </c>
      <c r="J177" s="34">
        <v>40.870876666699999</v>
      </c>
      <c r="K177" s="34">
        <v>72.127028333300004</v>
      </c>
      <c r="L177" s="20">
        <v>100</v>
      </c>
      <c r="M177" s="12" t="s">
        <v>226</v>
      </c>
      <c r="N177" s="12"/>
      <c r="O177" s="24" t="s">
        <v>19</v>
      </c>
    </row>
    <row r="178" spans="1:15" ht="30" customHeight="1">
      <c r="A178" s="5" t="s">
        <v>16</v>
      </c>
      <c r="B178" s="34" t="s">
        <v>606</v>
      </c>
      <c r="C178" s="34" t="s">
        <v>499</v>
      </c>
      <c r="D178" s="31">
        <v>15782.802395726345</v>
      </c>
      <c r="E178" s="32">
        <v>13114.067381756755</v>
      </c>
      <c r="F178" s="31">
        <f t="shared" si="2"/>
        <v>381.24785913851287</v>
      </c>
      <c r="G178" s="33">
        <v>99</v>
      </c>
      <c r="H178" s="33">
        <v>5</v>
      </c>
      <c r="I178" s="12" t="s">
        <v>32</v>
      </c>
      <c r="J178" s="34">
        <v>40.85586</v>
      </c>
      <c r="K178" s="34">
        <v>72.008968333300004</v>
      </c>
      <c r="L178" s="20">
        <v>100</v>
      </c>
      <c r="M178" s="12" t="s">
        <v>227</v>
      </c>
      <c r="N178" s="12"/>
      <c r="O178" s="24" t="s">
        <v>19</v>
      </c>
    </row>
    <row r="179" spans="1:15" ht="30" customHeight="1">
      <c r="A179" s="5" t="s">
        <v>16</v>
      </c>
      <c r="B179" s="34" t="s">
        <v>612</v>
      </c>
      <c r="C179" s="34" t="s">
        <v>500</v>
      </c>
      <c r="D179" s="31">
        <v>18460.337045726345</v>
      </c>
      <c r="E179" s="32">
        <v>15456.617381756752</v>
      </c>
      <c r="F179" s="31">
        <f t="shared" si="2"/>
        <v>429.10280913851318</v>
      </c>
      <c r="G179" s="33">
        <v>59</v>
      </c>
      <c r="H179" s="33">
        <v>1</v>
      </c>
      <c r="I179" s="12" t="s">
        <v>58</v>
      </c>
      <c r="J179" s="34">
        <v>40.827616666700003</v>
      </c>
      <c r="K179" s="34">
        <v>72.112166666700006</v>
      </c>
      <c r="L179" s="20">
        <v>100</v>
      </c>
      <c r="M179" s="12"/>
      <c r="N179" s="12" t="s">
        <v>228</v>
      </c>
      <c r="O179" s="24" t="s">
        <v>19</v>
      </c>
    </row>
    <row r="180" spans="1:15" ht="30" customHeight="1">
      <c r="A180" s="5" t="s">
        <v>16</v>
      </c>
      <c r="B180" s="34" t="s">
        <v>612</v>
      </c>
      <c r="C180" s="34" t="s">
        <v>501</v>
      </c>
      <c r="D180" s="31">
        <v>20754.840965726347</v>
      </c>
      <c r="E180" s="32">
        <v>17464.05738175676</v>
      </c>
      <c r="F180" s="31">
        <f t="shared" si="2"/>
        <v>470.11194056708388</v>
      </c>
      <c r="G180" s="33">
        <v>53</v>
      </c>
      <c r="H180" s="33">
        <v>5</v>
      </c>
      <c r="I180" s="12" t="s">
        <v>58</v>
      </c>
      <c r="J180" s="34">
        <v>40.813206666699998</v>
      </c>
      <c r="K180" s="34">
        <v>72.109205000000003</v>
      </c>
      <c r="L180" s="20">
        <v>160</v>
      </c>
      <c r="M180" s="12" t="s">
        <v>229</v>
      </c>
      <c r="N180" s="12"/>
      <c r="O180" s="24" t="s">
        <v>19</v>
      </c>
    </row>
    <row r="181" spans="1:15" ht="30" customHeight="1">
      <c r="A181" s="5" t="s">
        <v>16</v>
      </c>
      <c r="B181" s="34" t="s">
        <v>608</v>
      </c>
      <c r="C181" s="34" t="s">
        <v>502</v>
      </c>
      <c r="D181" s="31">
        <v>4372.7248857263467</v>
      </c>
      <c r="E181" s="32">
        <v>3131.4973817567561</v>
      </c>
      <c r="F181" s="31">
        <f t="shared" si="2"/>
        <v>177.31821485279866</v>
      </c>
      <c r="G181" s="33">
        <v>10</v>
      </c>
      <c r="H181" s="33">
        <v>0</v>
      </c>
      <c r="I181" s="12" t="s">
        <v>58</v>
      </c>
      <c r="J181" s="34">
        <v>40.879336666699999</v>
      </c>
      <c r="K181" s="34">
        <v>71.986581666700005</v>
      </c>
      <c r="L181" s="20">
        <v>100</v>
      </c>
      <c r="M181" s="12" t="s">
        <v>230</v>
      </c>
      <c r="N181" s="12"/>
      <c r="O181" s="24" t="s">
        <v>19</v>
      </c>
    </row>
    <row r="182" spans="1:15" ht="30" customHeight="1">
      <c r="A182" s="5" t="s">
        <v>16</v>
      </c>
      <c r="B182" s="34" t="s">
        <v>611</v>
      </c>
      <c r="C182" s="34" t="s">
        <v>503</v>
      </c>
      <c r="D182" s="31">
        <v>12898.979105726345</v>
      </c>
      <c r="E182" s="32">
        <v>10591.037381756754</v>
      </c>
      <c r="F182" s="31">
        <f t="shared" si="2"/>
        <v>329.70596056708433</v>
      </c>
      <c r="G182" s="33">
        <v>20</v>
      </c>
      <c r="H182" s="33">
        <v>0</v>
      </c>
      <c r="I182" s="12" t="s">
        <v>58</v>
      </c>
      <c r="J182" s="34">
        <v>40.851741666700001</v>
      </c>
      <c r="K182" s="34">
        <v>72.133139999999997</v>
      </c>
      <c r="L182" s="20">
        <v>100</v>
      </c>
      <c r="M182" s="12" t="s">
        <v>231</v>
      </c>
      <c r="N182" s="12"/>
      <c r="O182" s="24" t="s">
        <v>19</v>
      </c>
    </row>
    <row r="183" spans="1:15" ht="30" customHeight="1">
      <c r="A183" s="5" t="s">
        <v>16</v>
      </c>
      <c r="B183" s="34" t="s">
        <v>610</v>
      </c>
      <c r="C183" s="34" t="s">
        <v>504</v>
      </c>
      <c r="D183" s="31">
        <v>16042.903475726345</v>
      </c>
      <c r="E183" s="32">
        <v>13341.627381756754</v>
      </c>
      <c r="F183" s="31">
        <f t="shared" si="2"/>
        <v>385.8965848527987</v>
      </c>
      <c r="G183" s="33">
        <v>76</v>
      </c>
      <c r="H183" s="33">
        <v>1</v>
      </c>
      <c r="I183" s="12" t="s">
        <v>58</v>
      </c>
      <c r="J183" s="34">
        <v>40.878543333300001</v>
      </c>
      <c r="K183" s="34">
        <v>72.055769999999995</v>
      </c>
      <c r="L183" s="20">
        <v>250</v>
      </c>
      <c r="M183" s="12" t="s">
        <v>232</v>
      </c>
      <c r="N183" s="12"/>
      <c r="O183" s="24" t="s">
        <v>19</v>
      </c>
    </row>
    <row r="184" spans="1:15" ht="30" customHeight="1">
      <c r="A184" s="5" t="s">
        <v>16</v>
      </c>
      <c r="B184" s="34" t="s">
        <v>606</v>
      </c>
      <c r="C184" s="34" t="s">
        <v>505</v>
      </c>
      <c r="D184" s="31">
        <v>21314.27088572635</v>
      </c>
      <c r="E184" s="32">
        <v>17953.497381756759</v>
      </c>
      <c r="F184" s="31">
        <f t="shared" si="2"/>
        <v>480.11050056708439</v>
      </c>
      <c r="G184" s="33">
        <v>89</v>
      </c>
      <c r="H184" s="33">
        <v>0</v>
      </c>
      <c r="I184" s="12" t="s">
        <v>58</v>
      </c>
      <c r="J184" s="34">
        <v>40.863901666700002</v>
      </c>
      <c r="K184" s="34">
        <v>71.990183333299996</v>
      </c>
      <c r="L184" s="20">
        <v>100</v>
      </c>
      <c r="M184" s="12" t="s">
        <v>233</v>
      </c>
      <c r="N184" s="12"/>
      <c r="O184" s="24" t="s">
        <v>19</v>
      </c>
    </row>
    <row r="185" spans="1:15" ht="30" customHeight="1">
      <c r="A185" s="5" t="s">
        <v>16</v>
      </c>
      <c r="B185" s="34" t="s">
        <v>605</v>
      </c>
      <c r="C185" s="34" t="s">
        <v>333</v>
      </c>
      <c r="D185" s="31">
        <v>14115.245405726348</v>
      </c>
      <c r="E185" s="32">
        <v>11655.137381756755</v>
      </c>
      <c r="F185" s="31">
        <f t="shared" si="2"/>
        <v>351.44400342422756</v>
      </c>
      <c r="G185" s="33">
        <v>86</v>
      </c>
      <c r="H185" s="33">
        <v>3</v>
      </c>
      <c r="I185" s="12" t="s">
        <v>37</v>
      </c>
      <c r="J185" s="34">
        <v>40.877413333299998</v>
      </c>
      <c r="K185" s="34">
        <v>71.930764999999994</v>
      </c>
      <c r="L185" s="20">
        <v>160</v>
      </c>
      <c r="M185" s="12"/>
      <c r="N185" s="12" t="s">
        <v>234</v>
      </c>
      <c r="O185" s="24" t="s">
        <v>19</v>
      </c>
    </row>
    <row r="186" spans="1:15" ht="30" customHeight="1">
      <c r="A186" s="5" t="s">
        <v>16</v>
      </c>
      <c r="B186" s="34" t="s">
        <v>609</v>
      </c>
      <c r="C186" s="34" t="s">
        <v>506</v>
      </c>
      <c r="D186" s="31">
        <v>8861.7888057263481</v>
      </c>
      <c r="E186" s="32">
        <v>7058.9373817567566</v>
      </c>
      <c r="F186" s="31">
        <f t="shared" si="2"/>
        <v>257.55020342422733</v>
      </c>
      <c r="G186" s="33">
        <v>39</v>
      </c>
      <c r="H186" s="33">
        <v>0</v>
      </c>
      <c r="I186" s="12" t="s">
        <v>37</v>
      </c>
      <c r="J186" s="34">
        <v>40.874026666600002</v>
      </c>
      <c r="K186" s="34">
        <v>72.094549999700007</v>
      </c>
      <c r="L186" s="20">
        <v>160</v>
      </c>
      <c r="M186" s="12" t="s">
        <v>235</v>
      </c>
      <c r="N186" s="12"/>
      <c r="O186" s="24" t="s">
        <v>19</v>
      </c>
    </row>
    <row r="187" spans="1:15" ht="30" customHeight="1">
      <c r="A187" s="5" t="s">
        <v>16</v>
      </c>
      <c r="B187" s="34" t="s">
        <v>608</v>
      </c>
      <c r="C187" s="34" t="s">
        <v>507</v>
      </c>
      <c r="D187" s="31">
        <v>37852.10928572635</v>
      </c>
      <c r="E187" s="32">
        <v>32422.297381756762</v>
      </c>
      <c r="F187" s="31">
        <f t="shared" si="2"/>
        <v>775.68741485279838</v>
      </c>
      <c r="G187" s="33">
        <v>46</v>
      </c>
      <c r="H187" s="33">
        <v>3</v>
      </c>
      <c r="I187" s="12" t="s">
        <v>37</v>
      </c>
      <c r="J187" s="34">
        <v>40.8828566667</v>
      </c>
      <c r="K187" s="34">
        <v>71.988209999999995</v>
      </c>
      <c r="L187" s="20">
        <v>160</v>
      </c>
      <c r="M187" s="12" t="s">
        <v>93</v>
      </c>
      <c r="N187" s="12"/>
      <c r="O187" s="24" t="s">
        <v>19</v>
      </c>
    </row>
    <row r="188" spans="1:15" ht="30" customHeight="1">
      <c r="A188" s="5" t="s">
        <v>16</v>
      </c>
      <c r="B188" s="34" t="s">
        <v>611</v>
      </c>
      <c r="C188" s="34" t="s">
        <v>508</v>
      </c>
      <c r="D188" s="31">
        <v>11968.036466726347</v>
      </c>
      <c r="E188" s="32">
        <v>9776.5643817567561</v>
      </c>
      <c r="F188" s="31">
        <f t="shared" si="2"/>
        <v>313.06744070994165</v>
      </c>
      <c r="G188" s="33">
        <v>64</v>
      </c>
      <c r="H188" s="33">
        <v>0</v>
      </c>
      <c r="I188" s="12" t="s">
        <v>37</v>
      </c>
      <c r="J188" s="34">
        <v>40.859856666699997</v>
      </c>
      <c r="K188" s="34">
        <v>72.077610000000007</v>
      </c>
      <c r="L188" s="20">
        <v>63</v>
      </c>
      <c r="M188" s="12" t="s">
        <v>236</v>
      </c>
      <c r="N188" s="12"/>
      <c r="O188" s="24" t="s">
        <v>19</v>
      </c>
    </row>
    <row r="189" spans="1:15" ht="30" customHeight="1">
      <c r="A189" s="5" t="s">
        <v>16</v>
      </c>
      <c r="B189" s="34" t="s">
        <v>612</v>
      </c>
      <c r="C189" s="34" t="s">
        <v>509</v>
      </c>
      <c r="D189" s="31">
        <v>15558.134315726342</v>
      </c>
      <c r="E189" s="32">
        <v>12917.507381756754</v>
      </c>
      <c r="F189" s="31">
        <f t="shared" si="2"/>
        <v>377.23241913851263</v>
      </c>
      <c r="G189" s="33">
        <v>76</v>
      </c>
      <c r="H189" s="33">
        <v>0</v>
      </c>
      <c r="I189" s="12" t="s">
        <v>58</v>
      </c>
      <c r="J189" s="34">
        <v>40.848528333300003</v>
      </c>
      <c r="K189" s="34">
        <v>72.072953333300006</v>
      </c>
      <c r="L189" s="20">
        <v>100</v>
      </c>
      <c r="M189" s="12" t="s">
        <v>237</v>
      </c>
      <c r="N189" s="12"/>
      <c r="O189" s="24" t="s">
        <v>19</v>
      </c>
    </row>
    <row r="190" spans="1:15" ht="30" customHeight="1">
      <c r="A190" s="5" t="s">
        <v>16</v>
      </c>
      <c r="B190" s="34" t="s">
        <v>611</v>
      </c>
      <c r="C190" s="34" t="s">
        <v>510</v>
      </c>
      <c r="D190" s="31">
        <v>11007.702725726343</v>
      </c>
      <c r="E190" s="32">
        <v>8936.3773817567544</v>
      </c>
      <c r="F190" s="31">
        <f t="shared" si="2"/>
        <v>295.90362056708415</v>
      </c>
      <c r="G190" s="33">
        <v>48</v>
      </c>
      <c r="H190" s="33">
        <v>1</v>
      </c>
      <c r="I190" s="12" t="s">
        <v>37</v>
      </c>
      <c r="J190" s="34">
        <v>40.877876666699997</v>
      </c>
      <c r="K190" s="34">
        <v>72.082390000000004</v>
      </c>
      <c r="L190" s="20">
        <v>100</v>
      </c>
      <c r="M190" s="12" t="s">
        <v>238</v>
      </c>
      <c r="N190" s="12"/>
      <c r="O190" s="24" t="s">
        <v>19</v>
      </c>
    </row>
    <row r="191" spans="1:15" ht="30" customHeight="1">
      <c r="A191" s="5" t="s">
        <v>16</v>
      </c>
      <c r="B191" s="34" t="s">
        <v>605</v>
      </c>
      <c r="C191" s="34" t="s">
        <v>318</v>
      </c>
      <c r="D191" s="31">
        <v>9944.8727457263467</v>
      </c>
      <c r="E191" s="32">
        <v>8006.5173817567565</v>
      </c>
      <c r="F191" s="31">
        <f t="shared" si="2"/>
        <v>276.90790913851288</v>
      </c>
      <c r="G191" s="33">
        <v>31</v>
      </c>
      <c r="H191" s="33">
        <v>0</v>
      </c>
      <c r="I191" s="12" t="s">
        <v>37</v>
      </c>
      <c r="J191" s="34">
        <v>40.864673333299997</v>
      </c>
      <c r="K191" s="34">
        <v>71.946511666700005</v>
      </c>
      <c r="L191" s="20">
        <v>100</v>
      </c>
      <c r="M191" s="12" t="s">
        <v>239</v>
      </c>
      <c r="N191" s="12"/>
      <c r="O191" s="24" t="s">
        <v>19</v>
      </c>
    </row>
    <row r="192" spans="1:15" ht="30" customHeight="1">
      <c r="A192" s="5" t="s">
        <v>103</v>
      </c>
      <c r="B192" s="34" t="s">
        <v>606</v>
      </c>
      <c r="C192" s="34" t="s">
        <v>511</v>
      </c>
      <c r="D192" s="31">
        <v>33133.199495726352</v>
      </c>
      <c r="E192" s="32">
        <v>28293.767381756756</v>
      </c>
      <c r="F192" s="31">
        <f t="shared" si="2"/>
        <v>691.34744485279953</v>
      </c>
      <c r="G192" s="33">
        <v>73</v>
      </c>
      <c r="H192" s="33">
        <v>1</v>
      </c>
      <c r="I192" s="12" t="s">
        <v>110</v>
      </c>
      <c r="J192" s="34">
        <v>40.865333333300001</v>
      </c>
      <c r="K192" s="34">
        <v>71.986301666700001</v>
      </c>
      <c r="L192" s="20">
        <v>160</v>
      </c>
      <c r="M192" s="12" t="s">
        <v>240</v>
      </c>
      <c r="N192" s="12"/>
      <c r="O192" s="24" t="s">
        <v>19</v>
      </c>
    </row>
    <row r="193" spans="1:15" ht="30" customHeight="1">
      <c r="A193" s="5" t="s">
        <v>103</v>
      </c>
      <c r="B193" s="34" t="s">
        <v>609</v>
      </c>
      <c r="C193" s="34" t="s">
        <v>512</v>
      </c>
      <c r="D193" s="31">
        <v>16296.763775726346</v>
      </c>
      <c r="E193" s="32">
        <v>13563.727381756755</v>
      </c>
      <c r="F193" s="31">
        <f t="shared" si="2"/>
        <v>390.43377056708442</v>
      </c>
      <c r="G193" s="33">
        <v>97</v>
      </c>
      <c r="H193" s="33">
        <v>0</v>
      </c>
      <c r="I193" s="12" t="s">
        <v>160</v>
      </c>
      <c r="J193" s="34">
        <v>40.872945000000001</v>
      </c>
      <c r="K193" s="34">
        <v>72.003528333299997</v>
      </c>
      <c r="L193" s="25">
        <v>250</v>
      </c>
      <c r="M193" s="12" t="s">
        <v>241</v>
      </c>
      <c r="N193" s="12"/>
      <c r="O193" s="24" t="s">
        <v>19</v>
      </c>
    </row>
    <row r="194" spans="1:15" ht="30" customHeight="1">
      <c r="A194" s="5" t="s">
        <v>103</v>
      </c>
      <c r="B194" s="34" t="s">
        <v>605</v>
      </c>
      <c r="C194" s="34" t="s">
        <v>337</v>
      </c>
      <c r="D194" s="31">
        <v>47896.80471572635</v>
      </c>
      <c r="E194" s="32">
        <v>41210.307381756757</v>
      </c>
      <c r="F194" s="31">
        <f t="shared" si="2"/>
        <v>955.21390485279903</v>
      </c>
      <c r="G194" s="33">
        <v>97</v>
      </c>
      <c r="H194" s="33">
        <v>4</v>
      </c>
      <c r="I194" s="12" t="s">
        <v>160</v>
      </c>
      <c r="J194" s="34">
        <v>40.890994999999997</v>
      </c>
      <c r="K194" s="34">
        <v>71.932898333300002</v>
      </c>
      <c r="L194" s="20">
        <v>400</v>
      </c>
      <c r="M194" s="12" t="s">
        <v>242</v>
      </c>
      <c r="N194" s="12"/>
      <c r="O194" s="24" t="s">
        <v>19</v>
      </c>
    </row>
    <row r="195" spans="1:15" ht="30" customHeight="1">
      <c r="A195" s="5" t="s">
        <v>103</v>
      </c>
      <c r="B195" s="34" t="s">
        <v>610</v>
      </c>
      <c r="C195" s="34" t="s">
        <v>513</v>
      </c>
      <c r="D195" s="31">
        <v>7269.5783757263471</v>
      </c>
      <c r="E195" s="32">
        <v>5665.9273817567564</v>
      </c>
      <c r="F195" s="31">
        <f t="shared" ref="F195:F258" si="3">(+D195-E195)/7</f>
        <v>229.09299913851297</v>
      </c>
      <c r="G195" s="33">
        <v>18</v>
      </c>
      <c r="H195" s="33">
        <v>0</v>
      </c>
      <c r="I195" s="12" t="s">
        <v>160</v>
      </c>
      <c r="J195" s="34">
        <v>40.87829</v>
      </c>
      <c r="K195" s="34">
        <v>72.038823333300002</v>
      </c>
      <c r="L195" s="20">
        <v>160</v>
      </c>
      <c r="M195" s="12" t="s">
        <v>243</v>
      </c>
      <c r="N195" s="12"/>
      <c r="O195" s="24" t="s">
        <v>19</v>
      </c>
    </row>
    <row r="196" spans="1:15" ht="30" customHeight="1">
      <c r="A196" s="5" t="s">
        <v>103</v>
      </c>
      <c r="B196" s="34" t="s">
        <v>613</v>
      </c>
      <c r="C196" s="34" t="s">
        <v>514</v>
      </c>
      <c r="D196" s="31">
        <v>10104.949895726344</v>
      </c>
      <c r="E196" s="32">
        <v>8146.5673817567558</v>
      </c>
      <c r="F196" s="31">
        <f t="shared" si="3"/>
        <v>279.76893056708406</v>
      </c>
      <c r="G196" s="33">
        <v>83</v>
      </c>
      <c r="H196" s="33">
        <v>4</v>
      </c>
      <c r="I196" s="12" t="s">
        <v>244</v>
      </c>
      <c r="J196" s="34">
        <v>40.838336666700002</v>
      </c>
      <c r="K196" s="34">
        <v>72.207795000000004</v>
      </c>
      <c r="L196" s="20">
        <v>100</v>
      </c>
      <c r="M196" s="12" t="s">
        <v>245</v>
      </c>
      <c r="N196" s="12"/>
      <c r="O196" s="24" t="s">
        <v>19</v>
      </c>
    </row>
    <row r="197" spans="1:15" ht="30" customHeight="1">
      <c r="A197" s="5" t="s">
        <v>103</v>
      </c>
      <c r="B197" s="34" t="s">
        <v>613</v>
      </c>
      <c r="C197" s="34" t="s">
        <v>515</v>
      </c>
      <c r="D197" s="31">
        <v>13595.717615726346</v>
      </c>
      <c r="E197" s="32">
        <v>11200.607381756754</v>
      </c>
      <c r="F197" s="31">
        <f t="shared" si="3"/>
        <v>342.15860485279882</v>
      </c>
      <c r="G197" s="33">
        <v>70</v>
      </c>
      <c r="H197" s="33">
        <v>0</v>
      </c>
      <c r="I197" s="12" t="s">
        <v>244</v>
      </c>
      <c r="J197" s="34">
        <v>40.839168333300002</v>
      </c>
      <c r="K197" s="34">
        <v>72.209829999999997</v>
      </c>
      <c r="L197" s="20">
        <v>100</v>
      </c>
      <c r="M197" s="12" t="s">
        <v>246</v>
      </c>
      <c r="N197" s="12"/>
      <c r="O197" s="24" t="s">
        <v>19</v>
      </c>
    </row>
    <row r="198" spans="1:15" ht="30" customHeight="1">
      <c r="A198" s="5" t="s">
        <v>103</v>
      </c>
      <c r="B198" s="34" t="s">
        <v>609</v>
      </c>
      <c r="C198" s="34" t="s">
        <v>516</v>
      </c>
      <c r="D198" s="31">
        <v>21918.552125726343</v>
      </c>
      <c r="E198" s="32">
        <v>18482.177381756755</v>
      </c>
      <c r="F198" s="31">
        <f t="shared" si="3"/>
        <v>490.91067770994101</v>
      </c>
      <c r="G198" s="33">
        <v>96</v>
      </c>
      <c r="H198" s="33">
        <v>1</v>
      </c>
      <c r="I198" s="12" t="s">
        <v>244</v>
      </c>
      <c r="J198" s="34">
        <v>40.875433333300002</v>
      </c>
      <c r="K198" s="34">
        <v>72.019919999999999</v>
      </c>
      <c r="L198" s="20">
        <v>160</v>
      </c>
      <c r="M198" s="12" t="s">
        <v>247</v>
      </c>
      <c r="N198" s="12"/>
      <c r="O198" s="24" t="s">
        <v>19</v>
      </c>
    </row>
    <row r="199" spans="1:15" ht="30" customHeight="1">
      <c r="A199" s="5" t="s">
        <v>103</v>
      </c>
      <c r="B199" s="34" t="s">
        <v>609</v>
      </c>
      <c r="C199" s="34" t="s">
        <v>517</v>
      </c>
      <c r="D199" s="31">
        <v>5960.1232857263458</v>
      </c>
      <c r="E199" s="32">
        <v>4520.2973817567554</v>
      </c>
      <c r="F199" s="31">
        <f t="shared" si="3"/>
        <v>205.68941485279862</v>
      </c>
      <c r="G199" s="33">
        <v>17</v>
      </c>
      <c r="H199" s="33">
        <v>1</v>
      </c>
      <c r="I199" s="12" t="s">
        <v>244</v>
      </c>
      <c r="J199" s="34">
        <v>40.874026666600002</v>
      </c>
      <c r="K199" s="34">
        <v>72.094549999700007</v>
      </c>
      <c r="L199" s="20">
        <v>250</v>
      </c>
      <c r="M199" s="12" t="s">
        <v>248</v>
      </c>
      <c r="N199" s="12"/>
      <c r="O199" s="24" t="s">
        <v>19</v>
      </c>
    </row>
    <row r="200" spans="1:15" ht="30" customHeight="1">
      <c r="A200" s="5" t="s">
        <v>103</v>
      </c>
      <c r="B200" s="34" t="s">
        <v>607</v>
      </c>
      <c r="C200" s="34" t="s">
        <v>518</v>
      </c>
      <c r="D200" s="31">
        <v>8039.114555726348</v>
      </c>
      <c r="E200" s="32">
        <v>6339.1873817567575</v>
      </c>
      <c r="F200" s="31">
        <f t="shared" si="3"/>
        <v>242.84673913851293</v>
      </c>
      <c r="G200" s="33">
        <v>50</v>
      </c>
      <c r="H200" s="33">
        <v>0</v>
      </c>
      <c r="I200" s="12"/>
      <c r="J200" s="34">
        <v>40.872078333300003</v>
      </c>
      <c r="K200" s="34">
        <v>71.959788333299997</v>
      </c>
      <c r="L200" s="20">
        <v>63</v>
      </c>
      <c r="M200" s="12" t="s">
        <v>249</v>
      </c>
      <c r="N200" s="12"/>
      <c r="O200" s="24" t="s">
        <v>19</v>
      </c>
    </row>
    <row r="201" spans="1:15" ht="30" customHeight="1">
      <c r="A201" s="5" t="s">
        <v>103</v>
      </c>
      <c r="B201" s="34" t="s">
        <v>608</v>
      </c>
      <c r="C201" s="34" t="s">
        <v>519</v>
      </c>
      <c r="D201" s="31">
        <v>9135.2286957263441</v>
      </c>
      <c r="E201" s="32">
        <v>7298.1673817567544</v>
      </c>
      <c r="F201" s="31">
        <f t="shared" si="3"/>
        <v>262.43733056708425</v>
      </c>
      <c r="G201" s="33">
        <v>43</v>
      </c>
      <c r="H201" s="33">
        <v>0</v>
      </c>
      <c r="I201" s="12" t="s">
        <v>250</v>
      </c>
      <c r="J201" s="34">
        <v>40.885644999999997</v>
      </c>
      <c r="K201" s="34">
        <v>71.975255000000004</v>
      </c>
      <c r="L201" s="20">
        <v>250</v>
      </c>
      <c r="M201" s="12" t="s">
        <v>251</v>
      </c>
      <c r="N201" s="12"/>
      <c r="O201" s="24" t="s">
        <v>19</v>
      </c>
    </row>
    <row r="202" spans="1:15" ht="30" customHeight="1">
      <c r="A202" s="19" t="s">
        <v>103</v>
      </c>
      <c r="B202" s="34" t="s">
        <v>608</v>
      </c>
      <c r="C202" s="34" t="s">
        <v>520</v>
      </c>
      <c r="D202" s="31">
        <v>6986.6858757263471</v>
      </c>
      <c r="E202" s="32">
        <v>5418.4273817567564</v>
      </c>
      <c r="F202" s="31">
        <f t="shared" si="3"/>
        <v>224.03692770994152</v>
      </c>
      <c r="G202" s="33">
        <v>38</v>
      </c>
      <c r="H202" s="33">
        <v>1</v>
      </c>
      <c r="I202" s="13" t="s">
        <v>250</v>
      </c>
      <c r="J202" s="34">
        <v>40.883506666700001</v>
      </c>
      <c r="K202" s="34">
        <v>71.977718333300004</v>
      </c>
      <c r="L202" s="20">
        <v>250</v>
      </c>
      <c r="M202" s="12" t="s">
        <v>252</v>
      </c>
      <c r="N202" s="12"/>
      <c r="O202" s="24" t="s">
        <v>19</v>
      </c>
    </row>
    <row r="203" spans="1:15" ht="30" customHeight="1">
      <c r="A203" s="19" t="s">
        <v>103</v>
      </c>
      <c r="B203" s="34" t="s">
        <v>610</v>
      </c>
      <c r="C203" s="34" t="s">
        <v>521</v>
      </c>
      <c r="D203" s="31">
        <v>2382.4304157263468</v>
      </c>
      <c r="E203" s="32">
        <v>1390.2073817567559</v>
      </c>
      <c r="F203" s="31">
        <f t="shared" si="3"/>
        <v>141.74614770994157</v>
      </c>
      <c r="G203" s="33">
        <v>20</v>
      </c>
      <c r="H203" s="33">
        <v>1</v>
      </c>
      <c r="I203" s="13" t="s">
        <v>250</v>
      </c>
      <c r="J203" s="34">
        <v>40.877465000000001</v>
      </c>
      <c r="K203" s="34">
        <v>72.08811</v>
      </c>
      <c r="L203" s="20">
        <v>250</v>
      </c>
      <c r="M203" s="12" t="s">
        <v>253</v>
      </c>
      <c r="N203" s="12"/>
      <c r="O203" s="24" t="s">
        <v>19</v>
      </c>
    </row>
    <row r="204" spans="1:15" ht="30" customHeight="1">
      <c r="A204" s="19" t="s">
        <v>103</v>
      </c>
      <c r="B204" s="34" t="s">
        <v>611</v>
      </c>
      <c r="C204" s="34" t="s">
        <v>522</v>
      </c>
      <c r="D204" s="31">
        <v>29034.52722572635</v>
      </c>
      <c r="E204" s="32">
        <v>24707.87738175676</v>
      </c>
      <c r="F204" s="31">
        <f t="shared" si="3"/>
        <v>618.09283485279855</v>
      </c>
      <c r="G204" s="33">
        <v>83</v>
      </c>
      <c r="H204" s="33">
        <v>0</v>
      </c>
      <c r="I204" s="13" t="s">
        <v>254</v>
      </c>
      <c r="J204" s="34">
        <v>40.861406666699999</v>
      </c>
      <c r="K204" s="34">
        <v>72.060223333300002</v>
      </c>
      <c r="L204" s="20">
        <v>100</v>
      </c>
      <c r="M204" s="12" t="s">
        <v>255</v>
      </c>
      <c r="N204" s="12"/>
      <c r="O204" s="24" t="s">
        <v>19</v>
      </c>
    </row>
    <row r="205" spans="1:15" ht="30" customHeight="1">
      <c r="A205" s="19" t="s">
        <v>103</v>
      </c>
      <c r="B205" s="34" t="s">
        <v>609</v>
      </c>
      <c r="C205" s="34" t="s">
        <v>523</v>
      </c>
      <c r="D205" s="31">
        <v>12283.016405726346</v>
      </c>
      <c r="E205" s="32">
        <v>10052.137381756755</v>
      </c>
      <c r="F205" s="31">
        <f t="shared" si="3"/>
        <v>318.69700342422738</v>
      </c>
      <c r="G205" s="33">
        <v>62</v>
      </c>
      <c r="H205" s="33">
        <v>0</v>
      </c>
      <c r="I205" s="13" t="s">
        <v>254</v>
      </c>
      <c r="J205" s="34">
        <v>40.876036666700003</v>
      </c>
      <c r="K205" s="34">
        <v>72.012455000000003</v>
      </c>
      <c r="L205" s="20">
        <v>63</v>
      </c>
      <c r="M205" s="12" t="s">
        <v>256</v>
      </c>
      <c r="N205" s="12"/>
      <c r="O205" s="24" t="s">
        <v>19</v>
      </c>
    </row>
    <row r="206" spans="1:15" ht="30" customHeight="1">
      <c r="A206" s="19" t="s">
        <v>103</v>
      </c>
      <c r="B206" s="34" t="s">
        <v>608</v>
      </c>
      <c r="C206" s="34" t="s">
        <v>524</v>
      </c>
      <c r="D206" s="31">
        <v>70985.999075726344</v>
      </c>
      <c r="E206" s="32">
        <v>61410.827381756746</v>
      </c>
      <c r="F206" s="31">
        <f t="shared" si="3"/>
        <v>1367.8816705670854</v>
      </c>
      <c r="G206" s="33">
        <v>133</v>
      </c>
      <c r="H206" s="33">
        <v>0</v>
      </c>
      <c r="I206" s="13" t="s">
        <v>254</v>
      </c>
      <c r="J206" s="34">
        <v>40.878603333299999</v>
      </c>
      <c r="K206" s="34">
        <v>71.971546666699993</v>
      </c>
      <c r="L206" s="20">
        <v>100</v>
      </c>
      <c r="M206" s="12" t="s">
        <v>257</v>
      </c>
      <c r="N206" s="12"/>
      <c r="O206" s="24" t="s">
        <v>19</v>
      </c>
    </row>
    <row r="207" spans="1:15" ht="30" customHeight="1">
      <c r="A207" s="19" t="s">
        <v>103</v>
      </c>
      <c r="B207" s="34" t="s">
        <v>609</v>
      </c>
      <c r="C207" s="34" t="s">
        <v>525</v>
      </c>
      <c r="D207" s="31">
        <v>8975.7230457263468</v>
      </c>
      <c r="E207" s="32">
        <v>7158.6173817567569</v>
      </c>
      <c r="F207" s="31">
        <f t="shared" si="3"/>
        <v>259.5865234242271</v>
      </c>
      <c r="G207" s="33">
        <v>46</v>
      </c>
      <c r="H207" s="33">
        <v>0</v>
      </c>
      <c r="I207" s="13" t="s">
        <v>254</v>
      </c>
      <c r="J207" s="34">
        <v>40.877144999999999</v>
      </c>
      <c r="K207" s="34">
        <v>72.008285000000001</v>
      </c>
      <c r="L207" s="20">
        <v>160</v>
      </c>
      <c r="M207" s="12"/>
      <c r="N207" s="12" t="s">
        <v>258</v>
      </c>
      <c r="O207" s="24" t="s">
        <v>19</v>
      </c>
    </row>
    <row r="208" spans="1:15" ht="30" customHeight="1">
      <c r="A208" s="19" t="s">
        <v>103</v>
      </c>
      <c r="B208" s="34" t="s">
        <v>610</v>
      </c>
      <c r="C208" s="34" t="s">
        <v>526</v>
      </c>
      <c r="D208" s="31">
        <v>18327.166115726348</v>
      </c>
      <c r="E208" s="32">
        <v>15340.107381756754</v>
      </c>
      <c r="F208" s="31">
        <f t="shared" si="3"/>
        <v>426.72267628137058</v>
      </c>
      <c r="G208" s="33">
        <v>112</v>
      </c>
      <c r="H208" s="33">
        <v>0</v>
      </c>
      <c r="I208" s="13" t="s">
        <v>254</v>
      </c>
      <c r="J208" s="34">
        <v>40.881168333300003</v>
      </c>
      <c r="K208" s="34">
        <v>72.049769999999995</v>
      </c>
      <c r="L208" s="20">
        <v>160</v>
      </c>
      <c r="M208" s="12" t="s">
        <v>259</v>
      </c>
      <c r="N208" s="12"/>
      <c r="O208" s="24" t="s">
        <v>19</v>
      </c>
    </row>
    <row r="209" spans="1:15" ht="30" customHeight="1">
      <c r="A209" s="19" t="s">
        <v>103</v>
      </c>
      <c r="B209" s="34" t="s">
        <v>611</v>
      </c>
      <c r="C209" s="34" t="s">
        <v>527</v>
      </c>
      <c r="D209" s="31">
        <v>6087.6477957263478</v>
      </c>
      <c r="E209" s="32">
        <v>4631.867381756756</v>
      </c>
      <c r="F209" s="31">
        <f t="shared" si="3"/>
        <v>207.96863056708455</v>
      </c>
      <c r="G209" s="33">
        <v>79</v>
      </c>
      <c r="H209" s="33">
        <v>7</v>
      </c>
      <c r="I209" s="13" t="s">
        <v>254</v>
      </c>
      <c r="J209" s="34">
        <v>40.850251666699997</v>
      </c>
      <c r="K209" s="34">
        <v>72.055284999999998</v>
      </c>
      <c r="L209" s="20">
        <v>250</v>
      </c>
      <c r="M209" s="12" t="s">
        <v>260</v>
      </c>
      <c r="N209" s="12"/>
      <c r="O209" s="24" t="s">
        <v>19</v>
      </c>
    </row>
    <row r="210" spans="1:15" ht="30" customHeight="1">
      <c r="A210" s="19" t="s">
        <v>103</v>
      </c>
      <c r="B210" s="34" t="s">
        <v>610</v>
      </c>
      <c r="C210" s="34" t="s">
        <v>528</v>
      </c>
      <c r="D210" s="31">
        <v>24018.14025572635</v>
      </c>
      <c r="E210" s="32">
        <v>20319.087381756759</v>
      </c>
      <c r="F210" s="31">
        <f t="shared" si="3"/>
        <v>528.43612485279868</v>
      </c>
      <c r="G210" s="33">
        <v>50</v>
      </c>
      <c r="H210" s="33">
        <v>0</v>
      </c>
      <c r="I210" s="13" t="s">
        <v>254</v>
      </c>
      <c r="J210" s="34">
        <v>40.8797483333</v>
      </c>
      <c r="K210" s="34">
        <v>72.029821666700002</v>
      </c>
      <c r="L210" s="20">
        <v>40</v>
      </c>
      <c r="M210" s="12" t="s">
        <v>261</v>
      </c>
      <c r="N210" s="12"/>
      <c r="O210" s="24" t="s">
        <v>19</v>
      </c>
    </row>
    <row r="211" spans="1:15" ht="30" customHeight="1">
      <c r="A211" s="19" t="s">
        <v>103</v>
      </c>
      <c r="B211" s="34" t="s">
        <v>608</v>
      </c>
      <c r="C211" s="34" t="s">
        <v>529</v>
      </c>
      <c r="D211" s="31">
        <v>19117.161995726347</v>
      </c>
      <c r="E211" s="32">
        <v>16031.267381756754</v>
      </c>
      <c r="F211" s="31">
        <f t="shared" si="3"/>
        <v>440.84208770994184</v>
      </c>
      <c r="G211" s="33">
        <v>43</v>
      </c>
      <c r="H211" s="33">
        <v>0</v>
      </c>
      <c r="I211" s="13" t="s">
        <v>206</v>
      </c>
      <c r="J211" s="34">
        <v>40.87462</v>
      </c>
      <c r="K211" s="34">
        <v>71.975811666699997</v>
      </c>
      <c r="L211" s="20">
        <v>250</v>
      </c>
      <c r="M211" s="12" t="s">
        <v>262</v>
      </c>
      <c r="N211" s="12"/>
      <c r="O211" s="24" t="s">
        <v>19</v>
      </c>
    </row>
    <row r="212" spans="1:15" ht="30" customHeight="1">
      <c r="A212" s="19" t="s">
        <v>103</v>
      </c>
      <c r="B212" s="34" t="s">
        <v>613</v>
      </c>
      <c r="C212" s="34" t="s">
        <v>530</v>
      </c>
      <c r="D212" s="31">
        <v>4738.9649457263467</v>
      </c>
      <c r="E212" s="32">
        <v>3451.9173817567553</v>
      </c>
      <c r="F212" s="31">
        <f t="shared" si="3"/>
        <v>183.86393770994164</v>
      </c>
      <c r="G212" s="33">
        <v>55</v>
      </c>
      <c r="H212" s="33">
        <v>1</v>
      </c>
      <c r="I212" s="13" t="s">
        <v>206</v>
      </c>
      <c r="J212" s="34">
        <v>40.841295000000002</v>
      </c>
      <c r="K212" s="34">
        <v>72.169233333299999</v>
      </c>
      <c r="L212" s="20">
        <v>63</v>
      </c>
      <c r="M212" s="12" t="s">
        <v>263</v>
      </c>
      <c r="N212" s="12"/>
      <c r="O212" s="24" t="s">
        <v>19</v>
      </c>
    </row>
    <row r="213" spans="1:15" ht="30" customHeight="1">
      <c r="A213" s="19" t="s">
        <v>103</v>
      </c>
      <c r="B213" s="34" t="s">
        <v>610</v>
      </c>
      <c r="C213" s="34" t="s">
        <v>531</v>
      </c>
      <c r="D213" s="31">
        <v>15113.324435726345</v>
      </c>
      <c r="E213" s="32">
        <v>12528.347381756754</v>
      </c>
      <c r="F213" s="31">
        <f t="shared" si="3"/>
        <v>369.28243628137017</v>
      </c>
      <c r="G213" s="33">
        <v>62</v>
      </c>
      <c r="H213" s="33">
        <v>1</v>
      </c>
      <c r="I213" s="13" t="s">
        <v>264</v>
      </c>
      <c r="J213" s="34">
        <v>40.8741466667</v>
      </c>
      <c r="K213" s="34">
        <v>72.027926666699997</v>
      </c>
      <c r="L213" s="20">
        <v>25</v>
      </c>
      <c r="M213" s="12"/>
      <c r="N213" s="12" t="s">
        <v>194</v>
      </c>
      <c r="O213" s="24" t="s">
        <v>19</v>
      </c>
    </row>
    <row r="214" spans="1:15" ht="30" customHeight="1">
      <c r="A214" s="19" t="s">
        <v>103</v>
      </c>
      <c r="B214" s="34" t="s">
        <v>613</v>
      </c>
      <c r="C214" s="34" t="s">
        <v>532</v>
      </c>
      <c r="D214" s="31">
        <v>4740.5537157263461</v>
      </c>
      <c r="E214" s="32">
        <v>3453.3073817567556</v>
      </c>
      <c r="F214" s="31">
        <f t="shared" si="3"/>
        <v>183.89233342422722</v>
      </c>
      <c r="G214" s="33">
        <v>50</v>
      </c>
      <c r="H214" s="33">
        <v>0</v>
      </c>
      <c r="I214" s="13" t="s">
        <v>250</v>
      </c>
      <c r="J214" s="34">
        <v>40.822923333299997</v>
      </c>
      <c r="K214" s="34">
        <v>72.176041666700002</v>
      </c>
      <c r="L214" s="20">
        <v>100</v>
      </c>
      <c r="M214" s="12" t="s">
        <v>265</v>
      </c>
      <c r="N214" s="12"/>
      <c r="O214" s="24" t="s">
        <v>19</v>
      </c>
    </row>
    <row r="215" spans="1:15" ht="30" customHeight="1">
      <c r="A215" s="19" t="s">
        <v>103</v>
      </c>
      <c r="B215" s="34" t="s">
        <v>609</v>
      </c>
      <c r="C215" s="34" t="s">
        <v>533</v>
      </c>
      <c r="D215" s="31">
        <v>9440.8097457263466</v>
      </c>
      <c r="E215" s="32">
        <v>7565.5173817567565</v>
      </c>
      <c r="F215" s="31">
        <f t="shared" si="3"/>
        <v>267.89890913851286</v>
      </c>
      <c r="G215" s="33">
        <v>68</v>
      </c>
      <c r="H215" s="33">
        <v>0</v>
      </c>
      <c r="I215" s="13" t="s">
        <v>160</v>
      </c>
      <c r="J215" s="34">
        <v>40.871153333300001</v>
      </c>
      <c r="K215" s="34">
        <v>72.022553333299996</v>
      </c>
      <c r="L215" s="20">
        <v>250</v>
      </c>
      <c r="M215" s="12" t="s">
        <v>266</v>
      </c>
      <c r="N215" s="12"/>
      <c r="O215" s="24" t="s">
        <v>19</v>
      </c>
    </row>
    <row r="216" spans="1:15" ht="30" customHeight="1">
      <c r="A216" s="19" t="s">
        <v>103</v>
      </c>
      <c r="B216" s="34" t="s">
        <v>610</v>
      </c>
      <c r="C216" s="34" t="s">
        <v>534</v>
      </c>
      <c r="D216" s="31">
        <v>41294.265215726351</v>
      </c>
      <c r="E216" s="32">
        <v>35433.807381756757</v>
      </c>
      <c r="F216" s="31">
        <f t="shared" si="3"/>
        <v>837.20826199565636</v>
      </c>
      <c r="G216" s="33">
        <v>91</v>
      </c>
      <c r="H216" s="33">
        <v>3</v>
      </c>
      <c r="I216" s="13" t="s">
        <v>84</v>
      </c>
      <c r="J216" s="34">
        <v>40.879914999999997</v>
      </c>
      <c r="K216" s="34">
        <v>72.089108333300004</v>
      </c>
      <c r="L216" s="20">
        <v>40</v>
      </c>
      <c r="M216" s="12" t="s">
        <v>267</v>
      </c>
      <c r="N216" s="12"/>
      <c r="O216" s="24" t="s">
        <v>19</v>
      </c>
    </row>
    <row r="217" spans="1:15" ht="30" customHeight="1">
      <c r="A217" s="19" t="s">
        <v>103</v>
      </c>
      <c r="B217" s="34" t="s">
        <v>609</v>
      </c>
      <c r="C217" s="34" t="s">
        <v>535</v>
      </c>
      <c r="D217" s="31">
        <v>7148.9347257263453</v>
      </c>
      <c r="E217" s="32">
        <v>5560.3773817567553</v>
      </c>
      <c r="F217" s="31">
        <f t="shared" si="3"/>
        <v>226.93676342422714</v>
      </c>
      <c r="G217" s="33">
        <v>46</v>
      </c>
      <c r="H217" s="33">
        <v>1</v>
      </c>
      <c r="I217" s="13" t="s">
        <v>106</v>
      </c>
      <c r="J217" s="34">
        <v>40.876891666699997</v>
      </c>
      <c r="K217" s="34">
        <v>71.987205000000003</v>
      </c>
      <c r="L217" s="19">
        <v>160</v>
      </c>
      <c r="M217" s="12" t="s">
        <v>268</v>
      </c>
      <c r="N217" s="12"/>
      <c r="O217" s="24" t="s">
        <v>19</v>
      </c>
    </row>
    <row r="218" spans="1:15" ht="30" customHeight="1">
      <c r="A218" s="19" t="s">
        <v>103</v>
      </c>
      <c r="B218" s="34" t="s">
        <v>609</v>
      </c>
      <c r="C218" s="34" t="s">
        <v>536</v>
      </c>
      <c r="D218" s="31">
        <v>7826.5508457263459</v>
      </c>
      <c r="E218" s="32">
        <v>6153.2173817567564</v>
      </c>
      <c r="F218" s="31">
        <f t="shared" si="3"/>
        <v>239.04763770994137</v>
      </c>
      <c r="G218" s="33">
        <v>37</v>
      </c>
      <c r="H218" s="33">
        <v>1</v>
      </c>
      <c r="I218" s="13"/>
      <c r="J218" s="34">
        <v>40.8787183333</v>
      </c>
      <c r="K218" s="34">
        <v>71.984646666700002</v>
      </c>
      <c r="L218" s="20">
        <v>160</v>
      </c>
      <c r="M218" s="12" t="s">
        <v>269</v>
      </c>
      <c r="N218" s="12"/>
      <c r="O218" s="24" t="s">
        <v>19</v>
      </c>
    </row>
    <row r="219" spans="1:15" ht="30" customHeight="1">
      <c r="A219" s="19" t="s">
        <v>103</v>
      </c>
      <c r="B219" s="34" t="s">
        <v>613</v>
      </c>
      <c r="C219" s="34" t="s">
        <v>537</v>
      </c>
      <c r="D219" s="31">
        <v>14466.146405726347</v>
      </c>
      <c r="E219" s="32">
        <v>11962.137381756755</v>
      </c>
      <c r="F219" s="31">
        <f t="shared" si="3"/>
        <v>357.71557485279897</v>
      </c>
      <c r="G219" s="33">
        <v>90</v>
      </c>
      <c r="H219" s="33">
        <v>0</v>
      </c>
      <c r="I219" s="13"/>
      <c r="J219" s="34">
        <v>40.835000000000001</v>
      </c>
      <c r="K219" s="34">
        <v>72.206898333300003</v>
      </c>
      <c r="L219" s="20">
        <v>63</v>
      </c>
      <c r="M219" s="12" t="s">
        <v>270</v>
      </c>
      <c r="N219" s="12"/>
      <c r="O219" s="24" t="s">
        <v>19</v>
      </c>
    </row>
    <row r="220" spans="1:15" ht="30" customHeight="1">
      <c r="A220" s="19" t="s">
        <v>103</v>
      </c>
      <c r="B220" s="34" t="s">
        <v>608</v>
      </c>
      <c r="C220" s="34" t="s">
        <v>538</v>
      </c>
      <c r="D220" s="31">
        <v>7061.1980457263471</v>
      </c>
      <c r="E220" s="32">
        <v>5483.617381756756</v>
      </c>
      <c r="F220" s="31">
        <f t="shared" si="3"/>
        <v>225.36866628137017</v>
      </c>
      <c r="G220" s="33">
        <v>74</v>
      </c>
      <c r="H220" s="33">
        <v>1</v>
      </c>
      <c r="I220" s="13"/>
      <c r="J220" s="34">
        <v>40.880708333299999</v>
      </c>
      <c r="K220" s="34">
        <v>71.964420000000004</v>
      </c>
      <c r="L220" s="20">
        <v>63</v>
      </c>
      <c r="M220" s="12" t="s">
        <v>271</v>
      </c>
      <c r="N220" s="12"/>
      <c r="O220" s="24" t="s">
        <v>19</v>
      </c>
    </row>
    <row r="221" spans="1:15" ht="30" customHeight="1">
      <c r="A221" s="19" t="s">
        <v>16</v>
      </c>
      <c r="B221" s="34" t="s">
        <v>607</v>
      </c>
      <c r="C221" s="34" t="s">
        <v>539</v>
      </c>
      <c r="D221" s="31">
        <v>69763.606295726349</v>
      </c>
      <c r="E221" s="32">
        <v>60341.367381756754</v>
      </c>
      <c r="F221" s="31">
        <f t="shared" si="3"/>
        <v>1346.034130567085</v>
      </c>
      <c r="G221" s="33">
        <v>65</v>
      </c>
      <c r="H221" s="33">
        <v>1</v>
      </c>
      <c r="I221" s="13"/>
      <c r="J221" s="34">
        <v>40.874901666699998</v>
      </c>
      <c r="K221" s="34">
        <v>71.967150000000004</v>
      </c>
      <c r="L221" s="20">
        <v>160</v>
      </c>
      <c r="M221" s="12" t="s">
        <v>272</v>
      </c>
      <c r="N221" s="12"/>
      <c r="O221" s="24" t="s">
        <v>19</v>
      </c>
    </row>
    <row r="222" spans="1:15" ht="30" customHeight="1">
      <c r="A222" s="19" t="s">
        <v>103</v>
      </c>
      <c r="B222" s="34" t="s">
        <v>607</v>
      </c>
      <c r="C222" s="34" t="s">
        <v>540</v>
      </c>
      <c r="D222" s="31">
        <v>9793.9281657263455</v>
      </c>
      <c r="E222" s="32">
        <v>7874.4573817567552</v>
      </c>
      <c r="F222" s="31">
        <f t="shared" si="3"/>
        <v>274.21011199565572</v>
      </c>
      <c r="G222" s="33">
        <v>119</v>
      </c>
      <c r="H222" s="33">
        <v>4</v>
      </c>
      <c r="I222" s="13"/>
      <c r="J222" s="34">
        <v>40.869693333299999</v>
      </c>
      <c r="K222" s="34">
        <v>71.966144999999997</v>
      </c>
      <c r="L222" s="19">
        <v>160</v>
      </c>
      <c r="M222" s="12" t="s">
        <v>273</v>
      </c>
      <c r="N222" s="12"/>
      <c r="O222" s="24" t="s">
        <v>19</v>
      </c>
    </row>
    <row r="223" spans="1:15" ht="30" customHeight="1">
      <c r="A223" s="19" t="s">
        <v>103</v>
      </c>
      <c r="B223" s="34" t="s">
        <v>605</v>
      </c>
      <c r="C223" s="34" t="s">
        <v>311</v>
      </c>
      <c r="D223" s="31">
        <v>6462.8832657263474</v>
      </c>
      <c r="E223" s="32">
        <v>4960.157381756756</v>
      </c>
      <c r="F223" s="31">
        <f t="shared" si="3"/>
        <v>214.67512628137021</v>
      </c>
      <c r="G223" s="33">
        <v>80</v>
      </c>
      <c r="H223" s="33">
        <v>0</v>
      </c>
      <c r="I223" s="13" t="s">
        <v>123</v>
      </c>
      <c r="J223" s="34">
        <v>40.8802053239</v>
      </c>
      <c r="K223" s="34">
        <v>71.948066717000003</v>
      </c>
      <c r="L223" s="20">
        <v>100</v>
      </c>
      <c r="M223" s="12" t="s">
        <v>274</v>
      </c>
      <c r="N223" s="12"/>
      <c r="O223" s="24" t="s">
        <v>19</v>
      </c>
    </row>
    <row r="224" spans="1:15" ht="30" customHeight="1">
      <c r="A224" s="19" t="s">
        <v>16</v>
      </c>
      <c r="B224" s="34" t="s">
        <v>613</v>
      </c>
      <c r="C224" s="34" t="s">
        <v>541</v>
      </c>
      <c r="D224" s="31">
        <v>11481.373355726344</v>
      </c>
      <c r="E224" s="32">
        <v>9350.7873817567543</v>
      </c>
      <c r="F224" s="31">
        <f t="shared" si="3"/>
        <v>304.36942485279855</v>
      </c>
      <c r="G224" s="33">
        <v>35</v>
      </c>
      <c r="H224" s="33">
        <v>0</v>
      </c>
      <c r="I224" s="13" t="s">
        <v>58</v>
      </c>
      <c r="J224" s="34">
        <v>40.837551666700001</v>
      </c>
      <c r="K224" s="34">
        <v>72.172751666699995</v>
      </c>
      <c r="L224" s="20">
        <v>100</v>
      </c>
      <c r="M224" s="12" t="s">
        <v>275</v>
      </c>
      <c r="N224" s="12"/>
      <c r="O224" s="24" t="s">
        <v>19</v>
      </c>
    </row>
    <row r="225" spans="1:15" ht="30" customHeight="1">
      <c r="A225" s="16" t="s">
        <v>16</v>
      </c>
      <c r="B225" s="34" t="s">
        <v>606</v>
      </c>
      <c r="C225" s="34" t="s">
        <v>542</v>
      </c>
      <c r="D225" s="31">
        <v>17107.082195726347</v>
      </c>
      <c r="E225" s="32">
        <v>14272.667381756753</v>
      </c>
      <c r="F225" s="31">
        <f t="shared" si="3"/>
        <v>404.9164019956562</v>
      </c>
      <c r="G225" s="33">
        <v>81</v>
      </c>
      <c r="H225" s="33">
        <v>2</v>
      </c>
      <c r="I225" s="15" t="s">
        <v>276</v>
      </c>
      <c r="J225" s="34">
        <v>40.857341666700002</v>
      </c>
      <c r="K225" s="34">
        <v>72.001365000000007</v>
      </c>
      <c r="L225" s="15">
        <v>1000</v>
      </c>
      <c r="M225" s="12"/>
      <c r="N225" s="12"/>
      <c r="O225" s="24" t="s">
        <v>19</v>
      </c>
    </row>
    <row r="226" spans="1:15" ht="30" customHeight="1">
      <c r="A226" s="16" t="s">
        <v>16</v>
      </c>
      <c r="B226" s="34" t="s">
        <v>608</v>
      </c>
      <c r="C226" s="34" t="s">
        <v>543</v>
      </c>
      <c r="D226" s="31">
        <v>8619.6785457263468</v>
      </c>
      <c r="E226" s="32">
        <v>6847.1173817567569</v>
      </c>
      <c r="F226" s="31">
        <f t="shared" si="3"/>
        <v>253.22302342422714</v>
      </c>
      <c r="G226" s="33">
        <v>43</v>
      </c>
      <c r="H226" s="33">
        <v>0</v>
      </c>
      <c r="I226" s="15" t="s">
        <v>276</v>
      </c>
      <c r="J226" s="34">
        <v>40.883535000000002</v>
      </c>
      <c r="K226" s="34">
        <v>71.979993333300001</v>
      </c>
      <c r="L226" s="15">
        <v>630</v>
      </c>
      <c r="M226" s="12"/>
      <c r="N226" s="12"/>
      <c r="O226" s="24" t="s">
        <v>19</v>
      </c>
    </row>
    <row r="227" spans="1:15" ht="30" customHeight="1">
      <c r="A227" s="16" t="s">
        <v>16</v>
      </c>
      <c r="B227" s="34" t="s">
        <v>611</v>
      </c>
      <c r="C227" s="34" t="s">
        <v>544</v>
      </c>
      <c r="D227" s="31">
        <v>12748.125965726345</v>
      </c>
      <c r="E227" s="32">
        <v>10459.057381756757</v>
      </c>
      <c r="F227" s="31">
        <f t="shared" si="3"/>
        <v>327.00979770994127</v>
      </c>
      <c r="G227" s="33">
        <v>44</v>
      </c>
      <c r="H227" s="33">
        <v>3</v>
      </c>
      <c r="I227" s="15" t="s">
        <v>277</v>
      </c>
      <c r="J227" s="34">
        <v>40.874026666600002</v>
      </c>
      <c r="K227" s="34">
        <v>72.094549999700007</v>
      </c>
      <c r="L227" s="15">
        <v>400</v>
      </c>
      <c r="M227" s="12"/>
      <c r="N227" s="12"/>
      <c r="O227" s="24" t="s">
        <v>19</v>
      </c>
    </row>
    <row r="228" spans="1:15" ht="30" customHeight="1">
      <c r="A228" s="16" t="s">
        <v>103</v>
      </c>
      <c r="B228" s="34" t="s">
        <v>612</v>
      </c>
      <c r="C228" s="34" t="s">
        <v>545</v>
      </c>
      <c r="D228" s="31">
        <v>5682.1056807263458</v>
      </c>
      <c r="E228" s="32">
        <v>4277.0623817567548</v>
      </c>
      <c r="F228" s="31">
        <f t="shared" si="3"/>
        <v>200.72047128137015</v>
      </c>
      <c r="G228" s="33">
        <v>67</v>
      </c>
      <c r="H228" s="33">
        <v>1</v>
      </c>
      <c r="I228" s="15" t="s">
        <v>278</v>
      </c>
      <c r="J228" s="34">
        <v>40.846710000000002</v>
      </c>
      <c r="K228" s="34">
        <v>72.065683333300001</v>
      </c>
      <c r="L228" s="15">
        <v>1000</v>
      </c>
      <c r="M228" s="12"/>
      <c r="N228" s="12"/>
      <c r="O228" s="24" t="s">
        <v>19</v>
      </c>
    </row>
    <row r="229" spans="1:15" ht="30" customHeight="1">
      <c r="A229" s="16" t="s">
        <v>16</v>
      </c>
      <c r="B229" s="34" t="s">
        <v>613</v>
      </c>
      <c r="C229" s="34" t="s">
        <v>546</v>
      </c>
      <c r="D229" s="31">
        <v>38989.211405726346</v>
      </c>
      <c r="E229" s="32">
        <v>33417.137381756758</v>
      </c>
      <c r="F229" s="31">
        <f t="shared" si="3"/>
        <v>796.0105748527983</v>
      </c>
      <c r="G229" s="33">
        <v>118</v>
      </c>
      <c r="H229" s="33">
        <v>0</v>
      </c>
      <c r="I229" s="15" t="s">
        <v>279</v>
      </c>
      <c r="J229" s="34">
        <v>40.839961666699999</v>
      </c>
      <c r="K229" s="34">
        <v>72.232654999999994</v>
      </c>
      <c r="L229" s="15">
        <v>1000</v>
      </c>
      <c r="M229" s="12"/>
      <c r="N229" s="12"/>
      <c r="O229" s="24" t="s">
        <v>19</v>
      </c>
    </row>
    <row r="230" spans="1:15" ht="30" customHeight="1">
      <c r="A230" s="16" t="s">
        <v>16</v>
      </c>
      <c r="B230" s="34" t="s">
        <v>608</v>
      </c>
      <c r="C230" s="34" t="s">
        <v>547</v>
      </c>
      <c r="D230" s="31">
        <v>40929.122435726349</v>
      </c>
      <c r="E230" s="32">
        <v>35114.347381756757</v>
      </c>
      <c r="F230" s="31">
        <f t="shared" si="3"/>
        <v>830.68215056708448</v>
      </c>
      <c r="G230" s="33">
        <v>94</v>
      </c>
      <c r="H230" s="33">
        <v>0</v>
      </c>
      <c r="I230" s="15" t="s">
        <v>276</v>
      </c>
      <c r="J230" s="34">
        <v>40.873249936800001</v>
      </c>
      <c r="K230" s="34">
        <v>71.969074951500005</v>
      </c>
      <c r="L230" s="15">
        <v>160</v>
      </c>
      <c r="M230" s="12"/>
      <c r="N230" s="12"/>
      <c r="O230" s="24" t="s">
        <v>19</v>
      </c>
    </row>
    <row r="231" spans="1:15" ht="30" customHeight="1">
      <c r="A231" s="16" t="s">
        <v>16</v>
      </c>
      <c r="B231" s="34" t="s">
        <v>605</v>
      </c>
      <c r="C231" s="34" t="s">
        <v>339</v>
      </c>
      <c r="D231" s="31">
        <v>31208.216045726349</v>
      </c>
      <c r="E231" s="32">
        <v>26609.617381756761</v>
      </c>
      <c r="F231" s="31">
        <f t="shared" si="3"/>
        <v>656.94266628136961</v>
      </c>
      <c r="G231" s="33">
        <v>45</v>
      </c>
      <c r="H231" s="33">
        <v>1</v>
      </c>
      <c r="I231" s="15" t="s">
        <v>280</v>
      </c>
      <c r="J231" s="34">
        <v>40.895608333299997</v>
      </c>
      <c r="K231" s="34">
        <v>71.923013333300005</v>
      </c>
      <c r="L231" s="15">
        <v>100</v>
      </c>
      <c r="M231" s="12"/>
      <c r="N231" s="12"/>
      <c r="O231" s="24" t="s">
        <v>19</v>
      </c>
    </row>
    <row r="232" spans="1:15" ht="30" customHeight="1">
      <c r="A232" s="16" t="s">
        <v>16</v>
      </c>
      <c r="B232" s="34" t="s">
        <v>607</v>
      </c>
      <c r="C232" s="34" t="s">
        <v>548</v>
      </c>
      <c r="D232" s="31">
        <v>8509.7905257263465</v>
      </c>
      <c r="E232" s="32">
        <v>6750.9773817567566</v>
      </c>
      <c r="F232" s="31">
        <f t="shared" si="3"/>
        <v>251.25902056708426</v>
      </c>
      <c r="G232" s="33">
        <v>60</v>
      </c>
      <c r="H232" s="33">
        <v>3</v>
      </c>
      <c r="I232" s="15" t="s">
        <v>276</v>
      </c>
      <c r="J232" s="34">
        <v>40.875115049900003</v>
      </c>
      <c r="K232" s="34">
        <v>72.008864803799995</v>
      </c>
      <c r="L232" s="15">
        <v>250</v>
      </c>
      <c r="M232" s="12"/>
      <c r="N232" s="12"/>
      <c r="O232" s="24" t="s">
        <v>19</v>
      </c>
    </row>
    <row r="233" spans="1:15" ht="30" customHeight="1">
      <c r="A233" s="16" t="s">
        <v>16</v>
      </c>
      <c r="B233" s="34" t="s">
        <v>611</v>
      </c>
      <c r="C233" s="34" t="s">
        <v>549</v>
      </c>
      <c r="D233" s="31">
        <v>10696.761005726346</v>
      </c>
      <c r="E233" s="32">
        <v>8664.3373817567553</v>
      </c>
      <c r="F233" s="31">
        <f t="shared" si="3"/>
        <v>290.34623199565584</v>
      </c>
      <c r="G233" s="33">
        <v>38</v>
      </c>
      <c r="H233" s="33">
        <v>0</v>
      </c>
      <c r="I233" s="15" t="s">
        <v>281</v>
      </c>
      <c r="J233" s="34">
        <v>40.874026666600002</v>
      </c>
      <c r="K233" s="34">
        <v>72.094549999700007</v>
      </c>
      <c r="L233" s="15">
        <v>160</v>
      </c>
      <c r="M233" s="12"/>
      <c r="N233" s="12"/>
      <c r="O233" s="24" t="s">
        <v>19</v>
      </c>
    </row>
    <row r="234" spans="1:15" ht="30" customHeight="1">
      <c r="A234" s="16" t="s">
        <v>16</v>
      </c>
      <c r="B234" s="34" t="s">
        <v>612</v>
      </c>
      <c r="C234" s="34" t="s">
        <v>550</v>
      </c>
      <c r="D234" s="31">
        <v>18018.213215726348</v>
      </c>
      <c r="E234" s="32">
        <v>15069.807381756755</v>
      </c>
      <c r="F234" s="31">
        <f t="shared" si="3"/>
        <v>421.2008334242276</v>
      </c>
      <c r="G234" s="33">
        <v>94</v>
      </c>
      <c r="H234" s="33">
        <v>1</v>
      </c>
      <c r="I234" s="15" t="s">
        <v>282</v>
      </c>
      <c r="J234" s="34">
        <v>40.816318333300003</v>
      </c>
      <c r="K234" s="34">
        <v>72.106885000000005</v>
      </c>
      <c r="L234" s="15">
        <v>100</v>
      </c>
      <c r="M234" s="12"/>
      <c r="N234" s="12"/>
      <c r="O234" s="24" t="s">
        <v>19</v>
      </c>
    </row>
    <row r="235" spans="1:15" ht="30" customHeight="1">
      <c r="A235" s="16" t="s">
        <v>16</v>
      </c>
      <c r="B235" s="34" t="s">
        <v>611</v>
      </c>
      <c r="C235" s="34" t="s">
        <v>551</v>
      </c>
      <c r="D235" s="31">
        <v>8887.2319857263465</v>
      </c>
      <c r="E235" s="32">
        <v>7081.1973817567568</v>
      </c>
      <c r="F235" s="31">
        <f t="shared" si="3"/>
        <v>258.00494342422706</v>
      </c>
      <c r="G235" s="33">
        <v>26</v>
      </c>
      <c r="H235" s="33">
        <v>0</v>
      </c>
      <c r="I235" s="15" t="s">
        <v>276</v>
      </c>
      <c r="J235" s="34">
        <v>40.872684479199997</v>
      </c>
      <c r="K235" s="34">
        <v>72.093719629500001</v>
      </c>
      <c r="L235" s="15">
        <v>100</v>
      </c>
      <c r="M235" s="12"/>
      <c r="N235" s="12"/>
      <c r="O235" s="24" t="s">
        <v>19</v>
      </c>
    </row>
    <row r="236" spans="1:15" ht="30" customHeight="1">
      <c r="A236" s="16" t="s">
        <v>16</v>
      </c>
      <c r="B236" s="34" t="s">
        <v>605</v>
      </c>
      <c r="C236" s="34" t="s">
        <v>316</v>
      </c>
      <c r="D236" s="31">
        <v>8593.3552557263447</v>
      </c>
      <c r="E236" s="32">
        <v>6824.0873817567563</v>
      </c>
      <c r="F236" s="31">
        <f t="shared" si="3"/>
        <v>252.75255342422693</v>
      </c>
      <c r="G236" s="33">
        <v>42</v>
      </c>
      <c r="H236" s="33">
        <v>0</v>
      </c>
      <c r="I236" s="15" t="s">
        <v>283</v>
      </c>
      <c r="J236" s="34">
        <v>40.874026666600002</v>
      </c>
      <c r="K236" s="34">
        <v>72.094549999700007</v>
      </c>
      <c r="L236" s="15">
        <v>400</v>
      </c>
      <c r="M236" s="12"/>
      <c r="N236" s="12"/>
      <c r="O236" s="24" t="s">
        <v>19</v>
      </c>
    </row>
    <row r="237" spans="1:15" ht="30" customHeight="1">
      <c r="A237" s="16" t="s">
        <v>16</v>
      </c>
      <c r="B237" s="34" t="s">
        <v>609</v>
      </c>
      <c r="C237" s="34" t="s">
        <v>552</v>
      </c>
      <c r="D237" s="31">
        <v>12359.037335726345</v>
      </c>
      <c r="E237" s="32">
        <v>10118.647381756755</v>
      </c>
      <c r="F237" s="31">
        <f t="shared" si="3"/>
        <v>320.05570770994149</v>
      </c>
      <c r="G237" s="33">
        <v>73</v>
      </c>
      <c r="H237" s="33">
        <v>1</v>
      </c>
      <c r="I237" s="15" t="s">
        <v>281</v>
      </c>
      <c r="J237" s="34">
        <v>40.869140000000002</v>
      </c>
      <c r="K237" s="34">
        <v>71.991384999999994</v>
      </c>
      <c r="L237" s="15">
        <v>100</v>
      </c>
      <c r="M237" s="12"/>
      <c r="N237" s="12"/>
      <c r="O237" s="24" t="s">
        <v>19</v>
      </c>
    </row>
    <row r="238" spans="1:15" ht="30" customHeight="1">
      <c r="A238" s="16" t="s">
        <v>16</v>
      </c>
      <c r="B238" s="34" t="s">
        <v>613</v>
      </c>
      <c r="C238" s="34" t="s">
        <v>553</v>
      </c>
      <c r="D238" s="31">
        <v>10436.808515726345</v>
      </c>
      <c r="E238" s="32">
        <v>8436.9073817567551</v>
      </c>
      <c r="F238" s="31">
        <f t="shared" si="3"/>
        <v>285.70016199565572</v>
      </c>
      <c r="G238" s="33">
        <v>46</v>
      </c>
      <c r="H238" s="33">
        <v>0</v>
      </c>
      <c r="I238" s="15" t="s">
        <v>284</v>
      </c>
      <c r="J238" s="34">
        <v>40.820733333200003</v>
      </c>
      <c r="K238" s="34">
        <v>72.163296666700006</v>
      </c>
      <c r="L238" s="15">
        <v>160</v>
      </c>
      <c r="M238" s="12"/>
      <c r="N238" s="12"/>
      <c r="O238" s="24" t="s">
        <v>19</v>
      </c>
    </row>
    <row r="239" spans="1:15" ht="30" customHeight="1">
      <c r="A239" s="16" t="s">
        <v>103</v>
      </c>
      <c r="B239" s="34" t="s">
        <v>612</v>
      </c>
      <c r="C239" s="34" t="s">
        <v>554</v>
      </c>
      <c r="D239" s="31">
        <v>13464.158315726345</v>
      </c>
      <c r="E239" s="32">
        <v>11085.507381756754</v>
      </c>
      <c r="F239" s="31">
        <f t="shared" si="3"/>
        <v>339.80727628137021</v>
      </c>
      <c r="G239" s="33">
        <v>62</v>
      </c>
      <c r="H239" s="33">
        <v>0</v>
      </c>
      <c r="I239" s="15" t="s">
        <v>285</v>
      </c>
      <c r="J239" s="34">
        <v>40.813206666600003</v>
      </c>
      <c r="K239" s="34">
        <v>72.109205000000003</v>
      </c>
      <c r="L239" s="15">
        <v>630</v>
      </c>
      <c r="M239" s="12"/>
      <c r="N239" s="12"/>
      <c r="O239" s="24" t="s">
        <v>19</v>
      </c>
    </row>
    <row r="240" spans="1:15" ht="30" customHeight="1">
      <c r="A240" s="16" t="s">
        <v>16</v>
      </c>
      <c r="B240" s="34" t="s">
        <v>607</v>
      </c>
      <c r="C240" s="34" t="s">
        <v>555</v>
      </c>
      <c r="D240" s="31">
        <v>18648.989195726346</v>
      </c>
      <c r="E240" s="32">
        <v>15621.667381756755</v>
      </c>
      <c r="F240" s="31">
        <f t="shared" si="3"/>
        <v>432.47454485279872</v>
      </c>
      <c r="G240" s="33">
        <v>95</v>
      </c>
      <c r="H240" s="33">
        <v>3</v>
      </c>
      <c r="I240" s="15" t="s">
        <v>286</v>
      </c>
      <c r="J240" s="34">
        <v>40.872072950000003</v>
      </c>
      <c r="K240" s="34">
        <v>71.967303771499999</v>
      </c>
      <c r="L240" s="15">
        <v>100</v>
      </c>
      <c r="M240" s="12"/>
      <c r="N240" s="12"/>
      <c r="O240" s="24" t="s">
        <v>19</v>
      </c>
    </row>
    <row r="241" spans="1:16" ht="30" customHeight="1">
      <c r="A241" s="16" t="s">
        <v>103</v>
      </c>
      <c r="B241" s="34" t="s">
        <v>610</v>
      </c>
      <c r="C241" s="34" t="s">
        <v>556</v>
      </c>
      <c r="D241" s="31">
        <v>16769.840045726341</v>
      </c>
      <c r="E241" s="32">
        <v>13977.617381756754</v>
      </c>
      <c r="F241" s="31">
        <f t="shared" si="3"/>
        <v>398.8889519956553</v>
      </c>
      <c r="G241" s="33">
        <v>67</v>
      </c>
      <c r="H241" s="33">
        <v>1</v>
      </c>
      <c r="I241" s="15" t="s">
        <v>283</v>
      </c>
      <c r="J241" s="34">
        <v>40.875613333300002</v>
      </c>
      <c r="K241" s="34">
        <v>72.034936666700006</v>
      </c>
      <c r="L241" s="15">
        <v>400</v>
      </c>
      <c r="M241" s="12"/>
      <c r="N241" s="12"/>
      <c r="O241" s="24" t="s">
        <v>19</v>
      </c>
    </row>
    <row r="242" spans="1:16" ht="30" customHeight="1">
      <c r="A242" s="16" t="s">
        <v>16</v>
      </c>
      <c r="B242" s="34" t="s">
        <v>612</v>
      </c>
      <c r="C242" s="34" t="s">
        <v>557</v>
      </c>
      <c r="D242" s="31">
        <v>2671.0493457263474</v>
      </c>
      <c r="E242" s="32">
        <v>1642.7173817567557</v>
      </c>
      <c r="F242" s="31">
        <f t="shared" si="3"/>
        <v>146.90456628137025</v>
      </c>
      <c r="G242" s="33">
        <v>17</v>
      </c>
      <c r="H242" s="33">
        <v>0</v>
      </c>
      <c r="I242" s="15" t="s">
        <v>287</v>
      </c>
      <c r="J242" s="34">
        <v>40.813206666600003</v>
      </c>
      <c r="K242" s="34">
        <v>72.109205000000003</v>
      </c>
      <c r="L242" s="15">
        <v>100</v>
      </c>
      <c r="M242" s="12"/>
      <c r="N242" s="12"/>
      <c r="O242" s="24" t="s">
        <v>19</v>
      </c>
    </row>
    <row r="243" spans="1:16" ht="30" customHeight="1">
      <c r="A243" s="16" t="s">
        <v>16</v>
      </c>
      <c r="B243" s="34" t="s">
        <v>612</v>
      </c>
      <c r="C243" s="34" t="s">
        <v>558</v>
      </c>
      <c r="D243" s="31">
        <v>4156.0806657263465</v>
      </c>
      <c r="E243" s="32">
        <v>2941.9573817567561</v>
      </c>
      <c r="F243" s="31">
        <f t="shared" si="3"/>
        <v>173.4461834242272</v>
      </c>
      <c r="G243" s="33">
        <v>42</v>
      </c>
      <c r="H243" s="33">
        <v>0</v>
      </c>
      <c r="I243" s="15" t="s">
        <v>280</v>
      </c>
      <c r="J243" s="34">
        <v>40.813206666600003</v>
      </c>
      <c r="K243" s="34">
        <v>72.109205000000003</v>
      </c>
      <c r="L243" s="15">
        <v>100</v>
      </c>
      <c r="M243" s="12"/>
      <c r="N243" s="12"/>
      <c r="O243" s="24" t="s">
        <v>19</v>
      </c>
    </row>
    <row r="244" spans="1:16" ht="30" customHeight="1">
      <c r="A244" s="16" t="s">
        <v>16</v>
      </c>
      <c r="B244" s="34" t="s">
        <v>612</v>
      </c>
      <c r="C244" s="34" t="s">
        <v>559</v>
      </c>
      <c r="D244" s="31">
        <v>3018.2698857263458</v>
      </c>
      <c r="E244" s="32">
        <v>1946.4973817567554</v>
      </c>
      <c r="F244" s="31">
        <f t="shared" si="3"/>
        <v>153.1103577099415</v>
      </c>
      <c r="G244" s="33">
        <v>21</v>
      </c>
      <c r="H244" s="33">
        <v>1</v>
      </c>
      <c r="I244" s="15" t="s">
        <v>287</v>
      </c>
      <c r="J244" s="34">
        <v>40.813206666600003</v>
      </c>
      <c r="K244" s="34">
        <v>72.109205000000003</v>
      </c>
      <c r="L244" s="15">
        <v>25</v>
      </c>
      <c r="M244" s="12"/>
      <c r="N244" s="12"/>
      <c r="O244" s="24" t="s">
        <v>19</v>
      </c>
    </row>
    <row r="245" spans="1:16" ht="30" customHeight="1">
      <c r="A245" s="16" t="s">
        <v>16</v>
      </c>
      <c r="B245" s="34" t="s">
        <v>608</v>
      </c>
      <c r="C245" s="34" t="s">
        <v>560</v>
      </c>
      <c r="D245" s="31">
        <v>1816.8397257263466</v>
      </c>
      <c r="E245" s="32">
        <v>895.37738175675554</v>
      </c>
      <c r="F245" s="31">
        <f t="shared" si="3"/>
        <v>131.63747770994158</v>
      </c>
      <c r="G245" s="33">
        <v>26</v>
      </c>
      <c r="H245" s="33">
        <v>3</v>
      </c>
      <c r="I245" s="15" t="s">
        <v>287</v>
      </c>
      <c r="J245" s="34">
        <v>40.887124999999997</v>
      </c>
      <c r="K245" s="34">
        <v>71.961399</v>
      </c>
      <c r="L245" s="15">
        <v>63</v>
      </c>
      <c r="M245" s="12"/>
      <c r="N245" s="12"/>
      <c r="O245" s="24" t="s">
        <v>19</v>
      </c>
    </row>
    <row r="246" spans="1:16" ht="30" customHeight="1">
      <c r="A246" s="16" t="s">
        <v>16</v>
      </c>
      <c r="B246" s="34" t="s">
        <v>609</v>
      </c>
      <c r="C246" s="34" t="s">
        <v>561</v>
      </c>
      <c r="D246" s="31">
        <v>1899.2385957263471</v>
      </c>
      <c r="E246" s="32">
        <v>967.46738175675569</v>
      </c>
      <c r="F246" s="31">
        <f t="shared" si="3"/>
        <v>133.11017342422733</v>
      </c>
      <c r="G246" s="33">
        <v>92</v>
      </c>
      <c r="H246" s="33">
        <v>0</v>
      </c>
      <c r="I246" s="15" t="s">
        <v>288</v>
      </c>
      <c r="J246" s="34">
        <v>40.890337000000002</v>
      </c>
      <c r="K246" s="34">
        <v>72.009943000000007</v>
      </c>
      <c r="L246" s="15">
        <v>160</v>
      </c>
      <c r="M246" s="12"/>
      <c r="N246" s="12"/>
      <c r="O246" s="24" t="s">
        <v>19</v>
      </c>
      <c r="P246" s="28">
        <v>7</v>
      </c>
    </row>
    <row r="247" spans="1:16" ht="30" customHeight="1">
      <c r="A247" s="16" t="s">
        <v>16</v>
      </c>
      <c r="B247" s="34" t="s">
        <v>611</v>
      </c>
      <c r="C247" s="34" t="s">
        <v>562</v>
      </c>
      <c r="D247" s="31">
        <v>2122.8551157263464</v>
      </c>
      <c r="E247" s="32">
        <v>1163.1073817567556</v>
      </c>
      <c r="F247" s="31">
        <f t="shared" si="3"/>
        <v>137.10681913851298</v>
      </c>
      <c r="G247" s="33">
        <v>51</v>
      </c>
      <c r="H247" s="33">
        <v>0</v>
      </c>
      <c r="I247" s="15" t="s">
        <v>281</v>
      </c>
      <c r="J247" s="13"/>
      <c r="K247" s="13"/>
      <c r="L247" s="15">
        <v>63</v>
      </c>
      <c r="M247" s="12"/>
      <c r="N247" s="12"/>
      <c r="O247" s="24" t="s">
        <v>19</v>
      </c>
    </row>
    <row r="248" spans="1:16" ht="30" customHeight="1">
      <c r="A248" s="16" t="s">
        <v>16</v>
      </c>
      <c r="B248" s="34" t="s">
        <v>605</v>
      </c>
      <c r="C248" s="34" t="s">
        <v>343</v>
      </c>
      <c r="D248" s="31">
        <v>1816.8397257263466</v>
      </c>
      <c r="E248" s="32">
        <v>895.37738175675554</v>
      </c>
      <c r="F248" s="31">
        <f t="shared" si="3"/>
        <v>131.63747770994158</v>
      </c>
      <c r="G248" s="33">
        <v>12</v>
      </c>
      <c r="H248" s="33">
        <v>1</v>
      </c>
      <c r="I248" s="15" t="s">
        <v>296</v>
      </c>
      <c r="J248" s="13"/>
      <c r="K248" s="13"/>
      <c r="L248" s="15">
        <v>160</v>
      </c>
      <c r="M248" s="12"/>
      <c r="N248" s="12"/>
      <c r="O248" s="24" t="s">
        <v>19</v>
      </c>
    </row>
    <row r="249" spans="1:16" ht="30" customHeight="1">
      <c r="A249" s="16" t="s">
        <v>16</v>
      </c>
      <c r="B249" s="34" t="s">
        <v>608</v>
      </c>
      <c r="C249" s="34" t="s">
        <v>563</v>
      </c>
      <c r="D249" s="31">
        <v>54020.575805726345</v>
      </c>
      <c r="E249" s="32">
        <v>46567.937381756754</v>
      </c>
      <c r="F249" s="31">
        <f t="shared" si="3"/>
        <v>1064.6626319956558</v>
      </c>
      <c r="G249" s="33">
        <v>68</v>
      </c>
      <c r="H249" s="33">
        <v>1</v>
      </c>
      <c r="I249" s="15" t="s">
        <v>296</v>
      </c>
      <c r="J249" s="13"/>
      <c r="K249" s="13"/>
      <c r="L249" s="15">
        <v>63</v>
      </c>
      <c r="M249" s="12"/>
      <c r="N249" s="12"/>
      <c r="O249" s="24" t="s">
        <v>19</v>
      </c>
    </row>
    <row r="250" spans="1:16" ht="30" customHeight="1">
      <c r="A250" s="16" t="s">
        <v>16</v>
      </c>
      <c r="B250" s="34" t="s">
        <v>609</v>
      </c>
      <c r="C250" s="34" t="s">
        <v>564</v>
      </c>
      <c r="D250" s="31">
        <v>21897.292325726346</v>
      </c>
      <c r="E250" s="32">
        <v>18463.577381756757</v>
      </c>
      <c r="F250" s="31">
        <f t="shared" si="3"/>
        <v>490.53070628136993</v>
      </c>
      <c r="G250" s="33">
        <v>31</v>
      </c>
      <c r="H250" s="33">
        <v>0</v>
      </c>
      <c r="I250" s="15" t="s">
        <v>296</v>
      </c>
      <c r="J250" s="13">
        <v>40.876370000000001</v>
      </c>
      <c r="K250" s="13">
        <v>71.934290000000004</v>
      </c>
      <c r="L250" s="15">
        <v>63</v>
      </c>
      <c r="M250" s="12"/>
      <c r="N250" s="12"/>
      <c r="O250" s="24" t="s">
        <v>19</v>
      </c>
    </row>
    <row r="251" spans="1:16" ht="30" customHeight="1">
      <c r="A251" s="16" t="s">
        <v>16</v>
      </c>
      <c r="B251" s="34" t="s">
        <v>610</v>
      </c>
      <c r="C251" s="34" t="s">
        <v>565</v>
      </c>
      <c r="D251" s="31">
        <v>9457.9776057263443</v>
      </c>
      <c r="E251" s="32">
        <v>7580.5373817567552</v>
      </c>
      <c r="F251" s="31">
        <f t="shared" si="3"/>
        <v>268.2057462813699</v>
      </c>
      <c r="G251" s="33">
        <v>22</v>
      </c>
      <c r="H251" s="33">
        <v>0</v>
      </c>
      <c r="I251" s="15" t="s">
        <v>296</v>
      </c>
      <c r="J251" s="13"/>
      <c r="K251" s="13"/>
      <c r="L251" s="15">
        <v>160</v>
      </c>
      <c r="M251" s="12"/>
      <c r="N251" s="12"/>
      <c r="O251" s="24" t="s">
        <v>19</v>
      </c>
    </row>
    <row r="252" spans="1:16" ht="30" customHeight="1">
      <c r="A252" s="16" t="s">
        <v>16</v>
      </c>
      <c r="B252" s="34" t="s">
        <v>610</v>
      </c>
      <c r="C252" s="34" t="s">
        <v>566</v>
      </c>
      <c r="D252" s="31">
        <v>10144.943465726346</v>
      </c>
      <c r="E252" s="32">
        <v>8181.5573817567574</v>
      </c>
      <c r="F252" s="31">
        <f t="shared" si="3"/>
        <v>280.48372628136985</v>
      </c>
      <c r="G252" s="33">
        <v>51</v>
      </c>
      <c r="H252" s="33">
        <v>2</v>
      </c>
      <c r="I252" s="15" t="s">
        <v>296</v>
      </c>
      <c r="J252" s="13"/>
      <c r="K252" s="13"/>
      <c r="L252" s="15">
        <v>63</v>
      </c>
      <c r="M252" s="12"/>
      <c r="N252" s="12"/>
      <c r="O252" s="24" t="s">
        <v>19</v>
      </c>
    </row>
    <row r="253" spans="1:16" ht="30" customHeight="1">
      <c r="A253" s="16" t="s">
        <v>16</v>
      </c>
      <c r="B253" s="34" t="s">
        <v>607</v>
      </c>
      <c r="C253" s="34" t="s">
        <v>567</v>
      </c>
      <c r="D253" s="31">
        <v>13211.841065726343</v>
      </c>
      <c r="E253" s="32">
        <v>10864.757381756754</v>
      </c>
      <c r="F253" s="31">
        <f t="shared" si="3"/>
        <v>335.29766913851279</v>
      </c>
      <c r="G253" s="33">
        <v>48</v>
      </c>
      <c r="H253" s="33">
        <v>0</v>
      </c>
      <c r="I253" s="15" t="s">
        <v>280</v>
      </c>
      <c r="J253" s="13"/>
      <c r="K253" s="13"/>
      <c r="L253" s="15">
        <v>250</v>
      </c>
      <c r="M253" s="12"/>
      <c r="N253" s="12"/>
      <c r="O253" s="24" t="s">
        <v>19</v>
      </c>
    </row>
    <row r="254" spans="1:16" ht="30" customHeight="1">
      <c r="A254" s="16" t="s">
        <v>16</v>
      </c>
      <c r="B254" s="34" t="s">
        <v>609</v>
      </c>
      <c r="C254" s="34" t="s">
        <v>568</v>
      </c>
      <c r="D254" s="31">
        <v>20977.485935726349</v>
      </c>
      <c r="E254" s="32">
        <v>17658.847381756761</v>
      </c>
      <c r="F254" s="31">
        <f t="shared" si="3"/>
        <v>474.09122199565536</v>
      </c>
      <c r="G254" s="33">
        <v>77</v>
      </c>
      <c r="H254" s="33">
        <v>1</v>
      </c>
      <c r="I254" s="15" t="s">
        <v>293</v>
      </c>
      <c r="J254" s="13"/>
      <c r="K254" s="13"/>
      <c r="L254" s="15">
        <v>25</v>
      </c>
      <c r="M254" s="12"/>
      <c r="N254" s="12"/>
      <c r="O254" s="24" t="s">
        <v>19</v>
      </c>
    </row>
    <row r="255" spans="1:16" ht="30" customHeight="1">
      <c r="A255" s="16" t="s">
        <v>16</v>
      </c>
      <c r="B255" s="34" t="s">
        <v>608</v>
      </c>
      <c r="C255" s="34" t="s">
        <v>569</v>
      </c>
      <c r="D255" s="31">
        <v>13531.526735726344</v>
      </c>
      <c r="E255" s="32">
        <v>11144.447381756752</v>
      </c>
      <c r="F255" s="31">
        <f t="shared" si="3"/>
        <v>341.01133628137023</v>
      </c>
      <c r="G255" s="33">
        <v>52</v>
      </c>
      <c r="H255" s="33">
        <v>0</v>
      </c>
      <c r="I255" s="15" t="s">
        <v>297</v>
      </c>
      <c r="J255" s="13"/>
      <c r="K255" s="13"/>
      <c r="L255" s="15">
        <v>630</v>
      </c>
      <c r="M255" s="12"/>
      <c r="N255" s="12"/>
      <c r="O255" s="24" t="s">
        <v>19</v>
      </c>
    </row>
    <row r="256" spans="1:16" ht="30" customHeight="1">
      <c r="A256" s="16" t="s">
        <v>103</v>
      </c>
      <c r="B256" s="34" t="s">
        <v>609</v>
      </c>
      <c r="C256" s="34" t="s">
        <v>570</v>
      </c>
      <c r="D256" s="31">
        <v>10279.783175726345</v>
      </c>
      <c r="E256" s="32">
        <v>8299.527381756754</v>
      </c>
      <c r="F256" s="31">
        <f t="shared" si="3"/>
        <v>282.89368485279869</v>
      </c>
      <c r="G256" s="33">
        <v>51</v>
      </c>
      <c r="H256" s="33">
        <v>0</v>
      </c>
      <c r="I256" s="15" t="s">
        <v>297</v>
      </c>
      <c r="J256" s="13"/>
      <c r="K256" s="13"/>
      <c r="L256" s="15">
        <v>400</v>
      </c>
      <c r="M256" s="12"/>
      <c r="N256" s="12"/>
      <c r="O256" s="24" t="s">
        <v>19</v>
      </c>
    </row>
    <row r="257" spans="1:15" ht="30" customHeight="1">
      <c r="A257" s="16" t="s">
        <v>16</v>
      </c>
      <c r="B257" s="34" t="s">
        <v>608</v>
      </c>
      <c r="C257" s="34" t="s">
        <v>571</v>
      </c>
      <c r="D257" s="31">
        <v>17201.299685726342</v>
      </c>
      <c r="E257" s="32">
        <v>14355.097381756754</v>
      </c>
      <c r="F257" s="31">
        <f t="shared" si="3"/>
        <v>406.60032913851268</v>
      </c>
      <c r="G257" s="33">
        <v>16</v>
      </c>
      <c r="H257" s="33">
        <v>1</v>
      </c>
      <c r="I257" s="15" t="s">
        <v>276</v>
      </c>
      <c r="J257" s="13"/>
      <c r="K257" s="13"/>
      <c r="L257" s="15">
        <v>160</v>
      </c>
      <c r="M257" s="12"/>
      <c r="N257" s="12"/>
      <c r="O257" s="24" t="s">
        <v>19</v>
      </c>
    </row>
    <row r="258" spans="1:15" ht="30" customHeight="1">
      <c r="A258" s="16" t="s">
        <v>16</v>
      </c>
      <c r="B258" s="34" t="s">
        <v>605</v>
      </c>
      <c r="C258" s="34" t="s">
        <v>320</v>
      </c>
      <c r="D258" s="31">
        <v>5686.2376257263468</v>
      </c>
      <c r="E258" s="32">
        <v>4280.6773817567564</v>
      </c>
      <c r="F258" s="31">
        <f t="shared" si="3"/>
        <v>200.79432056708433</v>
      </c>
      <c r="G258" s="33">
        <v>33</v>
      </c>
      <c r="H258" s="33">
        <v>1</v>
      </c>
      <c r="I258" s="15" t="s">
        <v>296</v>
      </c>
      <c r="J258" s="13"/>
      <c r="K258" s="13"/>
      <c r="L258" s="15">
        <v>160</v>
      </c>
      <c r="M258" s="12"/>
      <c r="N258" s="12"/>
      <c r="O258" s="24" t="s">
        <v>19</v>
      </c>
    </row>
    <row r="259" spans="1:15" ht="30" customHeight="1">
      <c r="A259" s="16" t="s">
        <v>16</v>
      </c>
      <c r="B259" s="34" t="s">
        <v>611</v>
      </c>
      <c r="C259" s="34" t="s">
        <v>572</v>
      </c>
      <c r="D259" s="31">
        <v>1824.3720957263461</v>
      </c>
      <c r="E259" s="32">
        <v>901.96738175675569</v>
      </c>
      <c r="F259" s="31">
        <f t="shared" ref="F259:F322" si="4">(+D259-E259)/7</f>
        <v>131.77210199565576</v>
      </c>
      <c r="G259" s="33">
        <v>35</v>
      </c>
      <c r="H259" s="33">
        <v>2</v>
      </c>
      <c r="I259" s="15" t="s">
        <v>296</v>
      </c>
      <c r="J259" s="13">
        <v>40.865291666700003</v>
      </c>
      <c r="K259" s="13">
        <v>71.961494999999999</v>
      </c>
      <c r="L259" s="15">
        <v>100</v>
      </c>
      <c r="M259" s="12"/>
      <c r="N259" s="12"/>
      <c r="O259" s="24" t="s">
        <v>19</v>
      </c>
    </row>
    <row r="260" spans="1:15" ht="30" customHeight="1">
      <c r="A260" s="16" t="s">
        <v>103</v>
      </c>
      <c r="B260" s="34" t="s">
        <v>609</v>
      </c>
      <c r="C260" s="34" t="s">
        <v>573</v>
      </c>
      <c r="D260" s="31">
        <v>6677.9730057263459</v>
      </c>
      <c r="E260" s="32">
        <v>5148.3373817567553</v>
      </c>
      <c r="F260" s="31">
        <f t="shared" si="4"/>
        <v>218.51937485279865</v>
      </c>
      <c r="G260" s="33">
        <v>32</v>
      </c>
      <c r="H260" s="33">
        <v>1</v>
      </c>
      <c r="I260" s="15" t="s">
        <v>289</v>
      </c>
      <c r="J260" s="13"/>
      <c r="K260" s="13"/>
      <c r="L260" s="15">
        <v>100</v>
      </c>
      <c r="M260" s="12"/>
      <c r="N260" s="12"/>
      <c r="O260" s="24" t="s">
        <v>19</v>
      </c>
    </row>
    <row r="261" spans="1:15" ht="30" customHeight="1">
      <c r="A261" s="16" t="s">
        <v>16</v>
      </c>
      <c r="B261" s="34" t="s">
        <v>610</v>
      </c>
      <c r="C261" s="34" t="s">
        <v>574</v>
      </c>
      <c r="D261" s="31">
        <v>16171.399535726347</v>
      </c>
      <c r="E261" s="32">
        <v>13454.047381756754</v>
      </c>
      <c r="F261" s="31">
        <f t="shared" si="4"/>
        <v>388.19316485279887</v>
      </c>
      <c r="G261" s="33">
        <v>64</v>
      </c>
      <c r="H261" s="33">
        <v>0</v>
      </c>
      <c r="I261" s="15" t="s">
        <v>293</v>
      </c>
      <c r="J261" s="13"/>
      <c r="K261" s="13"/>
      <c r="L261" s="15">
        <v>250</v>
      </c>
      <c r="M261" s="12"/>
      <c r="N261" s="12"/>
      <c r="O261" s="24" t="s">
        <v>19</v>
      </c>
    </row>
    <row r="262" spans="1:15" ht="30" customHeight="1">
      <c r="A262" s="16" t="s">
        <v>103</v>
      </c>
      <c r="B262" s="34" t="s">
        <v>611</v>
      </c>
      <c r="C262" s="34" t="s">
        <v>575</v>
      </c>
      <c r="D262" s="31">
        <v>1816.8397257263466</v>
      </c>
      <c r="E262" s="32">
        <v>895.37738175675554</v>
      </c>
      <c r="F262" s="31">
        <f t="shared" si="4"/>
        <v>131.63747770994158</v>
      </c>
      <c r="G262" s="33">
        <v>44</v>
      </c>
      <c r="H262" s="33">
        <v>0</v>
      </c>
      <c r="I262" s="15" t="s">
        <v>293</v>
      </c>
      <c r="J262" s="13"/>
      <c r="K262" s="13"/>
      <c r="L262" s="15">
        <v>160</v>
      </c>
      <c r="M262" s="12"/>
      <c r="N262" s="12"/>
      <c r="O262" s="24" t="s">
        <v>19</v>
      </c>
    </row>
    <row r="263" spans="1:15" ht="30" customHeight="1">
      <c r="A263" s="16" t="s">
        <v>103</v>
      </c>
      <c r="B263" s="34" t="s">
        <v>608</v>
      </c>
      <c r="C263" s="34" t="s">
        <v>576</v>
      </c>
      <c r="D263" s="31">
        <v>322805.83833572635</v>
      </c>
      <c r="E263" s="32">
        <v>281725.6473817568</v>
      </c>
      <c r="F263" s="31">
        <f t="shared" si="4"/>
        <v>5868.5987077099353</v>
      </c>
      <c r="G263" s="33">
        <v>71</v>
      </c>
      <c r="H263" s="33">
        <v>1</v>
      </c>
      <c r="I263" s="15" t="s">
        <v>292</v>
      </c>
      <c r="J263" s="13"/>
      <c r="K263" s="13"/>
      <c r="L263" s="15">
        <v>160</v>
      </c>
      <c r="M263" s="12"/>
      <c r="N263" s="12"/>
      <c r="O263" s="24" t="s">
        <v>19</v>
      </c>
    </row>
    <row r="264" spans="1:15" ht="30" customHeight="1">
      <c r="A264" s="16" t="s">
        <v>103</v>
      </c>
      <c r="B264" s="34" t="s">
        <v>605</v>
      </c>
      <c r="C264" s="34" t="s">
        <v>341</v>
      </c>
      <c r="D264" s="31">
        <v>12252.521165726344</v>
      </c>
      <c r="E264" s="32">
        <v>10025.457381756754</v>
      </c>
      <c r="F264" s="31">
        <f t="shared" si="4"/>
        <v>318.15196913851287</v>
      </c>
      <c r="G264" s="33">
        <v>22</v>
      </c>
      <c r="H264" s="33">
        <v>0</v>
      </c>
      <c r="I264" s="15" t="s">
        <v>292</v>
      </c>
      <c r="J264" s="13"/>
      <c r="K264" s="13"/>
      <c r="L264" s="15">
        <v>100</v>
      </c>
      <c r="M264" s="12"/>
      <c r="N264" s="12"/>
      <c r="O264" s="24" t="s">
        <v>19</v>
      </c>
    </row>
    <row r="265" spans="1:15" ht="30" customHeight="1">
      <c r="A265" s="16" t="s">
        <v>103</v>
      </c>
      <c r="B265" s="34" t="s">
        <v>605</v>
      </c>
      <c r="C265" s="34" t="s">
        <v>324</v>
      </c>
      <c r="D265" s="31">
        <v>9752.0372157263464</v>
      </c>
      <c r="E265" s="32">
        <v>7837.8073817567574</v>
      </c>
      <c r="F265" s="31">
        <f t="shared" si="4"/>
        <v>273.46140485279841</v>
      </c>
      <c r="G265" s="33">
        <v>81</v>
      </c>
      <c r="H265" s="33">
        <v>0</v>
      </c>
      <c r="I265" s="15" t="s">
        <v>298</v>
      </c>
      <c r="J265" s="13">
        <v>40.858196666700003</v>
      </c>
      <c r="K265" s="13">
        <v>72.1313583333</v>
      </c>
      <c r="L265" s="15">
        <v>250</v>
      </c>
      <c r="M265" s="12"/>
      <c r="N265" s="12"/>
      <c r="O265" s="24" t="s">
        <v>19</v>
      </c>
    </row>
    <row r="266" spans="1:15" ht="30" customHeight="1">
      <c r="A266" s="16" t="s">
        <v>16</v>
      </c>
      <c r="B266" s="34" t="s">
        <v>609</v>
      </c>
      <c r="C266" s="34" t="s">
        <v>577</v>
      </c>
      <c r="D266" s="31">
        <v>1825.8922857263467</v>
      </c>
      <c r="E266" s="32">
        <v>903.29738175675561</v>
      </c>
      <c r="F266" s="31">
        <f t="shared" si="4"/>
        <v>131.79927199565586</v>
      </c>
      <c r="G266" s="33">
        <v>8</v>
      </c>
      <c r="H266" s="33">
        <v>1</v>
      </c>
      <c r="I266" s="15" t="s">
        <v>290</v>
      </c>
      <c r="J266" s="13"/>
      <c r="K266" s="13"/>
      <c r="L266" s="15">
        <v>160</v>
      </c>
      <c r="M266" s="12"/>
      <c r="N266" s="12"/>
      <c r="O266" s="24" t="s">
        <v>19</v>
      </c>
    </row>
    <row r="267" spans="1:15" ht="30" customHeight="1">
      <c r="A267" s="16" t="s">
        <v>103</v>
      </c>
      <c r="B267" s="34" t="s">
        <v>613</v>
      </c>
      <c r="C267" s="34" t="s">
        <v>578</v>
      </c>
      <c r="D267" s="31">
        <v>8376.1623957263455</v>
      </c>
      <c r="E267" s="32">
        <v>6634.0673817567558</v>
      </c>
      <c r="F267" s="31">
        <f t="shared" si="4"/>
        <v>248.87071628136997</v>
      </c>
      <c r="G267" s="33">
        <v>36</v>
      </c>
      <c r="H267" s="33">
        <v>0</v>
      </c>
      <c r="I267" s="15" t="s">
        <v>294</v>
      </c>
      <c r="J267" s="13"/>
      <c r="K267" s="13"/>
      <c r="L267" s="15">
        <v>160</v>
      </c>
      <c r="M267" s="12"/>
      <c r="N267" s="12"/>
      <c r="O267" s="24" t="s">
        <v>19</v>
      </c>
    </row>
    <row r="268" spans="1:15" ht="30" customHeight="1">
      <c r="A268" s="16" t="s">
        <v>103</v>
      </c>
      <c r="B268" s="34" t="s">
        <v>610</v>
      </c>
      <c r="C268" s="34" t="s">
        <v>579</v>
      </c>
      <c r="D268" s="31">
        <v>8442.4335357263462</v>
      </c>
      <c r="E268" s="32">
        <v>6692.0473817567554</v>
      </c>
      <c r="F268" s="31">
        <f t="shared" si="4"/>
        <v>250.0551648527987</v>
      </c>
      <c r="G268" s="33">
        <v>29</v>
      </c>
      <c r="H268" s="33">
        <v>0</v>
      </c>
      <c r="I268" s="15" t="s">
        <v>299</v>
      </c>
      <c r="J268" s="13"/>
      <c r="K268" s="13"/>
      <c r="L268" s="15">
        <v>250</v>
      </c>
      <c r="M268" s="12"/>
      <c r="N268" s="12"/>
      <c r="O268" s="24" t="s">
        <v>19</v>
      </c>
    </row>
    <row r="269" spans="1:15" ht="30" customHeight="1">
      <c r="A269" s="16" t="s">
        <v>103</v>
      </c>
      <c r="B269" s="34" t="s">
        <v>612</v>
      </c>
      <c r="C269" s="34" t="s">
        <v>580</v>
      </c>
      <c r="D269" s="31">
        <v>6891.1767957263473</v>
      </c>
      <c r="E269" s="32">
        <v>5334.867381756756</v>
      </c>
      <c r="F269" s="31">
        <f t="shared" si="4"/>
        <v>222.3299162813702</v>
      </c>
      <c r="G269" s="33">
        <v>16</v>
      </c>
      <c r="H269" s="33">
        <v>0</v>
      </c>
      <c r="I269" s="15" t="s">
        <v>300</v>
      </c>
      <c r="J269" s="13">
        <v>40.883151666700002</v>
      </c>
      <c r="K269" s="13">
        <v>72.085181666699995</v>
      </c>
      <c r="L269" s="15">
        <v>160</v>
      </c>
      <c r="M269" s="12"/>
      <c r="N269" s="12"/>
      <c r="O269" s="24" t="s">
        <v>19</v>
      </c>
    </row>
    <row r="270" spans="1:15" ht="30" customHeight="1">
      <c r="A270" s="16" t="s">
        <v>103</v>
      </c>
      <c r="B270" s="34" t="s">
        <v>605</v>
      </c>
      <c r="C270" s="34" t="s">
        <v>323</v>
      </c>
      <c r="D270" s="31">
        <v>4359.4317957263465</v>
      </c>
      <c r="E270" s="32">
        <v>3119.8673817567551</v>
      </c>
      <c r="F270" s="31">
        <f t="shared" si="4"/>
        <v>177.08063056708448</v>
      </c>
      <c r="G270" s="33">
        <v>24</v>
      </c>
      <c r="H270" s="33">
        <v>0</v>
      </c>
      <c r="I270" s="15" t="s">
        <v>301</v>
      </c>
      <c r="J270" s="13"/>
      <c r="K270" s="13"/>
      <c r="L270" s="15">
        <v>63</v>
      </c>
      <c r="M270" s="12"/>
      <c r="N270" s="12"/>
      <c r="O270" s="24" t="s">
        <v>19</v>
      </c>
    </row>
    <row r="271" spans="1:15" ht="30" customHeight="1">
      <c r="A271" s="16" t="s">
        <v>103</v>
      </c>
      <c r="B271" s="34" t="s">
        <v>613</v>
      </c>
      <c r="C271" s="34" t="s">
        <v>581</v>
      </c>
      <c r="D271" s="31">
        <v>16620.861425726343</v>
      </c>
      <c r="E271" s="32">
        <v>13847.277381756754</v>
      </c>
      <c r="F271" s="31">
        <f t="shared" si="4"/>
        <v>396.22629199565563</v>
      </c>
      <c r="G271" s="33">
        <v>69</v>
      </c>
      <c r="H271" s="33">
        <v>0</v>
      </c>
      <c r="I271" s="15" t="s">
        <v>296</v>
      </c>
      <c r="J271" s="13"/>
      <c r="K271" s="13"/>
      <c r="L271" s="15">
        <v>400</v>
      </c>
      <c r="M271" s="12"/>
      <c r="N271" s="12"/>
      <c r="O271" s="24" t="s">
        <v>19</v>
      </c>
    </row>
    <row r="272" spans="1:15" ht="30" customHeight="1">
      <c r="A272" s="16" t="s">
        <v>16</v>
      </c>
      <c r="B272" s="34" t="s">
        <v>609</v>
      </c>
      <c r="C272" s="34" t="s">
        <v>582</v>
      </c>
      <c r="D272" s="31">
        <v>6338.9134857263471</v>
      </c>
      <c r="E272" s="32">
        <v>4851.6973817567559</v>
      </c>
      <c r="F272" s="31">
        <f t="shared" si="4"/>
        <v>212.45944342422732</v>
      </c>
      <c r="G272" s="33">
        <v>44</v>
      </c>
      <c r="H272" s="33">
        <v>0</v>
      </c>
      <c r="I272" s="15" t="s">
        <v>296</v>
      </c>
      <c r="J272" s="13"/>
      <c r="K272" s="13"/>
      <c r="L272" s="15">
        <v>400</v>
      </c>
      <c r="M272" s="12"/>
      <c r="N272" s="12"/>
      <c r="O272" s="24" t="s">
        <v>19</v>
      </c>
    </row>
    <row r="273" spans="1:15" ht="30" customHeight="1">
      <c r="A273" s="16" t="s">
        <v>16</v>
      </c>
      <c r="B273" s="34" t="s">
        <v>608</v>
      </c>
      <c r="C273" s="34" t="s">
        <v>583</v>
      </c>
      <c r="D273" s="31">
        <v>36562.553825726347</v>
      </c>
      <c r="E273" s="32">
        <v>31294.077381756757</v>
      </c>
      <c r="F273" s="31">
        <f t="shared" si="4"/>
        <v>752.6394919956557</v>
      </c>
      <c r="G273" s="33">
        <v>45</v>
      </c>
      <c r="H273" s="33">
        <v>0</v>
      </c>
      <c r="I273" s="15" t="s">
        <v>289</v>
      </c>
      <c r="J273" s="13">
        <v>40.890700000000002</v>
      </c>
      <c r="K273" s="13">
        <v>71.955235000000002</v>
      </c>
      <c r="L273" s="15">
        <v>40</v>
      </c>
      <c r="M273" s="12"/>
      <c r="N273" s="12"/>
      <c r="O273" s="24" t="s">
        <v>19</v>
      </c>
    </row>
    <row r="274" spans="1:15" ht="30" customHeight="1">
      <c r="A274" s="16" t="s">
        <v>16</v>
      </c>
      <c r="B274" s="34" t="s">
        <v>609</v>
      </c>
      <c r="C274" s="34" t="s">
        <v>584</v>
      </c>
      <c r="D274" s="31">
        <v>2968.343645726346</v>
      </c>
      <c r="E274" s="32">
        <v>1902.8173817567551</v>
      </c>
      <c r="F274" s="31">
        <f t="shared" si="4"/>
        <v>152.21803770994157</v>
      </c>
      <c r="G274" s="33">
        <v>22</v>
      </c>
      <c r="H274" s="33">
        <v>1</v>
      </c>
      <c r="I274" s="15" t="s">
        <v>295</v>
      </c>
      <c r="J274" s="13">
        <v>40.883293333300003</v>
      </c>
      <c r="K274" s="13">
        <v>71.964291666700007</v>
      </c>
      <c r="L274" s="15">
        <v>63</v>
      </c>
      <c r="M274" s="12"/>
      <c r="N274" s="12"/>
      <c r="O274" s="24" t="s">
        <v>19</v>
      </c>
    </row>
    <row r="275" spans="1:15" ht="30" customHeight="1">
      <c r="A275" s="16" t="s">
        <v>16</v>
      </c>
      <c r="B275" s="34" t="s">
        <v>610</v>
      </c>
      <c r="C275" s="34" t="s">
        <v>585</v>
      </c>
      <c r="D275" s="31">
        <v>13456.157315726345</v>
      </c>
      <c r="E275" s="32">
        <v>11078.507381756754</v>
      </c>
      <c r="F275" s="31">
        <f t="shared" si="4"/>
        <v>339.66427628137018</v>
      </c>
      <c r="G275" s="33">
        <v>66</v>
      </c>
      <c r="H275" s="33">
        <v>0</v>
      </c>
      <c r="I275" s="15" t="s">
        <v>297</v>
      </c>
      <c r="J275" s="13">
        <v>40.875286666699999</v>
      </c>
      <c r="K275" s="13">
        <v>71.9537066667</v>
      </c>
      <c r="L275" s="15">
        <v>25</v>
      </c>
      <c r="M275" s="12"/>
      <c r="N275" s="12"/>
      <c r="O275" s="24" t="s">
        <v>19</v>
      </c>
    </row>
    <row r="276" spans="1:15" ht="30" customHeight="1">
      <c r="A276" s="16" t="s">
        <v>16</v>
      </c>
      <c r="B276" s="34" t="s">
        <v>607</v>
      </c>
      <c r="C276" s="34" t="s">
        <v>586</v>
      </c>
      <c r="D276" s="31">
        <v>8353.6224357263454</v>
      </c>
      <c r="E276" s="32">
        <v>6614.3473817567565</v>
      </c>
      <c r="F276" s="31">
        <f t="shared" si="4"/>
        <v>248.46786485279841</v>
      </c>
      <c r="G276" s="33">
        <v>34</v>
      </c>
      <c r="H276" s="33">
        <v>0</v>
      </c>
      <c r="I276" s="15" t="s">
        <v>302</v>
      </c>
      <c r="J276" s="13"/>
      <c r="K276" s="13"/>
      <c r="L276" s="15">
        <v>160</v>
      </c>
      <c r="M276" s="12"/>
      <c r="N276" s="12"/>
      <c r="O276" s="24" t="s">
        <v>19</v>
      </c>
    </row>
    <row r="277" spans="1:15" ht="30" customHeight="1">
      <c r="A277" s="16" t="s">
        <v>16</v>
      </c>
      <c r="B277" s="34" t="s">
        <v>610</v>
      </c>
      <c r="C277" s="34" t="s">
        <v>587</v>
      </c>
      <c r="D277" s="31">
        <v>7516.2263457263471</v>
      </c>
      <c r="E277" s="32">
        <v>5881.7173817567564</v>
      </c>
      <c r="F277" s="31">
        <f t="shared" si="4"/>
        <v>233.50128056708439</v>
      </c>
      <c r="G277" s="33">
        <v>11</v>
      </c>
      <c r="H277" s="33">
        <v>0</v>
      </c>
      <c r="I277" s="15" t="s">
        <v>298</v>
      </c>
      <c r="J277" s="13"/>
      <c r="K277" s="13"/>
      <c r="L277" s="15">
        <v>60</v>
      </c>
      <c r="M277" s="12"/>
      <c r="N277" s="12"/>
      <c r="O277" s="24" t="s">
        <v>19</v>
      </c>
    </row>
    <row r="278" spans="1:15" ht="30" customHeight="1">
      <c r="A278" s="16" t="s">
        <v>103</v>
      </c>
      <c r="B278" s="34" t="s">
        <v>605</v>
      </c>
      <c r="C278" s="34" t="s">
        <v>312</v>
      </c>
      <c r="D278" s="31">
        <v>5129.699495726346</v>
      </c>
      <c r="E278" s="32">
        <v>3793.7673817567556</v>
      </c>
      <c r="F278" s="31">
        <f t="shared" si="4"/>
        <v>190.84744485279862</v>
      </c>
      <c r="G278" s="33">
        <v>13</v>
      </c>
      <c r="H278" s="33">
        <v>0</v>
      </c>
      <c r="I278" s="15" t="s">
        <v>303</v>
      </c>
      <c r="J278" s="13"/>
      <c r="K278" s="13"/>
      <c r="L278" s="15">
        <v>250</v>
      </c>
      <c r="M278" s="12"/>
      <c r="N278" s="12"/>
      <c r="O278" s="24" t="s">
        <v>19</v>
      </c>
    </row>
    <row r="279" spans="1:15" ht="30" customHeight="1">
      <c r="A279" s="16" t="s">
        <v>103</v>
      </c>
      <c r="B279" s="34" t="s">
        <v>611</v>
      </c>
      <c r="C279" s="34" t="s">
        <v>588</v>
      </c>
      <c r="D279" s="31">
        <v>25665.226115726346</v>
      </c>
      <c r="E279" s="32">
        <v>21760.107381756756</v>
      </c>
      <c r="F279" s="31">
        <f t="shared" si="4"/>
        <v>557.8741048527985</v>
      </c>
      <c r="G279" s="33">
        <v>45</v>
      </c>
      <c r="H279" s="33">
        <v>0</v>
      </c>
      <c r="I279" s="15" t="s">
        <v>291</v>
      </c>
      <c r="J279" s="13">
        <v>40.870626666699998</v>
      </c>
      <c r="K279" s="13">
        <v>72.030681666700005</v>
      </c>
      <c r="L279" s="15">
        <v>40</v>
      </c>
      <c r="M279" s="12"/>
      <c r="N279" s="12"/>
      <c r="O279" s="24" t="s">
        <v>19</v>
      </c>
    </row>
    <row r="280" spans="1:15" ht="30" customHeight="1">
      <c r="A280" s="16" t="s">
        <v>103</v>
      </c>
      <c r="B280" s="34" t="s">
        <v>605</v>
      </c>
      <c r="C280" s="34" t="s">
        <v>327</v>
      </c>
      <c r="D280" s="31">
        <v>6744.232715726348</v>
      </c>
      <c r="E280" s="32">
        <v>5206.3073817567565</v>
      </c>
      <c r="F280" s="31">
        <f t="shared" si="4"/>
        <v>219.70361913851306</v>
      </c>
      <c r="G280" s="33">
        <v>39</v>
      </c>
      <c r="H280" s="33">
        <v>2</v>
      </c>
      <c r="I280" s="15" t="s">
        <v>280</v>
      </c>
      <c r="J280" s="13"/>
      <c r="K280" s="13"/>
      <c r="L280" s="15">
        <v>250</v>
      </c>
      <c r="M280" s="12"/>
      <c r="N280" s="12"/>
      <c r="O280" s="24" t="s">
        <v>19</v>
      </c>
    </row>
    <row r="281" spans="1:15" ht="30" customHeight="1">
      <c r="A281" s="16" t="s">
        <v>16</v>
      </c>
      <c r="B281" s="34" t="s">
        <v>609</v>
      </c>
      <c r="C281" s="34" t="s">
        <v>589</v>
      </c>
      <c r="D281" s="31">
        <v>5595.3119757263466</v>
      </c>
      <c r="E281" s="32">
        <v>4201.1273817567553</v>
      </c>
      <c r="F281" s="31">
        <f t="shared" si="4"/>
        <v>199.16922770994162</v>
      </c>
      <c r="G281" s="33">
        <v>29</v>
      </c>
      <c r="H281" s="33">
        <v>0</v>
      </c>
      <c r="I281" s="15" t="s">
        <v>304</v>
      </c>
      <c r="J281" s="13"/>
      <c r="K281" s="13"/>
      <c r="L281" s="15">
        <v>63</v>
      </c>
      <c r="M281" s="12"/>
      <c r="N281" s="12"/>
      <c r="O281" s="24" t="s">
        <v>19</v>
      </c>
    </row>
    <row r="282" spans="1:15" ht="30" customHeight="1">
      <c r="A282" s="16" t="s">
        <v>16</v>
      </c>
      <c r="B282" s="34" t="s">
        <v>610</v>
      </c>
      <c r="C282" s="34" t="s">
        <v>590</v>
      </c>
      <c r="D282" s="31">
        <v>18864.033215726347</v>
      </c>
      <c r="E282" s="32">
        <v>15809.807381756755</v>
      </c>
      <c r="F282" s="31">
        <f t="shared" si="4"/>
        <v>436.31797628137036</v>
      </c>
      <c r="G282" s="33">
        <v>65</v>
      </c>
      <c r="H282" s="33">
        <v>0</v>
      </c>
      <c r="I282" s="15" t="s">
        <v>276</v>
      </c>
      <c r="J282" s="13"/>
      <c r="K282" s="13"/>
      <c r="L282" s="15">
        <v>400</v>
      </c>
      <c r="M282" s="12"/>
      <c r="N282" s="12"/>
      <c r="O282" s="24" t="s">
        <v>19</v>
      </c>
    </row>
    <row r="283" spans="1:15" ht="30" customHeight="1">
      <c r="A283" s="16" t="s">
        <v>16</v>
      </c>
      <c r="B283" s="34" t="s">
        <v>611</v>
      </c>
      <c r="C283" s="34" t="s">
        <v>591</v>
      </c>
      <c r="D283" s="31">
        <v>10655.773025726347</v>
      </c>
      <c r="E283" s="32">
        <v>8628.4773817567566</v>
      </c>
      <c r="F283" s="31">
        <f t="shared" si="4"/>
        <v>289.61366342422713</v>
      </c>
      <c r="G283" s="33">
        <v>43</v>
      </c>
      <c r="H283" s="33">
        <v>2</v>
      </c>
      <c r="I283" s="15" t="s">
        <v>277</v>
      </c>
      <c r="J283" s="13"/>
      <c r="K283" s="13"/>
      <c r="L283" s="15">
        <v>25</v>
      </c>
      <c r="M283" s="12"/>
      <c r="N283" s="12"/>
      <c r="O283" s="24" t="s">
        <v>19</v>
      </c>
    </row>
    <row r="284" spans="1:15" ht="30" customHeight="1">
      <c r="A284" s="16" t="s">
        <v>16</v>
      </c>
      <c r="B284" s="34" t="s">
        <v>612</v>
      </c>
      <c r="C284" s="34" t="s">
        <v>592</v>
      </c>
      <c r="D284" s="31">
        <v>5745.2392857263467</v>
      </c>
      <c r="E284" s="32">
        <v>4332.2973817567554</v>
      </c>
      <c r="F284" s="31">
        <f t="shared" si="4"/>
        <v>201.84884342422734</v>
      </c>
      <c r="G284" s="33">
        <v>35</v>
      </c>
      <c r="H284" s="33">
        <v>0</v>
      </c>
      <c r="I284" s="15" t="s">
        <v>296</v>
      </c>
      <c r="J284" s="13"/>
      <c r="K284" s="13"/>
      <c r="L284" s="15">
        <v>25</v>
      </c>
      <c r="M284" s="12"/>
      <c r="N284" s="12"/>
      <c r="O284" s="24" t="s">
        <v>19</v>
      </c>
    </row>
    <row r="285" spans="1:15" ht="30" customHeight="1">
      <c r="A285" s="16" t="s">
        <v>16</v>
      </c>
      <c r="B285" s="34" t="s">
        <v>609</v>
      </c>
      <c r="C285" s="34" t="s">
        <v>593</v>
      </c>
      <c r="D285" s="31">
        <v>6629.4183657263457</v>
      </c>
      <c r="E285" s="32">
        <v>5105.8573817567558</v>
      </c>
      <c r="F285" s="31">
        <f t="shared" si="4"/>
        <v>217.65156913851283</v>
      </c>
      <c r="G285" s="33">
        <v>18</v>
      </c>
      <c r="H285" s="33">
        <v>1</v>
      </c>
      <c r="I285" s="15" t="s">
        <v>276</v>
      </c>
      <c r="J285" s="13">
        <v>40.882366666700001</v>
      </c>
      <c r="K285" s="13">
        <v>72.011693333300002</v>
      </c>
      <c r="L285" s="15">
        <v>63</v>
      </c>
      <c r="M285" s="12"/>
      <c r="N285" s="12"/>
      <c r="O285" s="24" t="s">
        <v>19</v>
      </c>
    </row>
    <row r="286" spans="1:15" ht="30" customHeight="1">
      <c r="A286" s="16" t="s">
        <v>103</v>
      </c>
      <c r="B286" s="34" t="s">
        <v>613</v>
      </c>
      <c r="C286" s="34" t="s">
        <v>594</v>
      </c>
      <c r="D286" s="31">
        <v>25477.408355726348</v>
      </c>
      <c r="E286" s="32">
        <v>21595.787381756756</v>
      </c>
      <c r="F286" s="31">
        <f t="shared" si="4"/>
        <v>554.51728199565594</v>
      </c>
      <c r="G286" s="33">
        <v>160</v>
      </c>
      <c r="H286" s="33">
        <v>2</v>
      </c>
      <c r="I286" s="15" t="s">
        <v>305</v>
      </c>
      <c r="J286" s="13"/>
      <c r="K286" s="13"/>
      <c r="L286" s="15">
        <v>100</v>
      </c>
      <c r="M286" s="12"/>
      <c r="N286" s="12"/>
      <c r="O286" s="24" t="s">
        <v>19</v>
      </c>
    </row>
    <row r="287" spans="1:15" ht="30" customHeight="1">
      <c r="A287" s="16" t="s">
        <v>16</v>
      </c>
      <c r="B287" s="34" t="s">
        <v>609</v>
      </c>
      <c r="C287" s="34" t="s">
        <v>82</v>
      </c>
      <c r="D287" s="31">
        <v>5618.869205726347</v>
      </c>
      <c r="E287" s="32">
        <v>4221.7373817567559</v>
      </c>
      <c r="F287" s="31">
        <f t="shared" si="4"/>
        <v>199.59026056708444</v>
      </c>
      <c r="G287" s="33">
        <v>24</v>
      </c>
      <c r="H287" s="33">
        <v>0</v>
      </c>
      <c r="I287" s="15" t="s">
        <v>306</v>
      </c>
      <c r="J287" s="13"/>
      <c r="K287" s="13"/>
      <c r="L287" s="15">
        <v>100</v>
      </c>
      <c r="M287" s="12"/>
      <c r="N287" s="12"/>
      <c r="O287" s="24" t="s">
        <v>19</v>
      </c>
    </row>
    <row r="288" spans="1:15" ht="30" customHeight="1">
      <c r="A288" s="16" t="s">
        <v>16</v>
      </c>
      <c r="B288" s="34" t="s">
        <v>611</v>
      </c>
      <c r="C288" s="34" t="s">
        <v>595</v>
      </c>
      <c r="D288" s="31">
        <v>10886.556155726346</v>
      </c>
      <c r="E288" s="32">
        <v>8830.3873817567546</v>
      </c>
      <c r="F288" s="31">
        <f t="shared" si="4"/>
        <v>293.73839628137023</v>
      </c>
      <c r="G288" s="33">
        <v>36</v>
      </c>
      <c r="H288" s="33">
        <v>0</v>
      </c>
      <c r="I288" s="15" t="s">
        <v>302</v>
      </c>
      <c r="J288" s="13"/>
      <c r="K288" s="13"/>
      <c r="L288" s="15">
        <v>100</v>
      </c>
      <c r="M288" s="12"/>
      <c r="N288" s="12"/>
      <c r="O288" s="24" t="s">
        <v>19</v>
      </c>
    </row>
    <row r="289" spans="1:15" ht="30" customHeight="1">
      <c r="A289" s="16" t="s">
        <v>16</v>
      </c>
      <c r="B289" s="34" t="s">
        <v>611</v>
      </c>
      <c r="C289" s="34" t="s">
        <v>596</v>
      </c>
      <c r="D289" s="31">
        <v>9177.6339957263481</v>
      </c>
      <c r="E289" s="32">
        <v>7335.2673817567565</v>
      </c>
      <c r="F289" s="31">
        <f t="shared" si="4"/>
        <v>263.19523056708448</v>
      </c>
      <c r="G289" s="33">
        <v>43</v>
      </c>
      <c r="H289" s="33">
        <v>1</v>
      </c>
      <c r="I289" s="15" t="s">
        <v>286</v>
      </c>
      <c r="J289" s="13"/>
      <c r="K289" s="13"/>
      <c r="L289" s="15">
        <v>63</v>
      </c>
      <c r="M289" s="12"/>
      <c r="N289" s="12"/>
      <c r="O289" s="24" t="s">
        <v>19</v>
      </c>
    </row>
    <row r="290" spans="1:15" ht="30" customHeight="1">
      <c r="A290" s="16" t="s">
        <v>16</v>
      </c>
      <c r="B290" s="34" t="s">
        <v>611</v>
      </c>
      <c r="C290" s="34" t="s">
        <v>597</v>
      </c>
      <c r="D290" s="31">
        <v>11696.200205726345</v>
      </c>
      <c r="E290" s="32">
        <v>9538.737381756755</v>
      </c>
      <c r="F290" s="31">
        <f t="shared" si="4"/>
        <v>308.20897485279863</v>
      </c>
      <c r="G290" s="33">
        <v>56</v>
      </c>
      <c r="H290" s="33">
        <v>0</v>
      </c>
      <c r="I290" s="15" t="s">
        <v>281</v>
      </c>
      <c r="J290" s="13"/>
      <c r="K290" s="13"/>
      <c r="L290" s="15">
        <v>160</v>
      </c>
      <c r="M290" s="12"/>
      <c r="N290" s="12"/>
      <c r="O290" s="24" t="s">
        <v>19</v>
      </c>
    </row>
    <row r="291" spans="1:15" ht="30" customHeight="1">
      <c r="A291" s="16" t="s">
        <v>16</v>
      </c>
      <c r="B291" s="34" t="s">
        <v>610</v>
      </c>
      <c r="C291" s="34" t="s">
        <v>598</v>
      </c>
      <c r="D291" s="31">
        <v>20801.063885726344</v>
      </c>
      <c r="E291" s="32">
        <v>17504.497381756759</v>
      </c>
      <c r="F291" s="31">
        <f t="shared" si="4"/>
        <v>470.93807199565498</v>
      </c>
      <c r="G291" s="33">
        <v>91</v>
      </c>
      <c r="H291" s="33">
        <v>0</v>
      </c>
      <c r="I291" s="15" t="s">
        <v>281</v>
      </c>
      <c r="J291" s="13">
        <v>40.881914999999999</v>
      </c>
      <c r="K291" s="13">
        <v>71.997399999999999</v>
      </c>
      <c r="L291" s="15">
        <v>100</v>
      </c>
      <c r="M291" s="12"/>
      <c r="N291" s="12"/>
      <c r="O291" s="24" t="s">
        <v>19</v>
      </c>
    </row>
    <row r="292" spans="1:15" ht="30" customHeight="1">
      <c r="A292" s="16" t="s">
        <v>16</v>
      </c>
      <c r="B292" s="34" t="s">
        <v>613</v>
      </c>
      <c r="C292" s="34" t="s">
        <v>599</v>
      </c>
      <c r="D292" s="31">
        <v>6681.2534157263453</v>
      </c>
      <c r="E292" s="32">
        <v>5151.2073817567552</v>
      </c>
      <c r="F292" s="31">
        <f t="shared" si="4"/>
        <v>218.57800485279859</v>
      </c>
      <c r="G292" s="33">
        <v>26</v>
      </c>
      <c r="H292" s="33">
        <v>0</v>
      </c>
      <c r="I292" s="15" t="s">
        <v>276</v>
      </c>
      <c r="J292" s="13"/>
      <c r="K292" s="13"/>
      <c r="L292" s="15">
        <v>160</v>
      </c>
      <c r="M292" s="12"/>
      <c r="N292" s="12"/>
      <c r="O292" s="24" t="s">
        <v>19</v>
      </c>
    </row>
    <row r="293" spans="1:15" ht="30" customHeight="1">
      <c r="A293" s="16" t="s">
        <v>103</v>
      </c>
      <c r="B293" s="34" t="s">
        <v>612</v>
      </c>
      <c r="C293" s="34" t="s">
        <v>600</v>
      </c>
      <c r="D293" s="31">
        <v>12174.511415726345</v>
      </c>
      <c r="E293" s="32">
        <v>9957.2073817567543</v>
      </c>
      <c r="F293" s="31">
        <f t="shared" si="4"/>
        <v>316.75771913851298</v>
      </c>
      <c r="G293" s="33">
        <v>29</v>
      </c>
      <c r="H293" s="33">
        <v>0</v>
      </c>
      <c r="I293" s="15" t="s">
        <v>296</v>
      </c>
      <c r="J293" s="13">
        <v>40.837551666700001</v>
      </c>
      <c r="K293" s="13">
        <v>72.172751666699995</v>
      </c>
      <c r="L293" s="15">
        <v>100</v>
      </c>
      <c r="M293" s="12"/>
      <c r="N293" s="12"/>
      <c r="O293" s="24" t="s">
        <v>19</v>
      </c>
    </row>
    <row r="294" spans="1:15" ht="30" customHeight="1">
      <c r="A294" s="16" t="s">
        <v>103</v>
      </c>
      <c r="B294" s="34" t="s">
        <v>609</v>
      </c>
      <c r="C294" s="34" t="s">
        <v>601</v>
      </c>
      <c r="D294" s="31">
        <v>4838.1887757263466</v>
      </c>
      <c r="E294" s="32">
        <v>3538.7273817567557</v>
      </c>
      <c r="F294" s="31">
        <f t="shared" si="4"/>
        <v>185.63734199565585</v>
      </c>
      <c r="G294" s="33">
        <v>27</v>
      </c>
      <c r="H294" s="33">
        <v>0</v>
      </c>
      <c r="I294" s="15" t="s">
        <v>307</v>
      </c>
      <c r="J294" s="13">
        <v>40.883151666700002</v>
      </c>
      <c r="K294" s="13">
        <v>72.085181666699995</v>
      </c>
      <c r="L294" s="15">
        <v>63</v>
      </c>
      <c r="M294" s="12"/>
      <c r="N294" s="12"/>
      <c r="O294" s="24" t="s">
        <v>19</v>
      </c>
    </row>
    <row r="295" spans="1:15" ht="30" customHeight="1">
      <c r="A295" s="16" t="s">
        <v>16</v>
      </c>
      <c r="B295" s="34" t="s">
        <v>611</v>
      </c>
      <c r="C295" s="34" t="s">
        <v>602</v>
      </c>
      <c r="D295" s="31">
        <v>4222.4089557263469</v>
      </c>
      <c r="E295" s="32">
        <v>2999.9873817567559</v>
      </c>
      <c r="F295" s="31">
        <f t="shared" si="4"/>
        <v>174.6316534242273</v>
      </c>
      <c r="G295" s="33">
        <v>16</v>
      </c>
      <c r="H295" s="33">
        <v>0</v>
      </c>
      <c r="I295" s="15" t="s">
        <v>291</v>
      </c>
      <c r="J295" s="13">
        <v>40.883535000000002</v>
      </c>
      <c r="K295" s="13">
        <v>71.979993333300001</v>
      </c>
      <c r="L295" s="15">
        <v>100</v>
      </c>
      <c r="M295" s="12"/>
      <c r="N295" s="12"/>
      <c r="O295" s="24" t="s">
        <v>19</v>
      </c>
    </row>
    <row r="296" spans="1:15" ht="30" customHeight="1">
      <c r="A296" s="16" t="s">
        <v>103</v>
      </c>
      <c r="B296" s="34" t="s">
        <v>606</v>
      </c>
      <c r="C296" s="34" t="s">
        <v>603</v>
      </c>
      <c r="D296" s="31">
        <v>20262.413705726347</v>
      </c>
      <c r="E296" s="32">
        <v>17033.237381756757</v>
      </c>
      <c r="F296" s="31">
        <f t="shared" si="4"/>
        <v>461.31090342422715</v>
      </c>
      <c r="G296" s="33">
        <v>138</v>
      </c>
      <c r="H296" s="33">
        <v>10</v>
      </c>
      <c r="I296" s="15" t="s">
        <v>277</v>
      </c>
      <c r="J296" s="13">
        <v>40.858853333299997</v>
      </c>
      <c r="K296" s="13">
        <v>72.0770083333</v>
      </c>
      <c r="L296" s="15">
        <v>100</v>
      </c>
      <c r="M296" s="12"/>
      <c r="N296" s="12"/>
      <c r="O296" s="24" t="s">
        <v>19</v>
      </c>
    </row>
    <row r="297" spans="1:15" ht="30" customHeight="1">
      <c r="A297" s="16" t="s">
        <v>192</v>
      </c>
      <c r="B297" s="34" t="s">
        <v>606</v>
      </c>
      <c r="C297" s="34" t="s">
        <v>604</v>
      </c>
      <c r="D297" s="31">
        <v>2986.8259557263473</v>
      </c>
      <c r="E297" s="32">
        <v>1918.9873817567557</v>
      </c>
      <c r="F297" s="31">
        <f t="shared" si="4"/>
        <v>152.54836770994166</v>
      </c>
      <c r="G297" s="33">
        <v>4</v>
      </c>
      <c r="H297" s="33">
        <v>0</v>
      </c>
      <c r="I297" s="15" t="s">
        <v>308</v>
      </c>
      <c r="J297" s="13">
        <v>40.833135628299999</v>
      </c>
      <c r="K297" s="13">
        <v>72.203557438199994</v>
      </c>
      <c r="L297" s="15">
        <v>630</v>
      </c>
      <c r="M297" s="12"/>
      <c r="N297" s="12"/>
      <c r="O297" s="24" t="s">
        <v>19</v>
      </c>
    </row>
    <row r="298" spans="1:15" ht="30" customHeight="1">
      <c r="A298" s="16" t="s">
        <v>103</v>
      </c>
      <c r="B298" s="34" t="s">
        <v>605</v>
      </c>
      <c r="C298" s="34" t="s">
        <v>335</v>
      </c>
      <c r="D298" s="31">
        <v>2755.0484157263472</v>
      </c>
      <c r="E298" s="32">
        <v>1716.2073817567559</v>
      </c>
      <c r="F298" s="31">
        <f t="shared" si="4"/>
        <v>148.4058619956559</v>
      </c>
      <c r="G298" s="33">
        <v>21</v>
      </c>
      <c r="H298" s="33">
        <v>0</v>
      </c>
      <c r="I298" s="15" t="s">
        <v>309</v>
      </c>
      <c r="J298" s="13">
        <v>40.8940533333</v>
      </c>
      <c r="K298" s="13">
        <v>71.926556666699994</v>
      </c>
      <c r="L298" s="15">
        <v>40</v>
      </c>
      <c r="M298" s="12"/>
      <c r="N298" s="12"/>
      <c r="O298" s="24" t="s">
        <v>19</v>
      </c>
    </row>
    <row r="299" spans="1:15" ht="30" customHeight="1">
      <c r="A299" s="2"/>
      <c r="B299" s="2"/>
      <c r="C299" s="2"/>
      <c r="D299" s="2"/>
      <c r="E299" s="2"/>
      <c r="F299" s="2"/>
      <c r="G299" s="2"/>
      <c r="H299" s="2"/>
      <c r="I299" s="2"/>
      <c r="J299" s="11"/>
      <c r="K299" s="11"/>
      <c r="L299" s="9"/>
      <c r="M299" s="2"/>
      <c r="N299" s="2"/>
      <c r="O299" s="2"/>
    </row>
    <row r="300" spans="1:15" ht="30" customHeight="1">
      <c r="A300" s="2"/>
      <c r="B300" s="2"/>
      <c r="C300" s="2"/>
      <c r="D300" s="2"/>
      <c r="E300" s="2"/>
      <c r="F300" s="2"/>
      <c r="G300" s="2"/>
      <c r="H300" s="2"/>
      <c r="I300" s="2"/>
      <c r="J300" s="11"/>
      <c r="K300" s="11"/>
      <c r="L300" s="9"/>
      <c r="M300" s="2"/>
      <c r="N300" s="2"/>
      <c r="O300" s="2"/>
    </row>
    <row r="301" spans="1:15" ht="30" customHeight="1">
      <c r="A301" s="2"/>
      <c r="B301" s="2"/>
      <c r="C301" s="2"/>
      <c r="D301" s="2"/>
      <c r="E301" s="2"/>
      <c r="F301" s="2"/>
      <c r="G301" s="2"/>
      <c r="H301" s="2"/>
      <c r="I301" s="2"/>
      <c r="J301" s="11"/>
      <c r="K301" s="11"/>
      <c r="L301" s="9"/>
      <c r="M301" s="2"/>
      <c r="N301" s="2"/>
      <c r="O301" s="2"/>
    </row>
    <row r="302" spans="1:15" ht="30" customHeight="1">
      <c r="A302" s="2"/>
      <c r="B302" s="2"/>
      <c r="C302" s="2"/>
      <c r="D302" s="2"/>
      <c r="E302" s="2"/>
      <c r="F302" s="2"/>
      <c r="G302" s="2"/>
      <c r="H302" s="2"/>
      <c r="I302" s="2"/>
      <c r="J302" s="11"/>
      <c r="K302" s="11"/>
      <c r="L302" s="9"/>
      <c r="M302" s="2"/>
      <c r="N302" s="2"/>
      <c r="O302" s="2"/>
    </row>
    <row r="303" spans="1:15" ht="30" customHeight="1">
      <c r="A303" s="2"/>
      <c r="B303" s="2"/>
      <c r="C303" s="2"/>
      <c r="D303" s="2"/>
      <c r="E303" s="2"/>
      <c r="F303" s="2"/>
      <c r="G303" s="2"/>
      <c r="H303" s="2"/>
      <c r="I303" s="2"/>
      <c r="J303" s="11"/>
      <c r="K303" s="11"/>
      <c r="L303" s="9"/>
      <c r="M303" s="2"/>
      <c r="N303" s="2"/>
      <c r="O303" s="2"/>
    </row>
    <row r="304" spans="1:15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11"/>
      <c r="K304" s="11"/>
      <c r="L304" s="9"/>
      <c r="M304" s="2"/>
      <c r="N304" s="2"/>
      <c r="O304" s="2"/>
    </row>
    <row r="305" spans="1:15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11"/>
      <c r="K305" s="11"/>
      <c r="L305" s="9"/>
      <c r="M305" s="2"/>
      <c r="N305" s="2"/>
      <c r="O305" s="2"/>
    </row>
    <row r="306" spans="1:15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11"/>
      <c r="K306" s="11"/>
      <c r="L306" s="9"/>
      <c r="M306" s="2"/>
      <c r="N306" s="2"/>
      <c r="O306" s="2"/>
    </row>
    <row r="307" spans="1:15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11"/>
      <c r="K307" s="11"/>
      <c r="L307" s="9"/>
      <c r="M307" s="2"/>
      <c r="N307" s="2"/>
      <c r="O307" s="2"/>
    </row>
    <row r="308" spans="1:15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11"/>
      <c r="K308" s="11"/>
      <c r="L308" s="9"/>
      <c r="M308" s="2"/>
      <c r="N308" s="2"/>
      <c r="O308" s="2"/>
    </row>
    <row r="309" spans="1:15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11"/>
      <c r="K309" s="11"/>
      <c r="L309" s="9"/>
      <c r="M309" s="2"/>
      <c r="N309" s="2"/>
      <c r="O309" s="2"/>
    </row>
    <row r="310" spans="1:15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11"/>
      <c r="K310" s="11"/>
      <c r="L310" s="9"/>
      <c r="M310" s="2"/>
      <c r="N310" s="2"/>
      <c r="O310" s="2"/>
    </row>
    <row r="311" spans="1:15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11"/>
      <c r="K311" s="11"/>
      <c r="L311" s="9"/>
      <c r="M311" s="2"/>
      <c r="N311" s="2"/>
      <c r="O311" s="2"/>
    </row>
    <row r="312" spans="1:15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11"/>
      <c r="K312" s="11"/>
      <c r="L312" s="9"/>
      <c r="M312" s="2"/>
      <c r="N312" s="2"/>
      <c r="O312" s="2"/>
    </row>
    <row r="313" spans="1:15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11"/>
      <c r="K313" s="11"/>
      <c r="L313" s="9"/>
      <c r="M313" s="2"/>
      <c r="N313" s="2"/>
      <c r="O313" s="2"/>
    </row>
    <row r="314" spans="1:15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11"/>
      <c r="K314" s="11"/>
      <c r="L314" s="9"/>
      <c r="M314" s="2"/>
      <c r="N314" s="2"/>
      <c r="O314" s="2"/>
    </row>
    <row r="315" spans="1:15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11"/>
      <c r="K315" s="11"/>
      <c r="L315" s="9"/>
      <c r="M315" s="2"/>
      <c r="N315" s="2"/>
      <c r="O315" s="2"/>
    </row>
    <row r="316" spans="1:15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11"/>
      <c r="K316" s="11"/>
      <c r="L316" s="9"/>
      <c r="M316" s="2"/>
      <c r="N316" s="2"/>
      <c r="O316" s="2"/>
    </row>
    <row r="317" spans="1:15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11"/>
      <c r="K317" s="11"/>
      <c r="L317" s="9"/>
      <c r="M317" s="2"/>
      <c r="N317" s="2"/>
      <c r="O317" s="2"/>
    </row>
    <row r="318" spans="1:15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11"/>
      <c r="K318" s="11"/>
      <c r="L318" s="9"/>
      <c r="M318" s="2"/>
      <c r="N318" s="2"/>
      <c r="O318" s="2"/>
    </row>
    <row r="319" spans="1:15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11"/>
      <c r="K319" s="11"/>
      <c r="L319" s="9"/>
      <c r="M319" s="2"/>
      <c r="N319" s="2"/>
      <c r="O319" s="2"/>
    </row>
    <row r="320" spans="1:15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11"/>
      <c r="K320" s="11"/>
      <c r="L320" s="9"/>
      <c r="M320" s="2"/>
      <c r="N320" s="2"/>
      <c r="O320" s="2"/>
    </row>
    <row r="321" spans="1:15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11"/>
      <c r="K321" s="11"/>
      <c r="L321" s="9"/>
      <c r="M321" s="2"/>
      <c r="N321" s="2"/>
      <c r="O321" s="2"/>
    </row>
    <row r="322" spans="1:15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11"/>
      <c r="K322" s="11"/>
      <c r="L322" s="9"/>
      <c r="M322" s="2"/>
      <c r="N322" s="2"/>
      <c r="O322" s="2"/>
    </row>
    <row r="323" spans="1:15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11"/>
      <c r="K323" s="11"/>
      <c r="L323" s="9"/>
      <c r="M323" s="2"/>
      <c r="N323" s="2"/>
      <c r="O323" s="2"/>
    </row>
    <row r="324" spans="1:15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11"/>
      <c r="K324" s="11"/>
      <c r="L324" s="9"/>
      <c r="M324" s="2"/>
      <c r="N324" s="2"/>
      <c r="O324" s="2"/>
    </row>
    <row r="325" spans="1:15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11"/>
      <c r="K325" s="11"/>
      <c r="L325" s="9"/>
      <c r="M325" s="2"/>
      <c r="N325" s="2"/>
      <c r="O325" s="2"/>
    </row>
    <row r="326" spans="1:15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11"/>
      <c r="K326" s="11"/>
      <c r="L326" s="9"/>
      <c r="M326" s="2"/>
      <c r="N326" s="2"/>
      <c r="O326" s="2"/>
    </row>
    <row r="327" spans="1:15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11"/>
      <c r="K327" s="11"/>
      <c r="L327" s="9"/>
      <c r="M327" s="2"/>
      <c r="N327" s="2"/>
      <c r="O327" s="2"/>
    </row>
    <row r="328" spans="1:15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11"/>
      <c r="K328" s="11"/>
      <c r="L328" s="9"/>
      <c r="M328" s="2"/>
      <c r="N328" s="2"/>
      <c r="O328" s="2"/>
    </row>
    <row r="329" spans="1:15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11"/>
      <c r="K329" s="11"/>
      <c r="L329" s="9"/>
      <c r="M329" s="2"/>
      <c r="N329" s="2"/>
      <c r="O329" s="2"/>
    </row>
    <row r="330" spans="1:15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11"/>
      <c r="K330" s="11"/>
      <c r="L330" s="9"/>
      <c r="M330" s="2"/>
      <c r="N330" s="2"/>
      <c r="O330" s="2"/>
    </row>
    <row r="331" spans="1:15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11"/>
      <c r="K331" s="11"/>
      <c r="L331" s="9"/>
      <c r="M331" s="2"/>
      <c r="N331" s="2"/>
      <c r="O331" s="2"/>
    </row>
    <row r="332" spans="1:15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11"/>
      <c r="K332" s="11"/>
      <c r="L332" s="9"/>
      <c r="M332" s="2"/>
      <c r="N332" s="2"/>
      <c r="O332" s="2"/>
    </row>
    <row r="333" spans="1:15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11"/>
      <c r="K333" s="11"/>
      <c r="L333" s="9"/>
      <c r="M333" s="2"/>
      <c r="N333" s="2"/>
      <c r="O333" s="2"/>
    </row>
    <row r="334" spans="1:15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11"/>
      <c r="K334" s="11"/>
      <c r="L334" s="9"/>
      <c r="M334" s="2"/>
      <c r="N334" s="2"/>
      <c r="O334" s="2"/>
    </row>
    <row r="335" spans="1:15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11"/>
      <c r="K335" s="11"/>
      <c r="L335" s="9"/>
      <c r="M335" s="2"/>
      <c r="N335" s="2"/>
      <c r="O335" s="2"/>
    </row>
    <row r="336" spans="1:15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11"/>
      <c r="K336" s="11"/>
      <c r="L336" s="9"/>
      <c r="M336" s="2"/>
      <c r="N336" s="2"/>
      <c r="O336" s="2"/>
    </row>
    <row r="337" spans="1:15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11"/>
      <c r="K337" s="11"/>
      <c r="L337" s="9"/>
      <c r="M337" s="2"/>
      <c r="N337" s="2"/>
      <c r="O337" s="2"/>
    </row>
    <row r="338" spans="1:15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11"/>
      <c r="K338" s="11"/>
      <c r="L338" s="9"/>
      <c r="M338" s="2"/>
      <c r="N338" s="2"/>
      <c r="O338" s="2"/>
    </row>
    <row r="339" spans="1:15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11"/>
      <c r="K339" s="11"/>
      <c r="L339" s="9"/>
      <c r="M339" s="2"/>
      <c r="N339" s="2"/>
      <c r="O339" s="2"/>
    </row>
    <row r="340" spans="1:15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11"/>
      <c r="K340" s="11"/>
      <c r="L340" s="9"/>
      <c r="M340" s="2"/>
      <c r="N340" s="2"/>
      <c r="O340" s="2"/>
    </row>
    <row r="341" spans="1:15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11"/>
      <c r="K341" s="11"/>
      <c r="L341" s="9"/>
      <c r="M341" s="2"/>
      <c r="N341" s="2"/>
      <c r="O341" s="2"/>
    </row>
    <row r="342" spans="1:15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11"/>
      <c r="K342" s="11"/>
      <c r="L342" s="9"/>
      <c r="M342" s="2"/>
      <c r="N342" s="2"/>
      <c r="O342" s="2"/>
    </row>
    <row r="343" spans="1:15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11"/>
      <c r="K343" s="11"/>
      <c r="L343" s="9"/>
      <c r="M343" s="2"/>
      <c r="N343" s="2"/>
      <c r="O343" s="2"/>
    </row>
    <row r="344" spans="1:15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11"/>
      <c r="K344" s="11"/>
      <c r="L344" s="9"/>
      <c r="M344" s="2"/>
      <c r="N344" s="2"/>
      <c r="O344" s="2"/>
    </row>
    <row r="345" spans="1:15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11"/>
      <c r="K345" s="11"/>
      <c r="L345" s="9"/>
      <c r="M345" s="2"/>
      <c r="N345" s="2"/>
      <c r="O345" s="2"/>
    </row>
    <row r="346" spans="1:15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11"/>
      <c r="K346" s="11"/>
      <c r="L346" s="9"/>
      <c r="M346" s="2"/>
      <c r="N346" s="2"/>
      <c r="O346" s="2"/>
    </row>
    <row r="347" spans="1:15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11"/>
      <c r="K347" s="11"/>
      <c r="L347" s="9"/>
      <c r="M347" s="2"/>
      <c r="N347" s="2"/>
      <c r="O347" s="2"/>
    </row>
    <row r="348" spans="1:15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11"/>
      <c r="K348" s="11"/>
      <c r="L348" s="9"/>
      <c r="M348" s="2"/>
      <c r="N348" s="2"/>
      <c r="O348" s="2"/>
    </row>
    <row r="349" spans="1:15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11"/>
      <c r="K349" s="11"/>
      <c r="L349" s="9"/>
      <c r="M349" s="2"/>
      <c r="N349" s="2"/>
      <c r="O349" s="2"/>
    </row>
    <row r="350" spans="1:15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11"/>
      <c r="K350" s="11"/>
      <c r="L350" s="9"/>
      <c r="M350" s="2"/>
      <c r="N350" s="2"/>
      <c r="O350" s="2"/>
    </row>
    <row r="351" spans="1:15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11"/>
      <c r="K351" s="11"/>
      <c r="L351" s="9"/>
      <c r="M351" s="2"/>
      <c r="N351" s="2"/>
      <c r="O351" s="2"/>
    </row>
    <row r="352" spans="1:15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11"/>
      <c r="K352" s="11"/>
      <c r="L352" s="9"/>
      <c r="M352" s="2"/>
      <c r="N352" s="2"/>
      <c r="O352" s="2"/>
    </row>
    <row r="353" spans="1:15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11"/>
      <c r="K353" s="11"/>
      <c r="L353" s="9"/>
      <c r="M353" s="2"/>
      <c r="N353" s="2"/>
      <c r="O353" s="2"/>
    </row>
    <row r="354" spans="1:15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11"/>
      <c r="K354" s="11"/>
      <c r="L354" s="9"/>
      <c r="M354" s="2"/>
      <c r="N354" s="2"/>
      <c r="O354" s="2"/>
    </row>
    <row r="355" spans="1:15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11"/>
      <c r="K355" s="11"/>
      <c r="L355" s="9"/>
      <c r="M355" s="2"/>
      <c r="N355" s="2"/>
      <c r="O355" s="2"/>
    </row>
    <row r="356" spans="1:15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11"/>
      <c r="K356" s="11"/>
      <c r="L356" s="9"/>
      <c r="M356" s="2"/>
      <c r="N356" s="2"/>
      <c r="O356" s="2"/>
    </row>
    <row r="357" spans="1:15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11"/>
      <c r="K357" s="11"/>
      <c r="L357" s="9"/>
      <c r="M357" s="2"/>
      <c r="N357" s="2"/>
      <c r="O357" s="2"/>
    </row>
    <row r="358" spans="1:15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11"/>
      <c r="K358" s="11"/>
      <c r="L358" s="9"/>
      <c r="M358" s="2"/>
      <c r="N358" s="2"/>
      <c r="O358" s="2"/>
    </row>
    <row r="359" spans="1:15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11"/>
      <c r="K359" s="11"/>
      <c r="L359" s="9"/>
      <c r="M359" s="2"/>
      <c r="N359" s="2"/>
      <c r="O359" s="2"/>
    </row>
    <row r="360" spans="1:15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11"/>
      <c r="K360" s="11"/>
      <c r="L360" s="9"/>
      <c r="M360" s="2"/>
      <c r="N360" s="2"/>
      <c r="O360" s="2"/>
    </row>
    <row r="361" spans="1:15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11"/>
      <c r="K361" s="11"/>
      <c r="L361" s="9"/>
      <c r="M361" s="2"/>
      <c r="N361" s="2"/>
      <c r="O361" s="2"/>
    </row>
    <row r="362" spans="1:15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11"/>
      <c r="K362" s="11"/>
      <c r="L362" s="9"/>
      <c r="M362" s="2"/>
      <c r="N362" s="2"/>
      <c r="O362" s="2"/>
    </row>
    <row r="363" spans="1:15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11"/>
      <c r="K363" s="11"/>
      <c r="L363" s="9"/>
      <c r="M363" s="2"/>
      <c r="N363" s="2"/>
      <c r="O363" s="2"/>
    </row>
    <row r="364" spans="1:15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11"/>
      <c r="K364" s="11"/>
      <c r="L364" s="9"/>
      <c r="M364" s="2"/>
      <c r="N364" s="2"/>
      <c r="O364" s="2"/>
    </row>
    <row r="365" spans="1:15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11"/>
      <c r="K365" s="11"/>
      <c r="L365" s="9"/>
      <c r="M365" s="2"/>
      <c r="N365" s="2"/>
      <c r="O365" s="2"/>
    </row>
    <row r="366" spans="1:15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11"/>
      <c r="K366" s="11"/>
      <c r="L366" s="9"/>
      <c r="M366" s="2"/>
      <c r="N366" s="2"/>
      <c r="O366" s="2"/>
    </row>
    <row r="367" spans="1:15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11"/>
      <c r="K367" s="11"/>
      <c r="L367" s="9"/>
      <c r="M367" s="2"/>
      <c r="N367" s="2"/>
      <c r="O367" s="2"/>
    </row>
    <row r="368" spans="1:15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11"/>
      <c r="K368" s="11"/>
      <c r="L368" s="9"/>
      <c r="M368" s="2"/>
      <c r="N368" s="2"/>
      <c r="O368" s="2"/>
    </row>
    <row r="369" spans="1:15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11"/>
      <c r="K369" s="11"/>
      <c r="L369" s="9"/>
      <c r="M369" s="2"/>
      <c r="N369" s="2"/>
      <c r="O369" s="2"/>
    </row>
    <row r="370" spans="1:15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11"/>
      <c r="K370" s="11"/>
      <c r="L370" s="9"/>
      <c r="M370" s="2"/>
      <c r="N370" s="2"/>
      <c r="O370" s="2"/>
    </row>
    <row r="371" spans="1:15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11"/>
      <c r="K371" s="11"/>
      <c r="L371" s="9"/>
      <c r="M371" s="2"/>
      <c r="N371" s="2"/>
      <c r="O371" s="2"/>
    </row>
    <row r="372" spans="1:15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11"/>
      <c r="K372" s="11"/>
      <c r="L372" s="9"/>
      <c r="M372" s="2"/>
      <c r="N372" s="2"/>
      <c r="O372" s="2"/>
    </row>
    <row r="373" spans="1:15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11"/>
      <c r="K373" s="11"/>
      <c r="L373" s="9"/>
      <c r="M373" s="2"/>
      <c r="N373" s="2"/>
      <c r="O373" s="2"/>
    </row>
    <row r="374" spans="1:15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11"/>
      <c r="K374" s="11"/>
      <c r="L374" s="9"/>
      <c r="M374" s="2"/>
      <c r="N374" s="2"/>
      <c r="O374" s="2"/>
    </row>
    <row r="375" spans="1:15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11"/>
      <c r="K375" s="11"/>
      <c r="L375" s="9"/>
      <c r="M375" s="2"/>
      <c r="N375" s="2"/>
      <c r="O375" s="2"/>
    </row>
    <row r="376" spans="1:15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11"/>
      <c r="K376" s="11"/>
      <c r="L376" s="9"/>
      <c r="M376" s="2"/>
      <c r="N376" s="2"/>
      <c r="O376" s="2"/>
    </row>
    <row r="377" spans="1:15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11"/>
      <c r="K377" s="11"/>
      <c r="L377" s="9"/>
      <c r="M377" s="2"/>
      <c r="N377" s="2"/>
      <c r="O377" s="2"/>
    </row>
    <row r="378" spans="1:15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11"/>
      <c r="K378" s="11"/>
      <c r="L378" s="9"/>
      <c r="M378" s="2"/>
      <c r="N378" s="2"/>
      <c r="O378" s="2"/>
    </row>
    <row r="379" spans="1:15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11"/>
      <c r="K379" s="11"/>
      <c r="L379" s="9"/>
      <c r="M379" s="2"/>
      <c r="N379" s="2"/>
      <c r="O379" s="2"/>
    </row>
    <row r="380" spans="1:15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11"/>
      <c r="K380" s="11"/>
      <c r="L380" s="9"/>
      <c r="M380" s="2"/>
      <c r="N380" s="2"/>
      <c r="O380" s="2"/>
    </row>
    <row r="381" spans="1:15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11"/>
      <c r="K381" s="11"/>
      <c r="L381" s="9"/>
      <c r="M381" s="2"/>
      <c r="N381" s="2"/>
      <c r="O381" s="2"/>
    </row>
    <row r="382" spans="1:15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11"/>
      <c r="K382" s="11"/>
      <c r="L382" s="9"/>
      <c r="M382" s="2"/>
      <c r="N382" s="2"/>
      <c r="O382" s="2"/>
    </row>
    <row r="383" spans="1:15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11"/>
      <c r="K383" s="11"/>
      <c r="L383" s="9"/>
      <c r="M383" s="2"/>
      <c r="N383" s="2"/>
      <c r="O383" s="2"/>
    </row>
    <row r="384" spans="1:15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11"/>
      <c r="K384" s="11"/>
      <c r="L384" s="9"/>
      <c r="M384" s="2"/>
      <c r="N384" s="2"/>
      <c r="O384" s="2"/>
    </row>
    <row r="385" spans="1:15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11"/>
      <c r="K385" s="11"/>
      <c r="L385" s="9"/>
      <c r="M385" s="2"/>
      <c r="N385" s="2"/>
      <c r="O385" s="2"/>
    </row>
    <row r="386" spans="1:15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11"/>
      <c r="K386" s="11"/>
      <c r="L386" s="9"/>
      <c r="M386" s="2"/>
      <c r="N386" s="2"/>
      <c r="O386" s="2"/>
    </row>
    <row r="387" spans="1:15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11"/>
      <c r="K387" s="11"/>
      <c r="L387" s="9"/>
      <c r="M387" s="2"/>
      <c r="N387" s="2"/>
      <c r="O387" s="2"/>
    </row>
    <row r="388" spans="1:15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11"/>
      <c r="K388" s="11"/>
      <c r="L388" s="9"/>
      <c r="M388" s="2"/>
      <c r="N388" s="2"/>
      <c r="O388" s="2"/>
    </row>
    <row r="389" spans="1:15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11"/>
      <c r="K389" s="11"/>
      <c r="L389" s="9"/>
      <c r="M389" s="2"/>
      <c r="N389" s="2"/>
      <c r="O389" s="2"/>
    </row>
    <row r="390" spans="1:15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11"/>
      <c r="K390" s="11"/>
      <c r="L390" s="9"/>
      <c r="M390" s="2"/>
      <c r="N390" s="2"/>
      <c r="O390" s="2"/>
    </row>
    <row r="391" spans="1:15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11"/>
      <c r="K391" s="11"/>
      <c r="L391" s="9"/>
      <c r="M391" s="2"/>
      <c r="N391" s="2"/>
      <c r="O391" s="2"/>
    </row>
    <row r="392" spans="1:15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11"/>
      <c r="K392" s="11"/>
      <c r="L392" s="9"/>
      <c r="M392" s="2"/>
      <c r="N392" s="2"/>
      <c r="O392" s="2"/>
    </row>
    <row r="393" spans="1:15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11"/>
      <c r="K393" s="11"/>
      <c r="L393" s="9"/>
      <c r="M393" s="2"/>
      <c r="N393" s="2"/>
      <c r="O393" s="2"/>
    </row>
    <row r="394" spans="1:15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11"/>
      <c r="K394" s="11"/>
      <c r="L394" s="9"/>
      <c r="M394" s="2"/>
      <c r="N394" s="2"/>
      <c r="O394" s="2"/>
    </row>
    <row r="395" spans="1:15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11"/>
      <c r="K395" s="11"/>
      <c r="L395" s="9"/>
      <c r="M395" s="2"/>
      <c r="N395" s="2"/>
      <c r="O395" s="2"/>
    </row>
    <row r="396" spans="1:15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11"/>
      <c r="K396" s="11"/>
      <c r="L396" s="9"/>
      <c r="M396" s="2"/>
      <c r="N396" s="2"/>
      <c r="O396" s="2"/>
    </row>
    <row r="397" spans="1:15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11"/>
      <c r="K397" s="11"/>
      <c r="L397" s="9"/>
      <c r="M397" s="2"/>
      <c r="N397" s="2"/>
      <c r="O397" s="2"/>
    </row>
    <row r="398" spans="1:15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11"/>
      <c r="K398" s="11"/>
      <c r="L398" s="9"/>
      <c r="M398" s="2"/>
      <c r="N398" s="2"/>
      <c r="O398" s="2"/>
    </row>
    <row r="399" spans="1:15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11"/>
      <c r="K399" s="11"/>
      <c r="L399" s="9"/>
      <c r="M399" s="2"/>
      <c r="N399" s="2"/>
      <c r="O399" s="2"/>
    </row>
    <row r="400" spans="1:15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11"/>
      <c r="K400" s="11"/>
      <c r="L400" s="9"/>
      <c r="M400" s="2"/>
      <c r="N400" s="2"/>
      <c r="O400" s="2"/>
    </row>
    <row r="401" spans="1:15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11"/>
      <c r="K401" s="11"/>
      <c r="L401" s="9"/>
      <c r="M401" s="2"/>
      <c r="N401" s="2"/>
      <c r="O401" s="2"/>
    </row>
    <row r="402" spans="1:15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11"/>
      <c r="K402" s="11"/>
      <c r="L402" s="9"/>
      <c r="M402" s="2"/>
      <c r="N402" s="2"/>
      <c r="O402" s="2"/>
    </row>
    <row r="403" spans="1:15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11"/>
      <c r="K403" s="11"/>
      <c r="L403" s="9"/>
      <c r="M403" s="2"/>
      <c r="N403" s="2"/>
      <c r="O403" s="2"/>
    </row>
    <row r="404" spans="1:15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11"/>
      <c r="K404" s="11"/>
      <c r="L404" s="9"/>
      <c r="M404" s="2"/>
      <c r="N404" s="2"/>
      <c r="O404" s="2"/>
    </row>
    <row r="405" spans="1:15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11"/>
      <c r="K405" s="11"/>
      <c r="L405" s="9"/>
      <c r="M405" s="2"/>
      <c r="N405" s="2"/>
      <c r="O405" s="2"/>
    </row>
    <row r="406" spans="1:15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11"/>
      <c r="K406" s="11"/>
      <c r="L406" s="9"/>
      <c r="M406" s="2"/>
      <c r="N406" s="2"/>
      <c r="O406" s="2"/>
    </row>
    <row r="407" spans="1:15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11"/>
      <c r="K407" s="11"/>
      <c r="L407" s="9"/>
      <c r="M407" s="2"/>
      <c r="N407" s="2"/>
      <c r="O407" s="2"/>
    </row>
    <row r="408" spans="1:15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11"/>
      <c r="K408" s="11"/>
      <c r="L408" s="9"/>
      <c r="M408" s="2"/>
      <c r="N408" s="2"/>
      <c r="O408" s="2"/>
    </row>
    <row r="409" spans="1:15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11"/>
      <c r="K409" s="11"/>
      <c r="L409" s="9"/>
      <c r="M409" s="2"/>
      <c r="N409" s="2"/>
      <c r="O409" s="2"/>
    </row>
    <row r="410" spans="1:15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11"/>
      <c r="K410" s="11"/>
      <c r="L410" s="9"/>
      <c r="M410" s="2"/>
      <c r="N410" s="2"/>
      <c r="O410" s="2"/>
    </row>
    <row r="411" spans="1:15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11"/>
      <c r="K411" s="11"/>
      <c r="L411" s="9"/>
      <c r="M411" s="2"/>
      <c r="N411" s="2"/>
      <c r="O411" s="2"/>
    </row>
    <row r="412" spans="1:15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11"/>
      <c r="K412" s="11"/>
      <c r="L412" s="9"/>
      <c r="M412" s="2"/>
      <c r="N412" s="2"/>
      <c r="O412" s="2"/>
    </row>
    <row r="413" spans="1:15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11"/>
      <c r="K413" s="11"/>
      <c r="L413" s="9"/>
      <c r="M413" s="2"/>
      <c r="N413" s="2"/>
      <c r="O413" s="2"/>
    </row>
    <row r="414" spans="1:15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11"/>
      <c r="K414" s="11"/>
      <c r="L414" s="9"/>
      <c r="M414" s="2"/>
      <c r="N414" s="2"/>
      <c r="O414" s="2"/>
    </row>
    <row r="415" spans="1:15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11"/>
      <c r="K415" s="11"/>
      <c r="L415" s="9"/>
      <c r="M415" s="2"/>
      <c r="N415" s="2"/>
      <c r="O415" s="2"/>
    </row>
    <row r="416" spans="1:15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11"/>
      <c r="K416" s="11"/>
      <c r="L416" s="9"/>
      <c r="M416" s="2"/>
      <c r="N416" s="2"/>
      <c r="O416" s="2"/>
    </row>
    <row r="417" spans="1:15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11"/>
      <c r="K417" s="11"/>
      <c r="L417" s="9"/>
      <c r="M417" s="2"/>
      <c r="N417" s="2"/>
      <c r="O417" s="2"/>
    </row>
    <row r="418" spans="1:15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11"/>
      <c r="K418" s="11"/>
      <c r="L418" s="9"/>
      <c r="M418" s="2"/>
      <c r="N418" s="2"/>
      <c r="O418" s="2"/>
    </row>
    <row r="419" spans="1:15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11"/>
      <c r="K419" s="11"/>
      <c r="L419" s="9"/>
      <c r="M419" s="2"/>
      <c r="N419" s="2"/>
      <c r="O419" s="2"/>
    </row>
    <row r="420" spans="1:15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11"/>
      <c r="K420" s="11"/>
      <c r="L420" s="9"/>
      <c r="M420" s="2"/>
      <c r="N420" s="2"/>
      <c r="O420" s="2"/>
    </row>
    <row r="421" spans="1:15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11"/>
      <c r="K421" s="11"/>
      <c r="L421" s="9"/>
      <c r="M421" s="2"/>
      <c r="N421" s="2"/>
      <c r="O421" s="2"/>
    </row>
    <row r="422" spans="1:15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11"/>
      <c r="K422" s="11"/>
      <c r="L422" s="9"/>
      <c r="M422" s="2"/>
      <c r="N422" s="2"/>
      <c r="O422" s="2"/>
    </row>
    <row r="423" spans="1:15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11"/>
      <c r="K423" s="11"/>
      <c r="L423" s="9"/>
      <c r="M423" s="2"/>
      <c r="N423" s="2"/>
      <c r="O423" s="2"/>
    </row>
    <row r="424" spans="1:15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11"/>
      <c r="K424" s="11"/>
      <c r="L424" s="9"/>
      <c r="M424" s="2"/>
      <c r="N424" s="2"/>
      <c r="O424" s="2"/>
    </row>
    <row r="425" spans="1:15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11"/>
      <c r="K425" s="11"/>
      <c r="L425" s="9"/>
      <c r="M425" s="2"/>
      <c r="N425" s="2"/>
      <c r="O425" s="2"/>
    </row>
    <row r="426" spans="1:15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11"/>
      <c r="K426" s="11"/>
      <c r="L426" s="9"/>
      <c r="M426" s="2"/>
      <c r="N426" s="2"/>
      <c r="O426" s="2"/>
    </row>
    <row r="427" spans="1:15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11"/>
      <c r="K427" s="11"/>
      <c r="L427" s="9"/>
      <c r="M427" s="2"/>
      <c r="N427" s="2"/>
      <c r="O427" s="2"/>
    </row>
    <row r="428" spans="1:15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11"/>
      <c r="K428" s="11"/>
      <c r="L428" s="9"/>
      <c r="M428" s="2"/>
      <c r="N428" s="2"/>
      <c r="O428" s="2"/>
    </row>
    <row r="429" spans="1:15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11"/>
      <c r="K429" s="11"/>
      <c r="L429" s="9"/>
      <c r="M429" s="2"/>
      <c r="N429" s="2"/>
      <c r="O429" s="2"/>
    </row>
    <row r="430" spans="1:15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11"/>
      <c r="K430" s="11"/>
      <c r="L430" s="9"/>
      <c r="M430" s="2"/>
      <c r="N430" s="2"/>
      <c r="O430" s="2"/>
    </row>
    <row r="431" spans="1:15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11"/>
      <c r="K431" s="11"/>
      <c r="L431" s="9"/>
      <c r="M431" s="2"/>
      <c r="N431" s="2"/>
      <c r="O431" s="2"/>
    </row>
    <row r="432" spans="1:15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11"/>
      <c r="K432" s="11"/>
      <c r="L432" s="9"/>
      <c r="M432" s="2"/>
      <c r="N432" s="2"/>
      <c r="O432" s="2"/>
    </row>
    <row r="433" spans="1:15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11"/>
      <c r="K433" s="11"/>
      <c r="L433" s="9"/>
      <c r="M433" s="2"/>
      <c r="N433" s="2"/>
      <c r="O433" s="2"/>
    </row>
    <row r="434" spans="1:15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11"/>
      <c r="K434" s="11"/>
      <c r="L434" s="9"/>
      <c r="M434" s="2"/>
      <c r="N434" s="2"/>
      <c r="O434" s="2"/>
    </row>
    <row r="435" spans="1:15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11"/>
      <c r="K435" s="11"/>
      <c r="L435" s="9"/>
      <c r="M435" s="2"/>
      <c r="N435" s="2"/>
      <c r="O435" s="2"/>
    </row>
    <row r="436" spans="1:15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11"/>
      <c r="K436" s="11"/>
      <c r="L436" s="9"/>
      <c r="M436" s="2"/>
      <c r="N436" s="2"/>
      <c r="O436" s="2"/>
    </row>
    <row r="437" spans="1:15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11"/>
      <c r="K437" s="11"/>
      <c r="L437" s="9"/>
      <c r="M437" s="2"/>
      <c r="N437" s="2"/>
      <c r="O437" s="2"/>
    </row>
    <row r="438" spans="1:15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11"/>
      <c r="K438" s="11"/>
      <c r="L438" s="9"/>
      <c r="M438" s="2"/>
      <c r="N438" s="2"/>
      <c r="O438" s="2"/>
    </row>
    <row r="439" spans="1:15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11"/>
      <c r="K439" s="11"/>
      <c r="L439" s="9"/>
      <c r="M439" s="2"/>
      <c r="N439" s="2"/>
      <c r="O439" s="2"/>
    </row>
    <row r="440" spans="1:15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11"/>
      <c r="K440" s="11"/>
      <c r="L440" s="9"/>
      <c r="M440" s="2"/>
      <c r="N440" s="2"/>
      <c r="O440" s="2"/>
    </row>
    <row r="441" spans="1:15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11"/>
      <c r="K441" s="11"/>
      <c r="L441" s="9"/>
      <c r="M441" s="2"/>
      <c r="N441" s="2"/>
      <c r="O441" s="2"/>
    </row>
    <row r="442" spans="1:15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11"/>
      <c r="K442" s="11"/>
      <c r="L442" s="9"/>
      <c r="M442" s="2"/>
      <c r="N442" s="2"/>
      <c r="O442" s="2"/>
    </row>
    <row r="443" spans="1:15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11"/>
      <c r="K443" s="11"/>
      <c r="L443" s="9"/>
      <c r="M443" s="2"/>
      <c r="N443" s="2"/>
      <c r="O443" s="2"/>
    </row>
    <row r="444" spans="1:15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11"/>
      <c r="K444" s="11"/>
      <c r="L444" s="9"/>
      <c r="M444" s="2"/>
      <c r="N444" s="2"/>
      <c r="O444" s="2"/>
    </row>
    <row r="445" spans="1:15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11"/>
      <c r="K445" s="11"/>
      <c r="L445" s="9"/>
      <c r="M445" s="2"/>
      <c r="N445" s="2"/>
      <c r="O445" s="2"/>
    </row>
    <row r="446" spans="1:15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11"/>
      <c r="K446" s="11"/>
      <c r="L446" s="9"/>
      <c r="M446" s="2"/>
      <c r="N446" s="2"/>
      <c r="O446" s="2"/>
    </row>
    <row r="447" spans="1:15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11"/>
      <c r="K447" s="11"/>
      <c r="L447" s="9"/>
      <c r="M447" s="2"/>
      <c r="N447" s="2"/>
      <c r="O447" s="2"/>
    </row>
    <row r="448" spans="1:15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11"/>
      <c r="K448" s="11"/>
      <c r="L448" s="9"/>
      <c r="M448" s="2"/>
      <c r="N448" s="2"/>
      <c r="O448" s="2"/>
    </row>
    <row r="449" spans="1:15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11"/>
      <c r="K449" s="11"/>
      <c r="L449" s="9"/>
      <c r="M449" s="2"/>
      <c r="N449" s="2"/>
      <c r="O449" s="2"/>
    </row>
    <row r="450" spans="1:15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11"/>
      <c r="K450" s="11"/>
      <c r="L450" s="9"/>
      <c r="M450" s="2"/>
      <c r="N450" s="2"/>
      <c r="O450" s="2"/>
    </row>
    <row r="451" spans="1:15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11"/>
      <c r="K451" s="11"/>
      <c r="L451" s="9"/>
      <c r="M451" s="2"/>
      <c r="N451" s="2"/>
      <c r="O451" s="2"/>
    </row>
    <row r="452" spans="1:15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11"/>
      <c r="K452" s="11"/>
      <c r="L452" s="9"/>
      <c r="M452" s="2"/>
      <c r="N452" s="2"/>
      <c r="O452" s="2"/>
    </row>
    <row r="453" spans="1:15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11"/>
      <c r="K453" s="11"/>
      <c r="L453" s="9"/>
      <c r="M453" s="2"/>
      <c r="N453" s="2"/>
      <c r="O453" s="2"/>
    </row>
    <row r="454" spans="1:15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11"/>
      <c r="K454" s="11"/>
      <c r="L454" s="9"/>
      <c r="M454" s="2"/>
      <c r="N454" s="2"/>
      <c r="O454" s="2"/>
    </row>
    <row r="455" spans="1:15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11"/>
      <c r="K455" s="11"/>
      <c r="L455" s="9"/>
      <c r="M455" s="2"/>
      <c r="N455" s="2"/>
      <c r="O455" s="2"/>
    </row>
    <row r="456" spans="1:15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11"/>
      <c r="K456" s="11"/>
      <c r="L456" s="9"/>
      <c r="M456" s="2"/>
      <c r="N456" s="2"/>
      <c r="O456" s="2"/>
    </row>
    <row r="457" spans="1:15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11"/>
      <c r="K457" s="11"/>
      <c r="L457" s="9"/>
      <c r="M457" s="2"/>
      <c r="N457" s="2"/>
      <c r="O457" s="2"/>
    </row>
    <row r="458" spans="1:15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11"/>
      <c r="K458" s="11"/>
      <c r="L458" s="9"/>
      <c r="M458" s="2"/>
      <c r="N458" s="2"/>
      <c r="O458" s="2"/>
    </row>
    <row r="459" spans="1:15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11"/>
      <c r="K459" s="11"/>
      <c r="L459" s="9"/>
      <c r="M459" s="2"/>
      <c r="N459" s="2"/>
      <c r="O459" s="2"/>
    </row>
    <row r="460" spans="1:15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11"/>
      <c r="K460" s="11"/>
      <c r="L460" s="9"/>
      <c r="M460" s="2"/>
      <c r="N460" s="2"/>
      <c r="O460" s="2"/>
    </row>
    <row r="461" spans="1:15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11"/>
      <c r="K461" s="11"/>
      <c r="L461" s="9"/>
      <c r="M461" s="2"/>
      <c r="N461" s="2"/>
      <c r="O461" s="2"/>
    </row>
    <row r="462" spans="1:15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11"/>
      <c r="K462" s="11"/>
      <c r="L462" s="9"/>
      <c r="M462" s="2"/>
      <c r="N462" s="2"/>
      <c r="O462" s="2"/>
    </row>
    <row r="463" spans="1:15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11"/>
      <c r="K463" s="11"/>
      <c r="L463" s="9"/>
      <c r="M463" s="2"/>
      <c r="N463" s="2"/>
      <c r="O463" s="2"/>
    </row>
    <row r="464" spans="1:15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11"/>
      <c r="K464" s="11"/>
      <c r="L464" s="9"/>
      <c r="M464" s="2"/>
      <c r="N464" s="2"/>
      <c r="O464" s="2"/>
    </row>
    <row r="465" spans="1:15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11"/>
      <c r="K465" s="11"/>
      <c r="L465" s="9"/>
      <c r="M465" s="2"/>
      <c r="N465" s="2"/>
      <c r="O465" s="2"/>
    </row>
    <row r="466" spans="1:15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11"/>
      <c r="K466" s="11"/>
      <c r="L466" s="9"/>
      <c r="M466" s="2"/>
      <c r="N466" s="2"/>
      <c r="O466" s="2"/>
    </row>
    <row r="467" spans="1:15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11"/>
      <c r="K467" s="11"/>
      <c r="L467" s="9"/>
      <c r="M467" s="2"/>
      <c r="N467" s="2"/>
      <c r="O467" s="2"/>
    </row>
    <row r="468" spans="1:15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11"/>
      <c r="K468" s="11"/>
      <c r="L468" s="9"/>
      <c r="M468" s="2"/>
      <c r="N468" s="2"/>
      <c r="O468" s="2"/>
    </row>
    <row r="469" spans="1:15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11"/>
      <c r="K469" s="11"/>
      <c r="L469" s="9"/>
      <c r="M469" s="2"/>
      <c r="N469" s="2"/>
      <c r="O469" s="2"/>
    </row>
    <row r="470" spans="1:15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11"/>
      <c r="K470" s="11"/>
      <c r="L470" s="9"/>
      <c r="M470" s="2"/>
      <c r="N470" s="2"/>
      <c r="O470" s="2"/>
    </row>
    <row r="471" spans="1:15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11"/>
      <c r="K471" s="11"/>
      <c r="L471" s="9"/>
      <c r="M471" s="2"/>
      <c r="N471" s="2"/>
      <c r="O471" s="2"/>
    </row>
    <row r="472" spans="1:15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11"/>
      <c r="K472" s="11"/>
      <c r="L472" s="9"/>
      <c r="M472" s="2"/>
      <c r="N472" s="2"/>
      <c r="O472" s="2"/>
    </row>
    <row r="473" spans="1:15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11"/>
      <c r="K473" s="11"/>
      <c r="L473" s="9"/>
      <c r="M473" s="2"/>
      <c r="N473" s="2"/>
      <c r="O473" s="2"/>
    </row>
    <row r="474" spans="1:15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11"/>
      <c r="K474" s="11"/>
      <c r="L474" s="9"/>
      <c r="M474" s="2"/>
      <c r="N474" s="2"/>
      <c r="O474" s="2"/>
    </row>
    <row r="475" spans="1:15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11"/>
      <c r="K475" s="11"/>
      <c r="L475" s="9"/>
      <c r="M475" s="2"/>
      <c r="N475" s="2"/>
      <c r="O475" s="2"/>
    </row>
    <row r="476" spans="1:15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11"/>
      <c r="K476" s="11"/>
      <c r="L476" s="9"/>
      <c r="M476" s="2"/>
      <c r="N476" s="2"/>
      <c r="O476" s="2"/>
    </row>
    <row r="477" spans="1:15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11"/>
      <c r="K477" s="11"/>
      <c r="L477" s="9"/>
      <c r="M477" s="2"/>
      <c r="N477" s="2"/>
      <c r="O477" s="2"/>
    </row>
    <row r="478" spans="1:15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11"/>
      <c r="K478" s="11"/>
      <c r="L478" s="9"/>
      <c r="M478" s="2"/>
      <c r="N478" s="2"/>
      <c r="O478" s="2"/>
    </row>
    <row r="479" spans="1:15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11"/>
      <c r="K479" s="11"/>
      <c r="L479" s="9"/>
      <c r="M479" s="2"/>
      <c r="N479" s="2"/>
      <c r="O479" s="2"/>
    </row>
    <row r="480" spans="1:15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11"/>
      <c r="K480" s="11"/>
      <c r="L480" s="9"/>
      <c r="M480" s="2"/>
      <c r="N480" s="2"/>
      <c r="O480" s="2"/>
    </row>
    <row r="481" spans="1:15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11"/>
      <c r="K481" s="11"/>
      <c r="L481" s="9"/>
      <c r="M481" s="2"/>
      <c r="N481" s="2"/>
      <c r="O481" s="2"/>
    </row>
    <row r="482" spans="1:15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11"/>
      <c r="K482" s="11"/>
      <c r="L482" s="9"/>
      <c r="M482" s="2"/>
      <c r="N482" s="2"/>
      <c r="O482" s="2"/>
    </row>
    <row r="483" spans="1:15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11"/>
      <c r="K483" s="11"/>
      <c r="L483" s="9"/>
      <c r="M483" s="2"/>
      <c r="N483" s="2"/>
      <c r="O483" s="2"/>
    </row>
    <row r="484" spans="1:15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11"/>
      <c r="K484" s="11"/>
      <c r="L484" s="9"/>
      <c r="M484" s="2"/>
      <c r="N484" s="2"/>
      <c r="O484" s="2"/>
    </row>
    <row r="485" spans="1:15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11"/>
      <c r="K485" s="11"/>
      <c r="L485" s="9"/>
      <c r="M485" s="2"/>
      <c r="N485" s="2"/>
      <c r="O485" s="2"/>
    </row>
    <row r="486" spans="1:15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11"/>
      <c r="K486" s="11"/>
      <c r="L486" s="9"/>
      <c r="M486" s="2"/>
      <c r="N486" s="2"/>
      <c r="O486" s="2"/>
    </row>
    <row r="487" spans="1:15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11"/>
      <c r="K487" s="11"/>
      <c r="L487" s="9"/>
      <c r="M487" s="2"/>
      <c r="N487" s="2"/>
      <c r="O487" s="2"/>
    </row>
    <row r="488" spans="1:15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11"/>
      <c r="K488" s="11"/>
      <c r="L488" s="9"/>
      <c r="M488" s="2"/>
      <c r="N488" s="2"/>
      <c r="O488" s="2"/>
    </row>
    <row r="489" spans="1:15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11"/>
      <c r="K489" s="11"/>
      <c r="L489" s="9"/>
      <c r="M489" s="2"/>
      <c r="N489" s="2"/>
      <c r="O489" s="2"/>
    </row>
    <row r="490" spans="1:15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11"/>
      <c r="K490" s="11"/>
      <c r="L490" s="9"/>
      <c r="M490" s="2"/>
      <c r="N490" s="2"/>
      <c r="O490" s="2"/>
    </row>
    <row r="491" spans="1:15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11"/>
      <c r="K491" s="11"/>
      <c r="L491" s="9"/>
      <c r="M491" s="2"/>
      <c r="N491" s="2"/>
      <c r="O491" s="2"/>
    </row>
    <row r="492" spans="1:15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11"/>
      <c r="K492" s="11"/>
      <c r="L492" s="9"/>
      <c r="M492" s="2"/>
      <c r="N492" s="2"/>
      <c r="O492" s="2"/>
    </row>
    <row r="493" spans="1:15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11"/>
      <c r="K493" s="11"/>
      <c r="L493" s="9"/>
      <c r="M493" s="2"/>
      <c r="N493" s="2"/>
      <c r="O493" s="2"/>
    </row>
    <row r="494" spans="1:15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11"/>
      <c r="K494" s="11"/>
      <c r="L494" s="9"/>
      <c r="M494" s="2"/>
      <c r="N494" s="2"/>
      <c r="O494" s="2"/>
    </row>
    <row r="495" spans="1:15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11"/>
      <c r="K495" s="11"/>
      <c r="L495" s="9"/>
      <c r="M495" s="2"/>
      <c r="N495" s="2"/>
      <c r="O495" s="2"/>
    </row>
    <row r="496" spans="1:15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11"/>
      <c r="K496" s="11"/>
      <c r="L496" s="9"/>
      <c r="M496" s="2"/>
      <c r="N496" s="2"/>
      <c r="O496" s="2"/>
    </row>
    <row r="497" spans="1:15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11"/>
      <c r="K497" s="11"/>
      <c r="L497" s="9"/>
      <c r="M497" s="2"/>
      <c r="N497" s="2"/>
      <c r="O497" s="2"/>
    </row>
    <row r="498" spans="1:15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11"/>
      <c r="K498" s="11"/>
      <c r="L498" s="9"/>
      <c r="M498" s="2"/>
      <c r="N498" s="2"/>
      <c r="O498" s="2"/>
    </row>
    <row r="499" spans="1:15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11"/>
      <c r="K499" s="11"/>
      <c r="L499" s="9"/>
      <c r="M499" s="2"/>
      <c r="N499" s="2"/>
      <c r="O499" s="2"/>
    </row>
    <row r="500" spans="1:15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11"/>
      <c r="K500" s="11"/>
      <c r="L500" s="9"/>
      <c r="M500" s="2"/>
      <c r="N500" s="2"/>
      <c r="O500" s="2"/>
    </row>
    <row r="501" spans="1:15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11"/>
      <c r="K501" s="11"/>
      <c r="L501" s="9"/>
      <c r="M501" s="2"/>
      <c r="N501" s="2"/>
      <c r="O501" s="2"/>
    </row>
    <row r="502" spans="1:15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11"/>
      <c r="K502" s="11"/>
      <c r="L502" s="9"/>
      <c r="M502" s="2"/>
      <c r="N502" s="2"/>
      <c r="O502" s="2"/>
    </row>
    <row r="503" spans="1:15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11"/>
      <c r="K503" s="11"/>
      <c r="L503" s="9"/>
      <c r="M503" s="2"/>
      <c r="N503" s="2"/>
      <c r="O503" s="2"/>
    </row>
    <row r="504" spans="1:15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11"/>
      <c r="K504" s="11"/>
      <c r="L504" s="9"/>
      <c r="M504" s="2"/>
      <c r="N504" s="2"/>
      <c r="O504" s="2"/>
    </row>
    <row r="505" spans="1:15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11"/>
      <c r="K505" s="11"/>
      <c r="L505" s="9"/>
      <c r="M505" s="2"/>
      <c r="N505" s="2"/>
      <c r="O505" s="2"/>
    </row>
    <row r="506" spans="1:15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11"/>
      <c r="K506" s="11"/>
      <c r="L506" s="9"/>
      <c r="M506" s="2"/>
      <c r="N506" s="2"/>
      <c r="O506" s="2"/>
    </row>
    <row r="507" spans="1:15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11"/>
      <c r="K507" s="11"/>
      <c r="L507" s="9"/>
      <c r="M507" s="2"/>
      <c r="N507" s="2"/>
      <c r="O507" s="2"/>
    </row>
    <row r="508" spans="1:15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11"/>
      <c r="K508" s="11"/>
      <c r="L508" s="9"/>
      <c r="M508" s="2"/>
      <c r="N508" s="2"/>
      <c r="O508" s="2"/>
    </row>
    <row r="509" spans="1:15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11"/>
      <c r="K509" s="11"/>
      <c r="L509" s="9"/>
      <c r="M509" s="2"/>
      <c r="N509" s="2"/>
      <c r="O509" s="2"/>
    </row>
    <row r="510" spans="1:15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11"/>
      <c r="K510" s="11"/>
      <c r="L510" s="9"/>
      <c r="M510" s="2"/>
      <c r="N510" s="2"/>
      <c r="O510" s="2"/>
    </row>
    <row r="511" spans="1:15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11"/>
      <c r="K511" s="11"/>
      <c r="L511" s="9"/>
      <c r="M511" s="2"/>
      <c r="N511" s="2"/>
      <c r="O511" s="2"/>
    </row>
    <row r="512" spans="1:15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11"/>
      <c r="K512" s="11"/>
      <c r="L512" s="9"/>
      <c r="M512" s="2"/>
      <c r="N512" s="2"/>
      <c r="O512" s="2"/>
    </row>
    <row r="513" spans="1:15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11"/>
      <c r="K513" s="11"/>
      <c r="L513" s="9"/>
      <c r="M513" s="2"/>
      <c r="N513" s="2"/>
      <c r="O513" s="2"/>
    </row>
    <row r="514" spans="1:15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11"/>
      <c r="K514" s="11"/>
      <c r="L514" s="9"/>
      <c r="M514" s="2"/>
      <c r="N514" s="2"/>
      <c r="O514" s="2"/>
    </row>
    <row r="515" spans="1:15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11"/>
      <c r="K515" s="11"/>
      <c r="L515" s="9"/>
      <c r="M515" s="2"/>
      <c r="N515" s="2"/>
      <c r="O515" s="2"/>
    </row>
    <row r="516" spans="1:15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11"/>
      <c r="K516" s="11"/>
      <c r="L516" s="9"/>
      <c r="M516" s="2"/>
      <c r="N516" s="2"/>
      <c r="O516" s="2"/>
    </row>
    <row r="517" spans="1:15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11"/>
      <c r="K517" s="11"/>
      <c r="L517" s="9"/>
      <c r="M517" s="2"/>
      <c r="N517" s="2"/>
      <c r="O517" s="2"/>
    </row>
    <row r="518" spans="1:15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11"/>
      <c r="K518" s="11"/>
      <c r="L518" s="9"/>
      <c r="M518" s="2"/>
      <c r="N518" s="2"/>
      <c r="O518" s="2"/>
    </row>
    <row r="519" spans="1:15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11"/>
      <c r="K519" s="11"/>
      <c r="L519" s="9"/>
      <c r="M519" s="2"/>
      <c r="N519" s="2"/>
      <c r="O519" s="2"/>
    </row>
    <row r="520" spans="1:15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11"/>
      <c r="K520" s="11"/>
      <c r="L520" s="9"/>
      <c r="M520" s="2"/>
      <c r="N520" s="2"/>
      <c r="O520" s="2"/>
    </row>
    <row r="521" spans="1:15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11"/>
      <c r="K521" s="11"/>
      <c r="L521" s="9"/>
      <c r="M521" s="2"/>
      <c r="N521" s="2"/>
      <c r="O521" s="2"/>
    </row>
    <row r="522" spans="1:15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11"/>
      <c r="K522" s="11"/>
      <c r="L522" s="9"/>
      <c r="M522" s="2"/>
      <c r="N522" s="2"/>
      <c r="O522" s="2"/>
    </row>
    <row r="523" spans="1:15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11"/>
      <c r="K523" s="11"/>
      <c r="L523" s="9"/>
      <c r="M523" s="2"/>
      <c r="N523" s="2"/>
      <c r="O523" s="2"/>
    </row>
    <row r="524" spans="1:15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11"/>
      <c r="K524" s="11"/>
      <c r="L524" s="9"/>
      <c r="M524" s="2"/>
      <c r="N524" s="2"/>
      <c r="O524" s="2"/>
    </row>
    <row r="525" spans="1:15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11"/>
      <c r="K525" s="11"/>
      <c r="L525" s="9"/>
      <c r="M525" s="2"/>
      <c r="N525" s="2"/>
      <c r="O525" s="2"/>
    </row>
    <row r="526" spans="1:15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11"/>
      <c r="K526" s="11"/>
      <c r="L526" s="9"/>
      <c r="M526" s="2"/>
      <c r="N526" s="2"/>
      <c r="O526" s="2"/>
    </row>
    <row r="527" spans="1:15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11"/>
      <c r="K527" s="11"/>
      <c r="L527" s="9"/>
      <c r="M527" s="2"/>
      <c r="N527" s="2"/>
      <c r="O527" s="2"/>
    </row>
    <row r="528" spans="1:15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11"/>
      <c r="K528" s="11"/>
      <c r="L528" s="9"/>
      <c r="M528" s="2"/>
      <c r="N528" s="2"/>
      <c r="O528" s="2"/>
    </row>
    <row r="529" spans="1:15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11"/>
      <c r="K529" s="11"/>
      <c r="L529" s="9"/>
      <c r="M529" s="2"/>
      <c r="N529" s="2"/>
      <c r="O529" s="2"/>
    </row>
    <row r="530" spans="1:15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11"/>
      <c r="K530" s="11"/>
      <c r="L530" s="9"/>
      <c r="M530" s="2"/>
      <c r="N530" s="2"/>
      <c r="O530" s="2"/>
    </row>
    <row r="531" spans="1:15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11"/>
      <c r="K531" s="11"/>
      <c r="L531" s="9"/>
      <c r="M531" s="2"/>
      <c r="N531" s="2"/>
      <c r="O531" s="2"/>
    </row>
    <row r="532" spans="1:15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11"/>
      <c r="K532" s="11"/>
      <c r="L532" s="9"/>
      <c r="M532" s="2"/>
      <c r="N532" s="2"/>
      <c r="O532" s="2"/>
    </row>
    <row r="533" spans="1:15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11"/>
      <c r="K533" s="11"/>
      <c r="L533" s="9"/>
      <c r="M533" s="2"/>
      <c r="N533" s="2"/>
      <c r="O533" s="2"/>
    </row>
    <row r="534" spans="1:15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11"/>
      <c r="K534" s="11"/>
      <c r="L534" s="9"/>
      <c r="M534" s="2"/>
      <c r="N534" s="2"/>
      <c r="O534" s="2"/>
    </row>
    <row r="535" spans="1:15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11"/>
      <c r="K535" s="11"/>
      <c r="L535" s="9"/>
      <c r="M535" s="2"/>
      <c r="N535" s="2"/>
      <c r="O535" s="2"/>
    </row>
    <row r="536" spans="1:15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11"/>
      <c r="K536" s="11"/>
      <c r="L536" s="9"/>
      <c r="M536" s="2"/>
      <c r="N536" s="2"/>
      <c r="O536" s="2"/>
    </row>
    <row r="537" spans="1:15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11"/>
      <c r="K537" s="11"/>
      <c r="L537" s="9"/>
      <c r="M537" s="2"/>
      <c r="N537" s="2"/>
      <c r="O537" s="2"/>
    </row>
    <row r="538" spans="1:15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11"/>
      <c r="K538" s="11"/>
      <c r="L538" s="9"/>
      <c r="M538" s="2"/>
      <c r="N538" s="2"/>
      <c r="O538" s="2"/>
    </row>
    <row r="539" spans="1:15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11"/>
      <c r="K539" s="11"/>
      <c r="L539" s="9"/>
      <c r="M539" s="2"/>
      <c r="N539" s="2"/>
      <c r="O539" s="2"/>
    </row>
    <row r="540" spans="1:15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11"/>
      <c r="K540" s="11"/>
      <c r="L540" s="9"/>
      <c r="M540" s="2"/>
      <c r="N540" s="2"/>
      <c r="O540" s="2"/>
    </row>
    <row r="541" spans="1:15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11"/>
      <c r="K541" s="11"/>
      <c r="L541" s="9"/>
      <c r="M541" s="2"/>
      <c r="N541" s="2"/>
      <c r="O541" s="2"/>
    </row>
    <row r="542" spans="1:15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11"/>
      <c r="K542" s="11"/>
      <c r="L542" s="9"/>
      <c r="M542" s="2"/>
      <c r="N542" s="2"/>
      <c r="O542" s="2"/>
    </row>
    <row r="543" spans="1:15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11"/>
      <c r="K543" s="11"/>
      <c r="L543" s="9"/>
      <c r="M543" s="2"/>
      <c r="N543" s="2"/>
      <c r="O543" s="2"/>
    </row>
    <row r="544" spans="1:15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11"/>
      <c r="K544" s="11"/>
      <c r="L544" s="9"/>
      <c r="M544" s="2"/>
      <c r="N544" s="2"/>
      <c r="O544" s="2"/>
    </row>
    <row r="545" spans="1:15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11"/>
      <c r="K545" s="11"/>
      <c r="L545" s="9"/>
      <c r="M545" s="2"/>
      <c r="N545" s="2"/>
      <c r="O545" s="2"/>
    </row>
    <row r="546" spans="1:15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11"/>
      <c r="K546" s="11"/>
      <c r="L546" s="9"/>
      <c r="M546" s="2"/>
      <c r="N546" s="2"/>
      <c r="O546" s="2"/>
    </row>
    <row r="547" spans="1:15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11"/>
      <c r="K547" s="11"/>
      <c r="L547" s="9"/>
      <c r="M547" s="2"/>
      <c r="N547" s="2"/>
      <c r="O547" s="2"/>
    </row>
    <row r="548" spans="1:15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11"/>
      <c r="K548" s="11"/>
      <c r="L548" s="9"/>
      <c r="M548" s="2"/>
      <c r="N548" s="2"/>
      <c r="O548" s="2"/>
    </row>
    <row r="549" spans="1:15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11"/>
      <c r="K549" s="11"/>
      <c r="L549" s="9"/>
      <c r="M549" s="2"/>
      <c r="N549" s="2"/>
      <c r="O549" s="2"/>
    </row>
    <row r="550" spans="1:15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11"/>
      <c r="K550" s="11"/>
      <c r="L550" s="9"/>
      <c r="M550" s="2"/>
      <c r="N550" s="2"/>
      <c r="O550" s="2"/>
    </row>
    <row r="551" spans="1:15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11"/>
      <c r="K551" s="11"/>
      <c r="L551" s="9"/>
      <c r="M551" s="2"/>
      <c r="N551" s="2"/>
      <c r="O551" s="2"/>
    </row>
    <row r="552" spans="1:15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11"/>
      <c r="K552" s="11"/>
      <c r="L552" s="9"/>
      <c r="M552" s="2"/>
      <c r="N552" s="2"/>
      <c r="O552" s="2"/>
    </row>
    <row r="553" spans="1:15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11"/>
      <c r="K553" s="11"/>
      <c r="L553" s="9"/>
      <c r="M553" s="2"/>
      <c r="N553" s="2"/>
      <c r="O553" s="2"/>
    </row>
    <row r="554" spans="1:15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11"/>
      <c r="K554" s="11"/>
      <c r="L554" s="9"/>
      <c r="M554" s="2"/>
      <c r="N554" s="2"/>
      <c r="O554" s="2"/>
    </row>
    <row r="555" spans="1:15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11"/>
      <c r="K555" s="11"/>
      <c r="L555" s="9"/>
      <c r="M555" s="2"/>
      <c r="N555" s="2"/>
      <c r="O555" s="2"/>
    </row>
    <row r="556" spans="1:15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11"/>
      <c r="K556" s="11"/>
      <c r="L556" s="9"/>
      <c r="M556" s="2"/>
      <c r="N556" s="2"/>
      <c r="O556" s="2"/>
    </row>
    <row r="557" spans="1:15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11"/>
      <c r="K557" s="11"/>
      <c r="L557" s="9"/>
      <c r="M557" s="2"/>
      <c r="N557" s="2"/>
      <c r="O557" s="2"/>
    </row>
    <row r="558" spans="1:15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11"/>
      <c r="K558" s="11"/>
      <c r="L558" s="9"/>
      <c r="M558" s="2"/>
      <c r="N558" s="2"/>
      <c r="O558" s="2"/>
    </row>
    <row r="559" spans="1:15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11"/>
      <c r="K559" s="11"/>
      <c r="L559" s="9"/>
      <c r="M559" s="2"/>
      <c r="N559" s="2"/>
      <c r="O559" s="2"/>
    </row>
    <row r="560" spans="1:15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11"/>
      <c r="K560" s="11"/>
      <c r="L560" s="9"/>
      <c r="M560" s="2"/>
      <c r="N560" s="2"/>
      <c r="O560" s="2"/>
    </row>
    <row r="561" spans="1:15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11"/>
      <c r="K561" s="11"/>
      <c r="L561" s="9"/>
      <c r="M561" s="2"/>
      <c r="N561" s="2"/>
      <c r="O561" s="2"/>
    </row>
    <row r="562" spans="1:15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11"/>
      <c r="K562" s="11"/>
      <c r="L562" s="9"/>
      <c r="M562" s="2"/>
      <c r="N562" s="2"/>
      <c r="O562" s="2"/>
    </row>
    <row r="563" spans="1:15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11"/>
      <c r="K563" s="11"/>
      <c r="L563" s="9"/>
      <c r="M563" s="2"/>
      <c r="N563" s="2"/>
      <c r="O563" s="2"/>
    </row>
    <row r="564" spans="1:15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11"/>
      <c r="K564" s="11"/>
      <c r="L564" s="9"/>
      <c r="M564" s="2"/>
      <c r="N564" s="2"/>
      <c r="O564" s="2"/>
    </row>
    <row r="565" spans="1:15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11"/>
      <c r="K565" s="11"/>
      <c r="L565" s="9"/>
      <c r="M565" s="2"/>
      <c r="N565" s="2"/>
      <c r="O565" s="2"/>
    </row>
    <row r="566" spans="1:15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11"/>
      <c r="K566" s="11"/>
      <c r="L566" s="9"/>
      <c r="M566" s="2"/>
      <c r="N566" s="2"/>
      <c r="O566" s="2"/>
    </row>
    <row r="567" spans="1:15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11"/>
      <c r="K567" s="11"/>
      <c r="L567" s="9"/>
      <c r="M567" s="2"/>
      <c r="N567" s="2"/>
      <c r="O567" s="2"/>
    </row>
    <row r="568" spans="1:15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11"/>
      <c r="K568" s="11"/>
      <c r="L568" s="9"/>
      <c r="M568" s="2"/>
      <c r="N568" s="2"/>
      <c r="O568" s="2"/>
    </row>
    <row r="569" spans="1:15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11"/>
      <c r="K569" s="11"/>
      <c r="L569" s="9"/>
      <c r="M569" s="2"/>
      <c r="N569" s="2"/>
      <c r="O569" s="2"/>
    </row>
    <row r="570" spans="1:15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11"/>
      <c r="K570" s="11"/>
      <c r="L570" s="9"/>
      <c r="M570" s="2"/>
      <c r="N570" s="2"/>
      <c r="O570" s="2"/>
    </row>
    <row r="571" spans="1:15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11"/>
      <c r="K571" s="11"/>
      <c r="L571" s="9"/>
      <c r="M571" s="2"/>
      <c r="N571" s="2"/>
      <c r="O571" s="2"/>
    </row>
    <row r="572" spans="1:15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11"/>
      <c r="K572" s="11"/>
      <c r="L572" s="9"/>
      <c r="M572" s="2"/>
      <c r="N572" s="2"/>
      <c r="O572" s="2"/>
    </row>
    <row r="573" spans="1:15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11"/>
      <c r="K573" s="11"/>
      <c r="L573" s="9"/>
      <c r="M573" s="2"/>
      <c r="N573" s="2"/>
      <c r="O573" s="2"/>
    </row>
    <row r="574" spans="1:15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11"/>
      <c r="K574" s="11"/>
      <c r="L574" s="9"/>
      <c r="M574" s="2"/>
      <c r="N574" s="2"/>
      <c r="O574" s="2"/>
    </row>
    <row r="575" spans="1:15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11"/>
      <c r="K575" s="11"/>
      <c r="L575" s="9"/>
      <c r="M575" s="2"/>
      <c r="N575" s="2"/>
      <c r="O575" s="2"/>
    </row>
    <row r="576" spans="1:15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11"/>
      <c r="K576" s="11"/>
      <c r="L576" s="9"/>
      <c r="M576" s="2"/>
      <c r="N576" s="2"/>
      <c r="O576" s="2"/>
    </row>
    <row r="577" spans="1:15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11"/>
      <c r="K577" s="11"/>
      <c r="L577" s="9"/>
      <c r="M577" s="2"/>
      <c r="N577" s="2"/>
      <c r="O577" s="2"/>
    </row>
    <row r="578" spans="1:15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11"/>
      <c r="K578" s="11"/>
      <c r="L578" s="9"/>
      <c r="M578" s="2"/>
      <c r="N578" s="2"/>
      <c r="O578" s="2"/>
    </row>
    <row r="579" spans="1:15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11"/>
      <c r="K579" s="11"/>
      <c r="L579" s="9"/>
      <c r="M579" s="2"/>
      <c r="N579" s="2"/>
      <c r="O579" s="2"/>
    </row>
    <row r="580" spans="1:15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11"/>
      <c r="K580" s="11"/>
      <c r="L580" s="9"/>
      <c r="M580" s="2"/>
      <c r="N580" s="2"/>
      <c r="O580" s="2"/>
    </row>
    <row r="581" spans="1:15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11"/>
      <c r="K581" s="11"/>
      <c r="L581" s="9"/>
      <c r="M581" s="2"/>
      <c r="N581" s="2"/>
      <c r="O581" s="2"/>
    </row>
    <row r="582" spans="1:15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11"/>
      <c r="K582" s="11"/>
      <c r="L582" s="9"/>
      <c r="M582" s="2"/>
      <c r="N582" s="2"/>
      <c r="O582" s="2"/>
    </row>
    <row r="583" spans="1:15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11"/>
      <c r="K583" s="11"/>
      <c r="L583" s="9"/>
      <c r="M583" s="2"/>
      <c r="N583" s="2"/>
      <c r="O583" s="2"/>
    </row>
    <row r="584" spans="1:15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11"/>
      <c r="K584" s="11"/>
      <c r="L584" s="9"/>
      <c r="M584" s="2"/>
      <c r="N584" s="2"/>
      <c r="O584" s="2"/>
    </row>
    <row r="585" spans="1:15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11"/>
      <c r="K585" s="11"/>
      <c r="L585" s="9"/>
      <c r="M585" s="2"/>
      <c r="N585" s="2"/>
      <c r="O585" s="2"/>
    </row>
    <row r="586" spans="1:15" ht="30" customHeight="1">
      <c r="A586" s="2"/>
      <c r="B586" s="2"/>
      <c r="C586" s="2"/>
      <c r="D586" s="2"/>
      <c r="E586" s="2"/>
      <c r="F586" s="2"/>
      <c r="G586" s="2"/>
      <c r="H586" s="2"/>
      <c r="I586" s="2"/>
      <c r="J586" s="11"/>
      <c r="K586" s="11"/>
      <c r="L586" s="9"/>
      <c r="M586" s="2"/>
      <c r="N586" s="2"/>
      <c r="O586" s="2"/>
    </row>
  </sheetData>
  <autoFilter ref="A2:O298" xr:uid="{48C3EA1C-1E31-4450-8B8A-792657D07DD1}"/>
  <mergeCells count="1">
    <mergeCell ref="A1:O1"/>
  </mergeCells>
  <conditionalFormatting sqref="C1:C1048576">
    <cfRule type="duplicateValues" dxfId="1" priority="1"/>
  </conditionalFormatting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6C39-298B-4356-8EEF-F3C98E6BDE6C}">
  <sheetPr>
    <outlinePr summaryBelow="0" summaryRight="0"/>
  </sheetPr>
  <dimension ref="A1:P586"/>
  <sheetViews>
    <sheetView zoomScale="55" zoomScaleNormal="5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00" sqref="G300"/>
    </sheetView>
  </sheetViews>
  <sheetFormatPr defaultColWidth="12.5703125" defaultRowHeight="15.75" customHeight="1"/>
  <cols>
    <col min="1" max="9" width="31.5703125" style="28" customWidth="1"/>
    <col min="10" max="11" width="31.5703125" style="29" customWidth="1"/>
    <col min="12" max="12" width="31.5703125" style="30" customWidth="1"/>
    <col min="13" max="15" width="31.5703125" style="28" customWidth="1"/>
    <col min="16" max="16384" width="12.5703125" style="28"/>
  </cols>
  <sheetData>
    <row r="1" spans="1:16" ht="30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8"/>
      <c r="K1" s="38"/>
      <c r="L1" s="39"/>
      <c r="M1" s="37"/>
      <c r="N1" s="37"/>
      <c r="O1" s="37"/>
    </row>
    <row r="2" spans="1:16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0" t="s">
        <v>10</v>
      </c>
      <c r="K2" s="10" t="s">
        <v>11</v>
      </c>
      <c r="L2" s="8" t="s">
        <v>12</v>
      </c>
      <c r="M2" s="1" t="s">
        <v>13</v>
      </c>
      <c r="N2" s="1" t="s">
        <v>14</v>
      </c>
      <c r="O2" s="1" t="s">
        <v>15</v>
      </c>
    </row>
    <row r="3" spans="1:16" ht="30" customHeight="1">
      <c r="A3" s="7" t="s">
        <v>16</v>
      </c>
      <c r="B3" s="34" t="s">
        <v>605</v>
      </c>
      <c r="C3" s="34" t="s">
        <v>310</v>
      </c>
      <c r="D3" s="31">
        <v>2255.4270619087824</v>
      </c>
      <c r="E3" s="32">
        <v>1741.8657939189188</v>
      </c>
      <c r="F3" s="31">
        <f>+D3-E3</f>
        <v>513.56126798986361</v>
      </c>
      <c r="G3" s="33">
        <v>64</v>
      </c>
      <c r="H3" s="33">
        <v>0</v>
      </c>
      <c r="I3" s="18" t="s">
        <v>17</v>
      </c>
      <c r="J3" s="34">
        <v>40.865291666700003</v>
      </c>
      <c r="K3" s="34">
        <v>71.961494999999999</v>
      </c>
      <c r="L3" s="15">
        <v>160</v>
      </c>
      <c r="M3" s="12" t="s">
        <v>18</v>
      </c>
      <c r="N3" s="12"/>
      <c r="O3" s="24" t="s">
        <v>19</v>
      </c>
      <c r="P3" s="28">
        <v>3</v>
      </c>
    </row>
    <row r="4" spans="1:16" ht="30" customHeight="1">
      <c r="A4" s="7" t="s">
        <v>16</v>
      </c>
      <c r="B4" s="34" t="s">
        <v>606</v>
      </c>
      <c r="C4" s="34" t="s">
        <v>344</v>
      </c>
      <c r="D4" s="31">
        <v>4009.8977719087816</v>
      </c>
      <c r="E4" s="32">
        <v>3276.8357939189186</v>
      </c>
      <c r="F4" s="31">
        <f>+D4-E4</f>
        <v>733.06197798986295</v>
      </c>
      <c r="G4" s="33">
        <v>38</v>
      </c>
      <c r="H4" s="33">
        <v>4</v>
      </c>
      <c r="I4" s="4" t="s">
        <v>21</v>
      </c>
      <c r="J4" s="34">
        <v>40.859666666700001</v>
      </c>
      <c r="K4" s="34">
        <v>72.121076666700006</v>
      </c>
      <c r="L4" s="15">
        <v>63</v>
      </c>
      <c r="M4" s="12" t="s">
        <v>22</v>
      </c>
      <c r="N4" s="12"/>
      <c r="O4" s="24" t="s">
        <v>19</v>
      </c>
    </row>
    <row r="5" spans="1:16" ht="30" customHeight="1">
      <c r="A5" s="7" t="s">
        <v>16</v>
      </c>
      <c r="B5" s="34" t="s">
        <v>607</v>
      </c>
      <c r="C5" s="34" t="s">
        <v>345</v>
      </c>
      <c r="D5" s="31">
        <v>5688.9304819087811</v>
      </c>
      <c r="E5" s="32">
        <v>4745.8057939189175</v>
      </c>
      <c r="F5" s="31">
        <f t="shared" ref="F5:F68" si="0">+D5-E5</f>
        <v>943.12468798986356</v>
      </c>
      <c r="G5" s="33">
        <v>22</v>
      </c>
      <c r="H5" s="33">
        <v>1</v>
      </c>
      <c r="I5" s="4" t="s">
        <v>20</v>
      </c>
      <c r="J5" s="34">
        <v>40.875443333299998</v>
      </c>
      <c r="K5" s="34">
        <v>71.966825</v>
      </c>
      <c r="L5" s="15">
        <v>250</v>
      </c>
      <c r="M5" s="12" t="s">
        <v>23</v>
      </c>
      <c r="N5" s="12"/>
      <c r="O5" s="24" t="s">
        <v>19</v>
      </c>
    </row>
    <row r="6" spans="1:16" ht="30" customHeight="1">
      <c r="A6" s="7" t="s">
        <v>16</v>
      </c>
      <c r="B6" s="34" t="s">
        <v>608</v>
      </c>
      <c r="C6" s="34" t="s">
        <v>346</v>
      </c>
      <c r="D6" s="31">
        <v>5222.540761908781</v>
      </c>
      <c r="E6" s="32">
        <v>4337.7657939189185</v>
      </c>
      <c r="F6" s="31">
        <f t="shared" si="0"/>
        <v>884.77496798986249</v>
      </c>
      <c r="G6" s="33">
        <v>72</v>
      </c>
      <c r="H6" s="33">
        <v>0</v>
      </c>
      <c r="I6" s="4" t="s">
        <v>20</v>
      </c>
      <c r="J6" s="34">
        <v>40.879336666500002</v>
      </c>
      <c r="K6" s="34">
        <v>71.986581666700005</v>
      </c>
      <c r="L6" s="15">
        <v>160</v>
      </c>
      <c r="M6" s="12" t="s">
        <v>24</v>
      </c>
      <c r="N6" s="12"/>
      <c r="O6" s="24" t="s">
        <v>19</v>
      </c>
    </row>
    <row r="7" spans="1:16" ht="30" customHeight="1">
      <c r="A7" s="7" t="s">
        <v>16</v>
      </c>
      <c r="B7" s="34" t="s">
        <v>609</v>
      </c>
      <c r="C7" s="34" t="s">
        <v>347</v>
      </c>
      <c r="D7" s="31">
        <v>1384.1791219087825</v>
      </c>
      <c r="E7" s="32">
        <v>979.61912725225193</v>
      </c>
      <c r="F7" s="31">
        <f t="shared" si="0"/>
        <v>404.55999465653053</v>
      </c>
      <c r="G7" s="33">
        <v>16</v>
      </c>
      <c r="H7" s="33">
        <v>0</v>
      </c>
      <c r="I7" s="4" t="s">
        <v>20</v>
      </c>
      <c r="J7" s="34">
        <v>40.874026666600002</v>
      </c>
      <c r="K7" s="34">
        <v>72.094549999700007</v>
      </c>
      <c r="L7" s="15">
        <v>400</v>
      </c>
      <c r="M7" s="12" t="s">
        <v>25</v>
      </c>
      <c r="N7" s="12"/>
      <c r="O7" s="24" t="s">
        <v>19</v>
      </c>
    </row>
    <row r="8" spans="1:16" ht="30" customHeight="1">
      <c r="A8" s="7" t="s">
        <v>16</v>
      </c>
      <c r="B8" s="34" t="s">
        <v>606</v>
      </c>
      <c r="C8" s="34" t="s">
        <v>348</v>
      </c>
      <c r="D8" s="31">
        <v>4908.0519319087816</v>
      </c>
      <c r="E8" s="32">
        <v>4062.6224605855846</v>
      </c>
      <c r="F8" s="31">
        <f t="shared" si="0"/>
        <v>845.42947132319705</v>
      </c>
      <c r="G8" s="33">
        <v>62</v>
      </c>
      <c r="H8" s="33">
        <v>2</v>
      </c>
      <c r="I8" s="4" t="s">
        <v>26</v>
      </c>
      <c r="J8" s="34">
        <v>40.859666666700001</v>
      </c>
      <c r="K8" s="34">
        <v>72.121076666700006</v>
      </c>
      <c r="L8" s="15">
        <v>100</v>
      </c>
      <c r="M8" s="12" t="s">
        <v>27</v>
      </c>
      <c r="N8" s="12"/>
      <c r="O8" s="24" t="s">
        <v>19</v>
      </c>
    </row>
    <row r="9" spans="1:16" ht="30" customHeight="1">
      <c r="A9" s="7" t="s">
        <v>16</v>
      </c>
      <c r="B9" s="34" t="s">
        <v>606</v>
      </c>
      <c r="C9" s="34" t="s">
        <v>349</v>
      </c>
      <c r="D9" s="31">
        <v>7853.959171908783</v>
      </c>
      <c r="E9" s="32">
        <v>6639.9691272522532</v>
      </c>
      <c r="F9" s="31">
        <f t="shared" si="0"/>
        <v>1213.9900446565298</v>
      </c>
      <c r="G9" s="33">
        <v>84</v>
      </c>
      <c r="H9" s="33">
        <v>4</v>
      </c>
      <c r="I9" s="4" t="s">
        <v>26</v>
      </c>
      <c r="J9" s="34">
        <v>40.861923333299998</v>
      </c>
      <c r="K9" s="34">
        <v>72.000451666700002</v>
      </c>
      <c r="L9" s="15">
        <v>250</v>
      </c>
      <c r="M9" s="12" t="s">
        <v>28</v>
      </c>
      <c r="N9" s="12"/>
      <c r="O9" s="24" t="s">
        <v>19</v>
      </c>
    </row>
    <row r="10" spans="1:16" ht="30" customHeight="1">
      <c r="A10" s="7" t="s">
        <v>16</v>
      </c>
      <c r="B10" s="34" t="s">
        <v>609</v>
      </c>
      <c r="C10" s="34" t="s">
        <v>350</v>
      </c>
      <c r="D10" s="31">
        <v>6528.3992119087825</v>
      </c>
      <c r="E10" s="32">
        <v>5480.2491272522529</v>
      </c>
      <c r="F10" s="31">
        <f t="shared" si="0"/>
        <v>1048.1500846565295</v>
      </c>
      <c r="G10" s="33">
        <v>100</v>
      </c>
      <c r="H10" s="33">
        <v>0</v>
      </c>
      <c r="I10" s="4" t="s">
        <v>26</v>
      </c>
      <c r="J10" s="34">
        <v>40.876303333300001</v>
      </c>
      <c r="K10" s="34">
        <v>71.989218333300002</v>
      </c>
      <c r="L10" s="15">
        <v>160</v>
      </c>
      <c r="M10" s="12" t="s">
        <v>29</v>
      </c>
      <c r="N10" s="12"/>
      <c r="O10" s="24" t="s">
        <v>19</v>
      </c>
    </row>
    <row r="11" spans="1:16" ht="30" customHeight="1">
      <c r="A11" s="7" t="s">
        <v>16</v>
      </c>
      <c r="B11" s="34" t="s">
        <v>608</v>
      </c>
      <c r="C11" s="34" t="s">
        <v>351</v>
      </c>
      <c r="D11" s="31">
        <v>6909.7954519087825</v>
      </c>
      <c r="E11" s="32">
        <v>5813.9291272522523</v>
      </c>
      <c r="F11" s="31">
        <f t="shared" si="0"/>
        <v>1095.8663246565302</v>
      </c>
      <c r="G11" s="33">
        <v>69</v>
      </c>
      <c r="H11" s="33">
        <v>0</v>
      </c>
      <c r="I11" s="4" t="s">
        <v>17</v>
      </c>
      <c r="J11" s="34">
        <v>40.880254999999998</v>
      </c>
      <c r="K11" s="34">
        <v>71.986491666700005</v>
      </c>
      <c r="L11" s="15">
        <v>400</v>
      </c>
      <c r="M11" s="12" t="s">
        <v>30</v>
      </c>
      <c r="N11" s="12"/>
      <c r="O11" s="24" t="s">
        <v>19</v>
      </c>
    </row>
    <row r="12" spans="1:16" ht="30" customHeight="1">
      <c r="A12" s="7" t="s">
        <v>16</v>
      </c>
      <c r="B12" s="34" t="s">
        <v>609</v>
      </c>
      <c r="C12" s="34" t="s">
        <v>352</v>
      </c>
      <c r="D12" s="31">
        <v>4334.7574219087819</v>
      </c>
      <c r="E12" s="32">
        <v>3561.0524605855849</v>
      </c>
      <c r="F12" s="31">
        <f t="shared" si="0"/>
        <v>773.70496132319704</v>
      </c>
      <c r="G12" s="33">
        <v>64</v>
      </c>
      <c r="H12" s="33">
        <v>1</v>
      </c>
      <c r="I12" s="4" t="s">
        <v>21</v>
      </c>
      <c r="J12" s="34">
        <v>40.881878333300001</v>
      </c>
      <c r="K12" s="34">
        <v>71.992743333299998</v>
      </c>
      <c r="L12" s="15">
        <v>60</v>
      </c>
      <c r="M12" s="12" t="s">
        <v>31</v>
      </c>
      <c r="N12" s="12"/>
      <c r="O12" s="24" t="s">
        <v>19</v>
      </c>
    </row>
    <row r="13" spans="1:16" ht="30" customHeight="1">
      <c r="A13" s="7" t="s">
        <v>16</v>
      </c>
      <c r="B13" s="34" t="s">
        <v>609</v>
      </c>
      <c r="C13" s="34" t="s">
        <v>353</v>
      </c>
      <c r="D13" s="31">
        <v>8933.427421908782</v>
      </c>
      <c r="E13" s="32">
        <v>7584.3857939189193</v>
      </c>
      <c r="F13" s="31">
        <f t="shared" si="0"/>
        <v>1349.0416279898627</v>
      </c>
      <c r="G13" s="33">
        <v>25</v>
      </c>
      <c r="H13" s="33">
        <v>1</v>
      </c>
      <c r="I13" s="4" t="s">
        <v>32</v>
      </c>
      <c r="J13" s="34">
        <v>40.8861933333</v>
      </c>
      <c r="K13" s="34">
        <v>71.991990000000001</v>
      </c>
      <c r="L13" s="15">
        <v>100</v>
      </c>
      <c r="M13" s="12" t="s">
        <v>33</v>
      </c>
      <c r="N13" s="12"/>
      <c r="O13" s="24" t="s">
        <v>19</v>
      </c>
    </row>
    <row r="14" spans="1:16" ht="30" customHeight="1">
      <c r="A14" s="7" t="s">
        <v>16</v>
      </c>
      <c r="B14" s="34" t="s">
        <v>609</v>
      </c>
      <c r="C14" s="34" t="s">
        <v>354</v>
      </c>
      <c r="D14" s="31">
        <v>8989.6325419087825</v>
      </c>
      <c r="E14" s="32">
        <v>7633.5591272522533</v>
      </c>
      <c r="F14" s="31">
        <f t="shared" si="0"/>
        <v>1356.0734146565292</v>
      </c>
      <c r="G14" s="33">
        <v>108</v>
      </c>
      <c r="H14" s="33">
        <v>1</v>
      </c>
      <c r="I14" s="4" t="s">
        <v>32</v>
      </c>
      <c r="J14" s="34">
        <v>40.871985000000002</v>
      </c>
      <c r="K14" s="34">
        <v>72.001351666700003</v>
      </c>
      <c r="L14" s="15">
        <v>100</v>
      </c>
      <c r="M14" s="12"/>
      <c r="N14" s="12" t="s">
        <v>34</v>
      </c>
      <c r="O14" s="24" t="s">
        <v>19</v>
      </c>
    </row>
    <row r="15" spans="1:16" ht="30" customHeight="1">
      <c r="A15" s="7" t="s">
        <v>16</v>
      </c>
      <c r="B15" s="34" t="s">
        <v>605</v>
      </c>
      <c r="C15" s="34" t="s">
        <v>330</v>
      </c>
      <c r="D15" s="31">
        <v>7092.3135019087831</v>
      </c>
      <c r="E15" s="32">
        <v>5973.6124605855866</v>
      </c>
      <c r="F15" s="31">
        <f t="shared" si="0"/>
        <v>1118.7010413231965</v>
      </c>
      <c r="G15" s="33">
        <v>70</v>
      </c>
      <c r="H15" s="33">
        <v>0</v>
      </c>
      <c r="I15" s="4" t="s">
        <v>17</v>
      </c>
      <c r="J15" s="34">
        <v>40.863475000000001</v>
      </c>
      <c r="K15" s="34">
        <v>71.947638333300006</v>
      </c>
      <c r="L15" s="15">
        <v>400</v>
      </c>
      <c r="M15" s="12" t="s">
        <v>35</v>
      </c>
      <c r="N15" s="12"/>
      <c r="O15" s="24" t="s">
        <v>19</v>
      </c>
    </row>
    <row r="16" spans="1:16" ht="30" customHeight="1">
      <c r="A16" s="7" t="s">
        <v>16</v>
      </c>
      <c r="B16" s="34" t="s">
        <v>607</v>
      </c>
      <c r="C16" s="34" t="s">
        <v>355</v>
      </c>
      <c r="D16" s="31">
        <v>7660.1444719087813</v>
      </c>
      <c r="E16" s="32">
        <v>6470.4024605855857</v>
      </c>
      <c r="F16" s="31">
        <f t="shared" si="0"/>
        <v>1189.7420113231956</v>
      </c>
      <c r="G16" s="33">
        <v>44</v>
      </c>
      <c r="H16" s="33">
        <v>0</v>
      </c>
      <c r="I16" s="4" t="s">
        <v>26</v>
      </c>
      <c r="J16" s="34">
        <v>40.867853333299998</v>
      </c>
      <c r="K16" s="34">
        <v>71.9555883333</v>
      </c>
      <c r="L16" s="15">
        <v>160</v>
      </c>
      <c r="M16" s="12" t="s">
        <v>36</v>
      </c>
      <c r="N16" s="12"/>
      <c r="O16" s="24" t="s">
        <v>19</v>
      </c>
    </row>
    <row r="17" spans="1:15" ht="30" customHeight="1">
      <c r="A17" s="7" t="s">
        <v>16</v>
      </c>
      <c r="B17" s="34" t="s">
        <v>607</v>
      </c>
      <c r="C17" s="34" t="s">
        <v>356</v>
      </c>
      <c r="D17" s="31">
        <v>10880.150731908781</v>
      </c>
      <c r="E17" s="32">
        <v>9287.5557939189184</v>
      </c>
      <c r="F17" s="31">
        <f t="shared" si="0"/>
        <v>1592.594937989863</v>
      </c>
      <c r="G17" s="33">
        <v>80</v>
      </c>
      <c r="H17" s="33">
        <v>1</v>
      </c>
      <c r="I17" s="4" t="s">
        <v>37</v>
      </c>
      <c r="J17" s="34">
        <v>40.871698333300003</v>
      </c>
      <c r="K17" s="34">
        <v>71.957906666699998</v>
      </c>
      <c r="L17" s="15">
        <v>160</v>
      </c>
      <c r="M17" s="12" t="s">
        <v>38</v>
      </c>
      <c r="N17" s="12"/>
      <c r="O17" s="24" t="s">
        <v>19</v>
      </c>
    </row>
    <row r="18" spans="1:15" ht="30" customHeight="1">
      <c r="A18" s="7" t="s">
        <v>16</v>
      </c>
      <c r="B18" s="34" t="s">
        <v>609</v>
      </c>
      <c r="C18" s="34" t="s">
        <v>357</v>
      </c>
      <c r="D18" s="31">
        <v>7645.178791908781</v>
      </c>
      <c r="E18" s="32">
        <v>6457.3091272522515</v>
      </c>
      <c r="F18" s="31">
        <f t="shared" si="0"/>
        <v>1187.8696646565295</v>
      </c>
      <c r="G18" s="33">
        <v>83</v>
      </c>
      <c r="H18" s="33">
        <v>3</v>
      </c>
      <c r="I18" s="4" t="s">
        <v>21</v>
      </c>
      <c r="J18" s="34">
        <v>40.881491666700001</v>
      </c>
      <c r="K18" s="34">
        <v>72.005658333300005</v>
      </c>
      <c r="L18" s="15">
        <v>400</v>
      </c>
      <c r="M18" s="12"/>
      <c r="N18" s="12" t="s">
        <v>39</v>
      </c>
      <c r="O18" s="24" t="s">
        <v>19</v>
      </c>
    </row>
    <row r="19" spans="1:15" ht="30" customHeight="1">
      <c r="A19" s="7" t="s">
        <v>16</v>
      </c>
      <c r="B19" s="34" t="s">
        <v>609</v>
      </c>
      <c r="C19" s="34" t="s">
        <v>358</v>
      </c>
      <c r="D19" s="31">
        <v>5292.3894919087816</v>
      </c>
      <c r="E19" s="32">
        <v>4398.8757939189181</v>
      </c>
      <c r="F19" s="31">
        <f t="shared" si="0"/>
        <v>893.51369798986343</v>
      </c>
      <c r="G19" s="33">
        <v>105</v>
      </c>
      <c r="H19" s="33">
        <v>0</v>
      </c>
      <c r="I19" s="4" t="s">
        <v>21</v>
      </c>
      <c r="J19" s="34">
        <v>40.882366666700001</v>
      </c>
      <c r="K19" s="34">
        <v>72.011693333300002</v>
      </c>
      <c r="L19" s="15">
        <v>63</v>
      </c>
      <c r="M19" s="12" t="s">
        <v>40</v>
      </c>
      <c r="N19" s="12"/>
      <c r="O19" s="24" t="s">
        <v>19</v>
      </c>
    </row>
    <row r="20" spans="1:15" ht="30" customHeight="1">
      <c r="A20" s="7" t="s">
        <v>16</v>
      </c>
      <c r="B20" s="34" t="s">
        <v>608</v>
      </c>
      <c r="C20" s="34" t="s">
        <v>359</v>
      </c>
      <c r="D20" s="31">
        <v>15702.048631908785</v>
      </c>
      <c r="E20" s="32">
        <v>13506.189127252253</v>
      </c>
      <c r="F20" s="31">
        <f t="shared" si="0"/>
        <v>2195.8595046565315</v>
      </c>
      <c r="G20" s="33">
        <v>7</v>
      </c>
      <c r="H20" s="33">
        <v>4</v>
      </c>
      <c r="I20" s="4" t="s">
        <v>21</v>
      </c>
      <c r="J20" s="34">
        <v>40.867094999999999</v>
      </c>
      <c r="K20" s="34">
        <v>71.968564999999998</v>
      </c>
      <c r="L20" s="15">
        <v>160</v>
      </c>
      <c r="M20" s="12"/>
      <c r="N20" s="12" t="s">
        <v>41</v>
      </c>
      <c r="O20" s="24" t="s">
        <v>19</v>
      </c>
    </row>
    <row r="21" spans="1:15" ht="30" customHeight="1">
      <c r="A21" s="7" t="s">
        <v>16</v>
      </c>
      <c r="B21" s="34" t="s">
        <v>609</v>
      </c>
      <c r="C21" s="34" t="s">
        <v>360</v>
      </c>
      <c r="D21" s="31">
        <v>1242.911941908782</v>
      </c>
      <c r="E21" s="32">
        <v>856.02579391891834</v>
      </c>
      <c r="F21" s="31">
        <f t="shared" si="0"/>
        <v>386.88614798986362</v>
      </c>
      <c r="G21" s="33">
        <v>37</v>
      </c>
      <c r="H21" s="33">
        <v>1</v>
      </c>
      <c r="I21" s="4" t="s">
        <v>21</v>
      </c>
      <c r="J21" s="34">
        <v>40.865857601199998</v>
      </c>
      <c r="K21" s="34">
        <v>71.963380873199995</v>
      </c>
      <c r="L21" s="15">
        <v>160</v>
      </c>
      <c r="M21" s="12"/>
      <c r="N21" s="12" t="s">
        <v>42</v>
      </c>
      <c r="O21" s="24" t="s">
        <v>19</v>
      </c>
    </row>
    <row r="22" spans="1:15" ht="30" customHeight="1">
      <c r="A22" s="7" t="s">
        <v>16</v>
      </c>
      <c r="B22" s="34" t="s">
        <v>608</v>
      </c>
      <c r="C22" s="34" t="s">
        <v>361</v>
      </c>
      <c r="D22" s="31">
        <v>3211.6113319087822</v>
      </c>
      <c r="E22" s="32">
        <v>2578.4224605855857</v>
      </c>
      <c r="F22" s="31">
        <f t="shared" si="0"/>
        <v>633.18887132319651</v>
      </c>
      <c r="G22" s="33">
        <v>36</v>
      </c>
      <c r="H22" s="33">
        <v>0</v>
      </c>
      <c r="I22" s="4" t="s">
        <v>21</v>
      </c>
      <c r="J22" s="34">
        <v>40.868364999999997</v>
      </c>
      <c r="K22" s="34">
        <v>71.977401666700004</v>
      </c>
      <c r="L22" s="15">
        <v>160</v>
      </c>
      <c r="M22" s="12" t="s">
        <v>43</v>
      </c>
      <c r="N22" s="12"/>
      <c r="O22" s="24" t="s">
        <v>19</v>
      </c>
    </row>
    <row r="23" spans="1:15" ht="30" customHeight="1">
      <c r="A23" s="7" t="s">
        <v>16</v>
      </c>
      <c r="B23" s="34" t="s">
        <v>606</v>
      </c>
      <c r="C23" s="34" t="s">
        <v>362</v>
      </c>
      <c r="D23" s="31">
        <v>11724.903931908784</v>
      </c>
      <c r="E23" s="32">
        <v>10026.622460585588</v>
      </c>
      <c r="F23" s="31">
        <f t="shared" si="0"/>
        <v>1698.2814713231965</v>
      </c>
      <c r="G23" s="33">
        <v>146</v>
      </c>
      <c r="H23" s="33">
        <v>3</v>
      </c>
      <c r="I23" s="3" t="s">
        <v>21</v>
      </c>
      <c r="J23" s="34">
        <v>40.866354999999999</v>
      </c>
      <c r="K23" s="34">
        <v>71.987798333300006</v>
      </c>
      <c r="L23" s="15">
        <v>63</v>
      </c>
      <c r="M23" s="12" t="s">
        <v>44</v>
      </c>
      <c r="N23" s="12"/>
      <c r="O23" s="24" t="s">
        <v>19</v>
      </c>
    </row>
    <row r="24" spans="1:15" ht="30" customHeight="1">
      <c r="A24" s="7" t="s">
        <v>16</v>
      </c>
      <c r="B24" s="34" t="s">
        <v>606</v>
      </c>
      <c r="C24" s="34" t="s">
        <v>363</v>
      </c>
      <c r="D24" s="31">
        <v>17122.732861908782</v>
      </c>
      <c r="E24" s="32">
        <v>14749.132460585583</v>
      </c>
      <c r="F24" s="31">
        <f t="shared" si="0"/>
        <v>2373.6004013231995</v>
      </c>
      <c r="G24" s="33">
        <v>201</v>
      </c>
      <c r="H24" s="33">
        <v>0</v>
      </c>
      <c r="I24" s="3" t="s">
        <v>21</v>
      </c>
      <c r="J24" s="34">
        <v>40.8589916667</v>
      </c>
      <c r="K24" s="34">
        <v>72.007035000000002</v>
      </c>
      <c r="L24" s="15">
        <v>63</v>
      </c>
      <c r="M24" s="12" t="s">
        <v>45</v>
      </c>
      <c r="N24" s="12"/>
      <c r="O24" s="24" t="s">
        <v>19</v>
      </c>
    </row>
    <row r="25" spans="1:15" ht="30" customHeight="1">
      <c r="A25" s="7" t="s">
        <v>16</v>
      </c>
      <c r="B25" s="34" t="s">
        <v>608</v>
      </c>
      <c r="C25" s="34" t="s">
        <v>364</v>
      </c>
      <c r="D25" s="31">
        <v>19290.706681908781</v>
      </c>
      <c r="E25" s="32">
        <v>16645.872460585586</v>
      </c>
      <c r="F25" s="31">
        <f t="shared" si="0"/>
        <v>2644.8342213231954</v>
      </c>
      <c r="G25" s="33">
        <v>48</v>
      </c>
      <c r="H25" s="33">
        <v>0</v>
      </c>
      <c r="I25" s="3" t="s">
        <v>17</v>
      </c>
      <c r="J25" s="34">
        <v>40.8780866667</v>
      </c>
      <c r="K25" s="34">
        <v>71.986896666700005</v>
      </c>
      <c r="L25" s="15">
        <v>250</v>
      </c>
      <c r="M25" s="12" t="s">
        <v>46</v>
      </c>
      <c r="N25" s="12"/>
      <c r="O25" s="24" t="s">
        <v>19</v>
      </c>
    </row>
    <row r="26" spans="1:15" ht="30" customHeight="1">
      <c r="A26" s="7" t="s">
        <v>16</v>
      </c>
      <c r="B26" s="34" t="s">
        <v>609</v>
      </c>
      <c r="C26" s="34" t="s">
        <v>365</v>
      </c>
      <c r="D26" s="31">
        <v>7346.429071908783</v>
      </c>
      <c r="E26" s="32">
        <v>6195.9357939189204</v>
      </c>
      <c r="F26" s="31">
        <f t="shared" si="0"/>
        <v>1150.4932779898627</v>
      </c>
      <c r="G26" s="33">
        <v>177</v>
      </c>
      <c r="H26" s="33">
        <v>1</v>
      </c>
      <c r="I26" s="3" t="s">
        <v>17</v>
      </c>
      <c r="J26" s="34">
        <v>40.888159999999999</v>
      </c>
      <c r="K26" s="34">
        <v>72.008324999999999</v>
      </c>
      <c r="L26" s="15">
        <v>100</v>
      </c>
      <c r="M26" s="12" t="s">
        <v>47</v>
      </c>
      <c r="N26" s="12"/>
      <c r="O26" s="24" t="s">
        <v>19</v>
      </c>
    </row>
    <row r="27" spans="1:15" ht="30" customHeight="1">
      <c r="A27" s="7" t="s">
        <v>16</v>
      </c>
      <c r="B27" s="34" t="s">
        <v>609</v>
      </c>
      <c r="C27" s="34" t="s">
        <v>366</v>
      </c>
      <c r="D27" s="31">
        <v>8579.4784219087815</v>
      </c>
      <c r="E27" s="32">
        <v>7274.7191272522532</v>
      </c>
      <c r="F27" s="31">
        <f t="shared" si="0"/>
        <v>1304.7592946565283</v>
      </c>
      <c r="G27" s="33">
        <v>95</v>
      </c>
      <c r="H27" s="33">
        <v>9</v>
      </c>
      <c r="I27" s="17" t="s">
        <v>17</v>
      </c>
      <c r="J27" s="34">
        <v>40.879911666700004</v>
      </c>
      <c r="K27" s="34">
        <v>72.022811666699994</v>
      </c>
      <c r="L27" s="15">
        <v>100</v>
      </c>
      <c r="M27" s="12" t="s">
        <v>48</v>
      </c>
      <c r="N27" s="12"/>
      <c r="O27" s="24" t="s">
        <v>19</v>
      </c>
    </row>
    <row r="28" spans="1:15" ht="30" customHeight="1">
      <c r="A28" s="7" t="s">
        <v>16</v>
      </c>
      <c r="B28" s="34" t="s">
        <v>610</v>
      </c>
      <c r="C28" s="34" t="s">
        <v>367</v>
      </c>
      <c r="D28" s="31">
        <v>8676.7743919087825</v>
      </c>
      <c r="E28" s="32">
        <v>7359.8424605855871</v>
      </c>
      <c r="F28" s="31">
        <f t="shared" si="0"/>
        <v>1316.9319313231954</v>
      </c>
      <c r="G28" s="33">
        <v>133</v>
      </c>
      <c r="H28" s="33">
        <v>1</v>
      </c>
      <c r="I28" s="3" t="s">
        <v>17</v>
      </c>
      <c r="J28" s="34">
        <v>40.880920000000003</v>
      </c>
      <c r="K28" s="34">
        <v>72.040239999999997</v>
      </c>
      <c r="L28" s="20">
        <v>100</v>
      </c>
      <c r="M28" s="12"/>
      <c r="N28" s="12" t="s">
        <v>49</v>
      </c>
      <c r="O28" s="24" t="s">
        <v>19</v>
      </c>
    </row>
    <row r="29" spans="1:15" ht="30" customHeight="1">
      <c r="A29" s="7" t="s">
        <v>16</v>
      </c>
      <c r="B29" s="34" t="s">
        <v>610</v>
      </c>
      <c r="C29" s="34" t="s">
        <v>368</v>
      </c>
      <c r="D29" s="31">
        <v>6447.0404719087819</v>
      </c>
      <c r="E29" s="32">
        <v>5409.0691272522508</v>
      </c>
      <c r="F29" s="31">
        <f t="shared" si="0"/>
        <v>1037.9713446565311</v>
      </c>
      <c r="G29" s="33">
        <v>126</v>
      </c>
      <c r="H29" s="33">
        <v>0</v>
      </c>
      <c r="I29" s="3"/>
      <c r="J29" s="34">
        <v>40.881768333300002</v>
      </c>
      <c r="K29" s="34">
        <v>72.055153333299998</v>
      </c>
      <c r="L29" s="20">
        <v>63</v>
      </c>
      <c r="M29" s="12" t="s">
        <v>50</v>
      </c>
      <c r="N29" s="12"/>
      <c r="O29" s="24" t="s">
        <v>19</v>
      </c>
    </row>
    <row r="30" spans="1:15" ht="30" customHeight="1">
      <c r="A30" s="7" t="s">
        <v>16</v>
      </c>
      <c r="B30" s="34" t="s">
        <v>610</v>
      </c>
      <c r="C30" s="34" t="s">
        <v>369</v>
      </c>
      <c r="D30" s="31">
        <v>9834.91533190878</v>
      </c>
      <c r="E30" s="32">
        <v>8373.0891272522513</v>
      </c>
      <c r="F30" s="31">
        <f t="shared" si="0"/>
        <v>1461.8262046565287</v>
      </c>
      <c r="G30" s="33">
        <v>163</v>
      </c>
      <c r="H30" s="33">
        <v>0</v>
      </c>
      <c r="I30" s="3" t="s">
        <v>51</v>
      </c>
      <c r="J30" s="34">
        <v>40.882671666699999</v>
      </c>
      <c r="K30" s="34">
        <v>72.072426666699997</v>
      </c>
      <c r="L30" s="25">
        <v>100</v>
      </c>
      <c r="M30" s="12"/>
      <c r="N30" s="12" t="s">
        <v>52</v>
      </c>
      <c r="O30" s="24" t="s">
        <v>19</v>
      </c>
    </row>
    <row r="31" spans="1:15" ht="30" customHeight="1">
      <c r="A31" s="7" t="s">
        <v>16</v>
      </c>
      <c r="B31" s="34" t="s">
        <v>610</v>
      </c>
      <c r="C31" s="34" t="s">
        <v>370</v>
      </c>
      <c r="D31" s="31">
        <v>1518.8245219087823</v>
      </c>
      <c r="E31" s="32">
        <v>1097.4191272522519</v>
      </c>
      <c r="F31" s="31">
        <f t="shared" si="0"/>
        <v>421.40539465653046</v>
      </c>
      <c r="G31" s="33">
        <v>19</v>
      </c>
      <c r="H31" s="33">
        <v>0</v>
      </c>
      <c r="I31" s="3" t="s">
        <v>53</v>
      </c>
      <c r="J31" s="34">
        <v>40.877465000000001</v>
      </c>
      <c r="K31" s="34">
        <v>72.08811</v>
      </c>
      <c r="L31" s="15">
        <v>100</v>
      </c>
      <c r="M31" s="12" t="s">
        <v>54</v>
      </c>
      <c r="N31" s="12"/>
      <c r="O31" s="24" t="s">
        <v>19</v>
      </c>
    </row>
    <row r="32" spans="1:15" ht="30" customHeight="1">
      <c r="A32" s="7" t="s">
        <v>16</v>
      </c>
      <c r="B32" s="34" t="s">
        <v>610</v>
      </c>
      <c r="C32" s="34" t="s">
        <v>371</v>
      </c>
      <c r="D32" s="31">
        <v>7554.6798619087822</v>
      </c>
      <c r="E32" s="32">
        <v>6378.1324605855852</v>
      </c>
      <c r="F32" s="31">
        <f t="shared" si="0"/>
        <v>1176.5474013231969</v>
      </c>
      <c r="G32" s="33">
        <v>84</v>
      </c>
      <c r="H32" s="33">
        <v>1</v>
      </c>
      <c r="I32" s="3" t="s">
        <v>20</v>
      </c>
      <c r="J32" s="34">
        <v>40.879755000000003</v>
      </c>
      <c r="K32" s="34">
        <v>72.084291666699997</v>
      </c>
      <c r="L32" s="15">
        <v>100</v>
      </c>
      <c r="M32" s="12" t="s">
        <v>55</v>
      </c>
      <c r="N32" s="12"/>
      <c r="O32" s="24" t="s">
        <v>19</v>
      </c>
    </row>
    <row r="33" spans="1:15" ht="30" customHeight="1">
      <c r="A33" s="7" t="s">
        <v>16</v>
      </c>
      <c r="B33" s="34" t="s">
        <v>611</v>
      </c>
      <c r="C33" s="34" t="s">
        <v>372</v>
      </c>
      <c r="D33" s="31">
        <v>8171.1873919087839</v>
      </c>
      <c r="E33" s="32">
        <v>6917.5091272522541</v>
      </c>
      <c r="F33" s="31">
        <f t="shared" si="0"/>
        <v>1253.6782646565298</v>
      </c>
      <c r="G33" s="33">
        <v>110</v>
      </c>
      <c r="H33" s="33">
        <v>3</v>
      </c>
      <c r="I33" s="3" t="s">
        <v>56</v>
      </c>
      <c r="J33" s="34">
        <v>40.874026666699997</v>
      </c>
      <c r="K33" s="34">
        <v>72.094549999999998</v>
      </c>
      <c r="L33" s="15">
        <v>160</v>
      </c>
      <c r="M33" s="12" t="s">
        <v>57</v>
      </c>
      <c r="N33" s="12"/>
      <c r="O33" s="24" t="s">
        <v>19</v>
      </c>
    </row>
    <row r="34" spans="1:15" ht="30" customHeight="1">
      <c r="A34" s="7" t="s">
        <v>16</v>
      </c>
      <c r="B34" s="34" t="s">
        <v>611</v>
      </c>
      <c r="C34" s="34" t="s">
        <v>373</v>
      </c>
      <c r="D34" s="31">
        <v>3533.5715719087825</v>
      </c>
      <c r="E34" s="32">
        <v>2860.1024605855855</v>
      </c>
      <c r="F34" s="31">
        <f t="shared" si="0"/>
        <v>673.46911132319701</v>
      </c>
      <c r="G34" s="33">
        <v>101</v>
      </c>
      <c r="H34" s="33">
        <v>0</v>
      </c>
      <c r="I34" s="3" t="s">
        <v>58</v>
      </c>
      <c r="J34" s="34">
        <v>40.863348333300003</v>
      </c>
      <c r="K34" s="34">
        <v>72.082953333299997</v>
      </c>
      <c r="L34" s="15">
        <v>160</v>
      </c>
      <c r="M34" s="12" t="s">
        <v>59</v>
      </c>
      <c r="N34" s="12"/>
      <c r="O34" s="24" t="s">
        <v>19</v>
      </c>
    </row>
    <row r="35" spans="1:15" ht="30" customHeight="1">
      <c r="A35" s="7" t="s">
        <v>16</v>
      </c>
      <c r="B35" s="34" t="s">
        <v>612</v>
      </c>
      <c r="C35" s="34" t="s">
        <v>374</v>
      </c>
      <c r="D35" s="31">
        <v>2251.8990019087819</v>
      </c>
      <c r="E35" s="32">
        <v>1738.7791272522518</v>
      </c>
      <c r="F35" s="31">
        <f t="shared" si="0"/>
        <v>513.1198746565301</v>
      </c>
      <c r="G35" s="33">
        <v>87</v>
      </c>
      <c r="H35" s="33">
        <v>2</v>
      </c>
      <c r="I35" s="3" t="s">
        <v>58</v>
      </c>
      <c r="J35" s="34">
        <v>40.848415000000003</v>
      </c>
      <c r="K35" s="34">
        <v>72.071595000000002</v>
      </c>
      <c r="L35" s="15">
        <v>63</v>
      </c>
      <c r="M35" s="12" t="s">
        <v>60</v>
      </c>
      <c r="N35" s="12"/>
      <c r="O35" s="24" t="s">
        <v>19</v>
      </c>
    </row>
    <row r="36" spans="1:15" ht="30" customHeight="1">
      <c r="A36" s="7" t="s">
        <v>16</v>
      </c>
      <c r="B36" s="34" t="s">
        <v>611</v>
      </c>
      <c r="C36" s="34" t="s">
        <v>375</v>
      </c>
      <c r="D36" s="31">
        <v>14718.348541908783</v>
      </c>
      <c r="E36" s="32">
        <v>12645.559127252252</v>
      </c>
      <c r="F36" s="31">
        <f t="shared" si="0"/>
        <v>2072.7894146565304</v>
      </c>
      <c r="G36" s="33">
        <v>215</v>
      </c>
      <c r="H36" s="33">
        <v>18</v>
      </c>
      <c r="I36" s="3" t="s">
        <v>32</v>
      </c>
      <c r="J36" s="34">
        <v>40.8672316667</v>
      </c>
      <c r="K36" s="34">
        <v>72.104288333300005</v>
      </c>
      <c r="L36" s="15">
        <v>100</v>
      </c>
      <c r="M36" s="12" t="s">
        <v>61</v>
      </c>
      <c r="N36" s="12"/>
      <c r="O36" s="24" t="s">
        <v>19</v>
      </c>
    </row>
    <row r="37" spans="1:15" ht="30" customHeight="1">
      <c r="A37" s="7" t="s">
        <v>16</v>
      </c>
      <c r="B37" s="34" t="s">
        <v>611</v>
      </c>
      <c r="C37" s="34" t="s">
        <v>376</v>
      </c>
      <c r="D37" s="31">
        <v>9505.9523119087826</v>
      </c>
      <c r="E37" s="32">
        <v>8085.2824605855867</v>
      </c>
      <c r="F37" s="31">
        <f t="shared" si="0"/>
        <v>1420.6698513231959</v>
      </c>
      <c r="G37" s="33">
        <v>98</v>
      </c>
      <c r="H37" s="33">
        <v>1</v>
      </c>
      <c r="I37" s="3" t="s">
        <v>17</v>
      </c>
      <c r="J37" s="34">
        <v>40.875253333300002</v>
      </c>
      <c r="K37" s="34">
        <v>72.108715000000004</v>
      </c>
      <c r="L37" s="15">
        <v>100</v>
      </c>
      <c r="M37" s="12" t="s">
        <v>62</v>
      </c>
      <c r="N37" s="12"/>
      <c r="O37" s="24" t="s">
        <v>19</v>
      </c>
    </row>
    <row r="38" spans="1:15" ht="30" customHeight="1">
      <c r="A38" s="7" t="s">
        <v>16</v>
      </c>
      <c r="B38" s="34" t="s">
        <v>611</v>
      </c>
      <c r="C38" s="34" t="s">
        <v>377</v>
      </c>
      <c r="D38" s="31">
        <v>2164.1470819087822</v>
      </c>
      <c r="E38" s="32">
        <v>1662.0057939189185</v>
      </c>
      <c r="F38" s="31">
        <f t="shared" si="0"/>
        <v>502.14128798986371</v>
      </c>
      <c r="G38" s="33">
        <v>106</v>
      </c>
      <c r="H38" s="33">
        <v>0</v>
      </c>
      <c r="I38" s="3" t="s">
        <v>58</v>
      </c>
      <c r="J38" s="34">
        <v>40.867996666700002</v>
      </c>
      <c r="K38" s="34">
        <v>72.122466666700006</v>
      </c>
      <c r="L38" s="15">
        <v>40</v>
      </c>
      <c r="M38" s="12" t="s">
        <v>63</v>
      </c>
      <c r="N38" s="12"/>
      <c r="O38" s="24" t="s">
        <v>19</v>
      </c>
    </row>
    <row r="39" spans="1:15" ht="30" customHeight="1">
      <c r="A39" s="7" t="s">
        <v>16</v>
      </c>
      <c r="B39" s="34" t="s">
        <v>611</v>
      </c>
      <c r="C39" s="34" t="s">
        <v>378</v>
      </c>
      <c r="D39" s="31">
        <v>3643.7110519087819</v>
      </c>
      <c r="E39" s="32">
        <v>2956.4624605855847</v>
      </c>
      <c r="F39" s="31">
        <f t="shared" si="0"/>
        <v>687.24859132319716</v>
      </c>
      <c r="G39" s="33">
        <v>138</v>
      </c>
      <c r="H39" s="33">
        <v>1</v>
      </c>
      <c r="I39" s="3" t="s">
        <v>64</v>
      </c>
      <c r="J39" s="34">
        <v>40.856453333300003</v>
      </c>
      <c r="K39" s="34">
        <v>72.136276666699999</v>
      </c>
      <c r="L39" s="15">
        <v>100</v>
      </c>
      <c r="M39" s="12" t="s">
        <v>65</v>
      </c>
      <c r="N39" s="12"/>
      <c r="O39" s="24" t="s">
        <v>19</v>
      </c>
    </row>
    <row r="40" spans="1:15" ht="30" customHeight="1">
      <c r="A40" s="7" t="s">
        <v>16</v>
      </c>
      <c r="B40" s="34" t="s">
        <v>611</v>
      </c>
      <c r="C40" s="34" t="s">
        <v>379</v>
      </c>
      <c r="D40" s="31">
        <v>8665.5006019087832</v>
      </c>
      <c r="E40" s="32">
        <v>7349.9791272522534</v>
      </c>
      <c r="F40" s="31">
        <f t="shared" si="0"/>
        <v>1315.5214746565298</v>
      </c>
      <c r="G40" s="33">
        <v>170</v>
      </c>
      <c r="H40" s="33">
        <v>1</v>
      </c>
      <c r="I40" s="3" t="s">
        <v>64</v>
      </c>
      <c r="J40" s="34">
        <v>40.848101666700003</v>
      </c>
      <c r="K40" s="34">
        <v>72.161588333300003</v>
      </c>
      <c r="L40" s="15">
        <v>100</v>
      </c>
      <c r="M40" s="12" t="s">
        <v>66</v>
      </c>
      <c r="N40" s="12"/>
      <c r="O40" s="24" t="s">
        <v>19</v>
      </c>
    </row>
    <row r="41" spans="1:15" ht="30" customHeight="1">
      <c r="A41" s="7" t="s">
        <v>16</v>
      </c>
      <c r="B41" s="34" t="s">
        <v>613</v>
      </c>
      <c r="C41" s="34" t="s">
        <v>380</v>
      </c>
      <c r="D41" s="31">
        <v>2132.6383819087823</v>
      </c>
      <c r="E41" s="32">
        <v>1634.4391272522519</v>
      </c>
      <c r="F41" s="31">
        <f t="shared" si="0"/>
        <v>498.19925465653046</v>
      </c>
      <c r="G41" s="33">
        <v>86</v>
      </c>
      <c r="H41" s="33">
        <v>2</v>
      </c>
      <c r="I41" s="3" t="s">
        <v>53</v>
      </c>
      <c r="J41" s="34">
        <v>40.823746666700004</v>
      </c>
      <c r="K41" s="34">
        <v>72.162056666699996</v>
      </c>
      <c r="L41" s="15">
        <v>160</v>
      </c>
      <c r="M41" s="12"/>
      <c r="N41" s="12" t="s">
        <v>67</v>
      </c>
      <c r="O41" s="24" t="s">
        <v>19</v>
      </c>
    </row>
    <row r="42" spans="1:15" ht="30" customHeight="1">
      <c r="A42" s="7" t="s">
        <v>16</v>
      </c>
      <c r="B42" s="34" t="s">
        <v>612</v>
      </c>
      <c r="C42" s="34" t="s">
        <v>381</v>
      </c>
      <c r="D42" s="31">
        <v>6175.3265119087819</v>
      </c>
      <c r="E42" s="32">
        <v>5171.3491272522524</v>
      </c>
      <c r="F42" s="31">
        <f t="shared" si="0"/>
        <v>1003.9773846565295</v>
      </c>
      <c r="G42" s="33">
        <v>98</v>
      </c>
      <c r="H42" s="33">
        <v>1</v>
      </c>
      <c r="I42" s="3" t="s">
        <v>37</v>
      </c>
      <c r="J42" s="34">
        <v>40.8202666667</v>
      </c>
      <c r="K42" s="34">
        <v>72.1321616667</v>
      </c>
      <c r="L42" s="20">
        <v>160</v>
      </c>
      <c r="M42" s="12" t="s">
        <v>68</v>
      </c>
      <c r="N42" s="12"/>
      <c r="O42" s="24" t="s">
        <v>19</v>
      </c>
    </row>
    <row r="43" spans="1:15" ht="30" customHeight="1">
      <c r="A43" s="7" t="s">
        <v>16</v>
      </c>
      <c r="B43" s="34" t="s">
        <v>612</v>
      </c>
      <c r="C43" s="34" t="s">
        <v>382</v>
      </c>
      <c r="D43" s="31">
        <v>8336.225161908782</v>
      </c>
      <c r="E43" s="32">
        <v>7061.8991272522517</v>
      </c>
      <c r="F43" s="31">
        <f t="shared" si="0"/>
        <v>1274.3260346565303</v>
      </c>
      <c r="G43" s="33">
        <v>130</v>
      </c>
      <c r="H43" s="33">
        <v>1</v>
      </c>
      <c r="I43" s="3" t="s">
        <v>53</v>
      </c>
      <c r="J43" s="34">
        <v>40.829568333300003</v>
      </c>
      <c r="K43" s="34">
        <v>72.120596666699996</v>
      </c>
      <c r="L43" s="20">
        <v>160</v>
      </c>
      <c r="M43" s="12" t="s">
        <v>69</v>
      </c>
      <c r="N43" s="12"/>
      <c r="O43" s="24" t="s">
        <v>19</v>
      </c>
    </row>
    <row r="44" spans="1:15" ht="30" customHeight="1">
      <c r="A44" s="7" t="s">
        <v>16</v>
      </c>
      <c r="B44" s="34" t="s">
        <v>612</v>
      </c>
      <c r="C44" s="34" t="s">
        <v>383</v>
      </c>
      <c r="D44" s="31">
        <v>9932.4056119087836</v>
      </c>
      <c r="E44" s="32">
        <v>8458.3824605855862</v>
      </c>
      <c r="F44" s="31">
        <f t="shared" si="0"/>
        <v>1474.0231513231975</v>
      </c>
      <c r="G44" s="33">
        <v>165</v>
      </c>
      <c r="H44" s="33">
        <v>1</v>
      </c>
      <c r="I44" s="3" t="s">
        <v>53</v>
      </c>
      <c r="J44" s="34">
        <v>40.815874208499999</v>
      </c>
      <c r="K44" s="34">
        <v>72.111179034499997</v>
      </c>
      <c r="L44" s="20">
        <v>100</v>
      </c>
      <c r="M44" s="12" t="s">
        <v>70</v>
      </c>
      <c r="N44" s="12"/>
      <c r="O44" s="24" t="s">
        <v>19</v>
      </c>
    </row>
    <row r="45" spans="1:15" ht="30" customHeight="1">
      <c r="A45" s="7" t="s">
        <v>16</v>
      </c>
      <c r="B45" s="34" t="s">
        <v>609</v>
      </c>
      <c r="C45" s="34" t="s">
        <v>384</v>
      </c>
      <c r="D45" s="31">
        <v>44809.877131908775</v>
      </c>
      <c r="E45" s="32">
        <v>38972.35579391892</v>
      </c>
      <c r="F45" s="31">
        <f t="shared" si="0"/>
        <v>5837.521337989856</v>
      </c>
      <c r="G45" s="33">
        <v>144</v>
      </c>
      <c r="H45" s="33">
        <v>0</v>
      </c>
      <c r="I45" s="3" t="s">
        <v>53</v>
      </c>
      <c r="J45" s="34">
        <v>40.875643333299998</v>
      </c>
      <c r="K45" s="34">
        <v>72.000879999999995</v>
      </c>
      <c r="L45" s="20">
        <v>160</v>
      </c>
      <c r="M45" s="12" t="s">
        <v>71</v>
      </c>
      <c r="N45" s="12"/>
      <c r="O45" s="24" t="s">
        <v>19</v>
      </c>
    </row>
    <row r="46" spans="1:15" ht="30" customHeight="1">
      <c r="A46" s="7" t="s">
        <v>16</v>
      </c>
      <c r="B46" s="34" t="s">
        <v>609</v>
      </c>
      <c r="C46" s="34" t="s">
        <v>385</v>
      </c>
      <c r="D46" s="31">
        <v>4671.0394519087813</v>
      </c>
      <c r="E46" s="32">
        <v>3855.2624605855849</v>
      </c>
      <c r="F46" s="31">
        <f t="shared" si="0"/>
        <v>815.7769913231964</v>
      </c>
      <c r="G46" s="33">
        <v>83</v>
      </c>
      <c r="H46" s="33">
        <v>2</v>
      </c>
      <c r="I46" s="3" t="s">
        <v>51</v>
      </c>
      <c r="J46" s="34">
        <v>40.88138</v>
      </c>
      <c r="K46" s="34">
        <v>72.003778333300005</v>
      </c>
      <c r="L46" s="20">
        <v>63</v>
      </c>
      <c r="M46" s="12" t="s">
        <v>72</v>
      </c>
      <c r="N46" s="12"/>
      <c r="O46" s="24" t="s">
        <v>19</v>
      </c>
    </row>
    <row r="47" spans="1:15" ht="30" customHeight="1">
      <c r="A47" s="7" t="s">
        <v>16</v>
      </c>
      <c r="B47" s="34" t="s">
        <v>610</v>
      </c>
      <c r="C47" s="34" t="s">
        <v>386</v>
      </c>
      <c r="D47" s="31">
        <v>7519.1211319087815</v>
      </c>
      <c r="E47" s="32">
        <v>6347.0224605855847</v>
      </c>
      <c r="F47" s="31">
        <f t="shared" si="0"/>
        <v>1172.0986713231969</v>
      </c>
      <c r="G47" s="33">
        <v>117</v>
      </c>
      <c r="H47" s="33">
        <v>0</v>
      </c>
      <c r="I47" s="3" t="s">
        <v>51</v>
      </c>
      <c r="J47" s="34">
        <v>40.871155000000002</v>
      </c>
      <c r="K47" s="34">
        <v>72.043671666700007</v>
      </c>
      <c r="L47" s="20">
        <v>400</v>
      </c>
      <c r="M47" s="12" t="s">
        <v>73</v>
      </c>
      <c r="N47" s="12"/>
      <c r="O47" s="24" t="s">
        <v>19</v>
      </c>
    </row>
    <row r="48" spans="1:15" ht="30" customHeight="1">
      <c r="A48" s="7" t="s">
        <v>16</v>
      </c>
      <c r="B48" s="34" t="s">
        <v>613</v>
      </c>
      <c r="C48" s="34" t="s">
        <v>387</v>
      </c>
      <c r="D48" s="31">
        <v>2112.7158919087824</v>
      </c>
      <c r="E48" s="32">
        <v>1617.009127252252</v>
      </c>
      <c r="F48" s="31">
        <f t="shared" si="0"/>
        <v>495.70676465653037</v>
      </c>
      <c r="G48" s="33">
        <v>72</v>
      </c>
      <c r="H48" s="33">
        <v>0</v>
      </c>
      <c r="I48" s="3" t="s">
        <v>51</v>
      </c>
      <c r="J48" s="34">
        <v>40.820733333200003</v>
      </c>
      <c r="K48" s="34">
        <v>72.163296666700006</v>
      </c>
      <c r="L48" s="20">
        <v>160</v>
      </c>
      <c r="M48" s="12" t="s">
        <v>74</v>
      </c>
      <c r="N48" s="12"/>
      <c r="O48" s="24" t="s">
        <v>19</v>
      </c>
    </row>
    <row r="49" spans="1:15" ht="30" customHeight="1">
      <c r="A49" s="7" t="s">
        <v>16</v>
      </c>
      <c r="B49" s="34" t="s">
        <v>613</v>
      </c>
      <c r="C49" s="34" t="s">
        <v>388</v>
      </c>
      <c r="D49" s="31">
        <v>5938.7674219087812</v>
      </c>
      <c r="E49" s="32">
        <v>4964.3857939189184</v>
      </c>
      <c r="F49" s="31">
        <f t="shared" si="0"/>
        <v>974.38162798986286</v>
      </c>
      <c r="G49" s="33">
        <v>97</v>
      </c>
      <c r="H49" s="33">
        <v>1</v>
      </c>
      <c r="I49" s="3" t="s">
        <v>75</v>
      </c>
      <c r="J49" s="34">
        <v>40.834948405699997</v>
      </c>
      <c r="K49" s="34">
        <v>72.194619056400001</v>
      </c>
      <c r="L49" s="20">
        <v>250</v>
      </c>
      <c r="M49" s="12" t="s">
        <v>76</v>
      </c>
      <c r="N49" s="12"/>
      <c r="O49" s="24" t="s">
        <v>19</v>
      </c>
    </row>
    <row r="50" spans="1:15" ht="30" customHeight="1">
      <c r="A50" s="7" t="s">
        <v>16</v>
      </c>
      <c r="B50" s="34" t="s">
        <v>607</v>
      </c>
      <c r="C50" s="34" t="s">
        <v>389</v>
      </c>
      <c r="D50" s="31">
        <v>11696.757556908786</v>
      </c>
      <c r="E50" s="32">
        <v>10001.997460585588</v>
      </c>
      <c r="F50" s="31">
        <f t="shared" si="0"/>
        <v>1694.760096323198</v>
      </c>
      <c r="G50" s="33">
        <v>158</v>
      </c>
      <c r="H50" s="33">
        <v>0</v>
      </c>
      <c r="I50" s="3" t="s">
        <v>75</v>
      </c>
      <c r="J50" s="34">
        <v>40.878189999999996</v>
      </c>
      <c r="K50" s="34">
        <v>71.958991666700001</v>
      </c>
      <c r="L50" s="20">
        <v>160</v>
      </c>
      <c r="M50" s="12" t="s">
        <v>77</v>
      </c>
      <c r="N50" s="12"/>
      <c r="O50" s="24" t="s">
        <v>19</v>
      </c>
    </row>
    <row r="51" spans="1:15" ht="30" customHeight="1">
      <c r="A51" s="7" t="s">
        <v>16</v>
      </c>
      <c r="B51" s="34" t="s">
        <v>607</v>
      </c>
      <c r="C51" s="34" t="s">
        <v>390</v>
      </c>
      <c r="D51" s="31">
        <v>7708.3714519087835</v>
      </c>
      <c r="E51" s="32">
        <v>6512.5957939189184</v>
      </c>
      <c r="F51" s="31">
        <f t="shared" si="0"/>
        <v>1195.7756579898651</v>
      </c>
      <c r="G51" s="33">
        <v>113</v>
      </c>
      <c r="H51" s="33">
        <v>1</v>
      </c>
      <c r="I51" s="3" t="s">
        <v>56</v>
      </c>
      <c r="J51" s="34">
        <v>40.870921666699999</v>
      </c>
      <c r="K51" s="34">
        <v>71.95438</v>
      </c>
      <c r="L51" s="20">
        <v>250</v>
      </c>
      <c r="M51" s="12" t="s">
        <v>78</v>
      </c>
      <c r="N51" s="12"/>
      <c r="O51" s="24" t="s">
        <v>19</v>
      </c>
    </row>
    <row r="52" spans="1:15" ht="30" customHeight="1">
      <c r="A52" s="7" t="s">
        <v>16</v>
      </c>
      <c r="B52" s="34" t="s">
        <v>611</v>
      </c>
      <c r="C52" s="34" t="s">
        <v>391</v>
      </c>
      <c r="D52" s="31">
        <v>4332.5704819087814</v>
      </c>
      <c r="E52" s="32">
        <v>3559.139127252251</v>
      </c>
      <c r="F52" s="31">
        <f t="shared" si="0"/>
        <v>773.4313546565304</v>
      </c>
      <c r="G52" s="33">
        <v>75</v>
      </c>
      <c r="H52" s="33">
        <v>0</v>
      </c>
      <c r="I52" s="3" t="s">
        <v>56</v>
      </c>
      <c r="J52" s="34">
        <v>40.872001666700001</v>
      </c>
      <c r="K52" s="34">
        <v>72.092106666700005</v>
      </c>
      <c r="L52" s="20">
        <v>160</v>
      </c>
      <c r="M52" s="12" t="s">
        <v>79</v>
      </c>
      <c r="N52" s="12"/>
      <c r="O52" s="24" t="s">
        <v>19</v>
      </c>
    </row>
    <row r="53" spans="1:15" ht="30" customHeight="1">
      <c r="A53" s="7" t="s">
        <v>16</v>
      </c>
      <c r="B53" s="34" t="s">
        <v>607</v>
      </c>
      <c r="C53" s="34" t="s">
        <v>392</v>
      </c>
      <c r="D53" s="31">
        <v>6505.101061908782</v>
      </c>
      <c r="E53" s="32">
        <v>5459.865793918917</v>
      </c>
      <c r="F53" s="31">
        <f t="shared" si="0"/>
        <v>1045.235267989865</v>
      </c>
      <c r="G53" s="33">
        <v>118</v>
      </c>
      <c r="H53" s="33">
        <v>0</v>
      </c>
      <c r="I53" s="3" t="s">
        <v>56</v>
      </c>
      <c r="J53" s="34">
        <v>40.872906666699997</v>
      </c>
      <c r="K53" s="34">
        <v>71.953943333300003</v>
      </c>
      <c r="L53" s="20">
        <v>40</v>
      </c>
      <c r="M53" s="12" t="s">
        <v>80</v>
      </c>
      <c r="N53" s="12"/>
      <c r="O53" s="24" t="s">
        <v>19</v>
      </c>
    </row>
    <row r="54" spans="1:15" ht="30" customHeight="1">
      <c r="A54" s="7" t="s">
        <v>16</v>
      </c>
      <c r="B54" s="34" t="s">
        <v>605</v>
      </c>
      <c r="C54" s="34" t="s">
        <v>322</v>
      </c>
      <c r="D54" s="31">
        <v>5083.1976319087817</v>
      </c>
      <c r="E54" s="32">
        <v>4215.8557939189186</v>
      </c>
      <c r="F54" s="31">
        <f t="shared" si="0"/>
        <v>867.34183798986305</v>
      </c>
      <c r="G54" s="33">
        <v>76</v>
      </c>
      <c r="H54" s="33">
        <v>4</v>
      </c>
      <c r="I54" s="3" t="s">
        <v>26</v>
      </c>
      <c r="J54" s="34">
        <v>40.877846666700002</v>
      </c>
      <c r="K54" s="34">
        <v>71.933464999999998</v>
      </c>
      <c r="L54" s="20">
        <v>63</v>
      </c>
      <c r="M54" s="12" t="s">
        <v>81</v>
      </c>
      <c r="N54" s="12"/>
      <c r="O54" s="24" t="s">
        <v>19</v>
      </c>
    </row>
    <row r="55" spans="1:15" ht="30" customHeight="1">
      <c r="A55" s="7" t="s">
        <v>16</v>
      </c>
      <c r="B55" s="34" t="s">
        <v>607</v>
      </c>
      <c r="C55" s="34" t="s">
        <v>393</v>
      </c>
      <c r="D55" s="31">
        <v>6893.6410519087813</v>
      </c>
      <c r="E55" s="32">
        <v>5799.7957939189182</v>
      </c>
      <c r="F55" s="31">
        <f t="shared" si="0"/>
        <v>1093.8452579898631</v>
      </c>
      <c r="G55" s="33">
        <v>106</v>
      </c>
      <c r="H55" s="33">
        <v>1</v>
      </c>
      <c r="I55" s="3" t="s">
        <v>26</v>
      </c>
      <c r="J55" s="34">
        <v>40.873988333299998</v>
      </c>
      <c r="K55" s="34">
        <v>71.962540000000004</v>
      </c>
      <c r="L55" s="20">
        <v>100</v>
      </c>
      <c r="M55" s="12" t="s">
        <v>83</v>
      </c>
      <c r="N55" s="12"/>
      <c r="O55" s="24" t="s">
        <v>19</v>
      </c>
    </row>
    <row r="56" spans="1:15" ht="30" customHeight="1">
      <c r="A56" s="7" t="s">
        <v>16</v>
      </c>
      <c r="B56" s="34" t="s">
        <v>607</v>
      </c>
      <c r="C56" s="34" t="s">
        <v>394</v>
      </c>
      <c r="D56" s="31">
        <v>2211.5206219087818</v>
      </c>
      <c r="E56" s="32">
        <v>1703.4524605855852</v>
      </c>
      <c r="F56" s="31">
        <f t="shared" si="0"/>
        <v>508.06816132319659</v>
      </c>
      <c r="G56" s="33">
        <v>30</v>
      </c>
      <c r="H56" s="33">
        <v>0</v>
      </c>
      <c r="I56" s="3" t="s">
        <v>84</v>
      </c>
      <c r="J56" s="34">
        <v>40.870921666500003</v>
      </c>
      <c r="K56" s="34">
        <v>71.95438</v>
      </c>
      <c r="L56" s="20">
        <v>160</v>
      </c>
      <c r="M56" s="12"/>
      <c r="N56" s="12" t="s">
        <v>85</v>
      </c>
      <c r="O56" s="24" t="s">
        <v>19</v>
      </c>
    </row>
    <row r="57" spans="1:15" ht="30" customHeight="1">
      <c r="A57" s="7" t="s">
        <v>16</v>
      </c>
      <c r="B57" s="34" t="s">
        <v>607</v>
      </c>
      <c r="C57" s="34" t="s">
        <v>395</v>
      </c>
      <c r="D57" s="31">
        <v>9436.2064519087835</v>
      </c>
      <c r="E57" s="32">
        <v>8024.2624605855854</v>
      </c>
      <c r="F57" s="31">
        <f t="shared" si="0"/>
        <v>1411.9439913231981</v>
      </c>
      <c r="G57" s="33">
        <v>66</v>
      </c>
      <c r="H57" s="33">
        <v>0</v>
      </c>
      <c r="I57" s="3" t="s">
        <v>86</v>
      </c>
      <c r="J57" s="34">
        <v>40.875286666699999</v>
      </c>
      <c r="K57" s="34">
        <v>71.9537066667</v>
      </c>
      <c r="L57" s="20">
        <v>100</v>
      </c>
      <c r="M57" s="12" t="s">
        <v>87</v>
      </c>
      <c r="N57" s="12"/>
      <c r="O57" s="24" t="s">
        <v>19</v>
      </c>
    </row>
    <row r="58" spans="1:15" ht="30" customHeight="1">
      <c r="A58" s="7" t="s">
        <v>16</v>
      </c>
      <c r="B58" s="34" t="s">
        <v>605</v>
      </c>
      <c r="C58" s="34" t="s">
        <v>328</v>
      </c>
      <c r="D58" s="31">
        <v>6096.7490719087828</v>
      </c>
      <c r="E58" s="32">
        <v>5102.6024605855846</v>
      </c>
      <c r="F58" s="31">
        <f t="shared" si="0"/>
        <v>994.14661132319816</v>
      </c>
      <c r="G58" s="33">
        <v>82</v>
      </c>
      <c r="H58" s="33">
        <v>0</v>
      </c>
      <c r="I58" s="3" t="s">
        <v>75</v>
      </c>
      <c r="J58" s="34">
        <v>40.870680129199997</v>
      </c>
      <c r="K58" s="34">
        <v>71.958324657800006</v>
      </c>
      <c r="L58" s="20">
        <v>100</v>
      </c>
      <c r="M58" s="12" t="s">
        <v>88</v>
      </c>
      <c r="N58" s="12"/>
      <c r="O58" s="24" t="s">
        <v>19</v>
      </c>
    </row>
    <row r="59" spans="1:15" ht="30" customHeight="1">
      <c r="A59" s="7" t="s">
        <v>16</v>
      </c>
      <c r="B59" s="34" t="s">
        <v>605</v>
      </c>
      <c r="C59" s="34" t="s">
        <v>334</v>
      </c>
      <c r="D59" s="31">
        <v>11940.919501908784</v>
      </c>
      <c r="E59" s="32">
        <v>10215.612460585586</v>
      </c>
      <c r="F59" s="31">
        <f t="shared" si="0"/>
        <v>1725.3070413231981</v>
      </c>
      <c r="G59" s="33">
        <v>124</v>
      </c>
      <c r="H59" s="33">
        <v>1</v>
      </c>
      <c r="I59" s="3" t="s">
        <v>53</v>
      </c>
      <c r="J59" s="34">
        <v>40.867751666700002</v>
      </c>
      <c r="K59" s="34">
        <v>71.964714999999998</v>
      </c>
      <c r="L59" s="20">
        <v>100</v>
      </c>
      <c r="M59" s="12" t="s">
        <v>89</v>
      </c>
      <c r="N59" s="12"/>
      <c r="O59" s="24" t="s">
        <v>19</v>
      </c>
    </row>
    <row r="60" spans="1:15" ht="30" customHeight="1">
      <c r="A60" s="7" t="s">
        <v>16</v>
      </c>
      <c r="B60" s="34" t="s">
        <v>605</v>
      </c>
      <c r="C60" s="34" t="s">
        <v>329</v>
      </c>
      <c r="D60" s="31">
        <v>9555.935701908782</v>
      </c>
      <c r="E60" s="32">
        <v>8129.0124605855854</v>
      </c>
      <c r="F60" s="31">
        <f t="shared" si="0"/>
        <v>1426.9232413231966</v>
      </c>
      <c r="G60" s="33">
        <v>69</v>
      </c>
      <c r="H60" s="33">
        <v>0</v>
      </c>
      <c r="I60" s="3" t="s">
        <v>53</v>
      </c>
      <c r="J60" s="34">
        <v>40.874960000000002</v>
      </c>
      <c r="K60" s="34">
        <v>71.946984999999998</v>
      </c>
      <c r="L60" s="20">
        <v>63</v>
      </c>
      <c r="M60" s="12" t="s">
        <v>90</v>
      </c>
      <c r="N60" s="12"/>
      <c r="O60" s="24" t="s">
        <v>19</v>
      </c>
    </row>
    <row r="61" spans="1:15" ht="30" customHeight="1">
      <c r="A61" s="7" t="s">
        <v>16</v>
      </c>
      <c r="B61" s="34" t="s">
        <v>605</v>
      </c>
      <c r="C61" s="34" t="s">
        <v>314</v>
      </c>
      <c r="D61" s="31">
        <v>1376.9591719087823</v>
      </c>
      <c r="E61" s="32">
        <v>973.30246058558532</v>
      </c>
      <c r="F61" s="31">
        <f t="shared" si="0"/>
        <v>403.65671132319699</v>
      </c>
      <c r="G61" s="33">
        <v>18</v>
      </c>
      <c r="H61" s="33">
        <v>1</v>
      </c>
      <c r="I61" s="3" t="s">
        <v>75</v>
      </c>
      <c r="J61" s="34">
        <v>40.879668882099999</v>
      </c>
      <c r="K61" s="34">
        <v>71.946328058800006</v>
      </c>
      <c r="L61" s="14">
        <v>100</v>
      </c>
      <c r="M61" s="12" t="s">
        <v>91</v>
      </c>
      <c r="N61" s="12"/>
      <c r="O61" s="24" t="s">
        <v>19</v>
      </c>
    </row>
    <row r="62" spans="1:15" ht="30" customHeight="1">
      <c r="A62" s="7" t="s">
        <v>16</v>
      </c>
      <c r="B62" s="34" t="s">
        <v>605</v>
      </c>
      <c r="C62" s="34" t="s">
        <v>313</v>
      </c>
      <c r="D62" s="31">
        <v>6433.2673219087819</v>
      </c>
      <c r="E62" s="32">
        <v>5397.0191272522516</v>
      </c>
      <c r="F62" s="31">
        <f t="shared" si="0"/>
        <v>1036.2481946565304</v>
      </c>
      <c r="G62" s="33">
        <v>49</v>
      </c>
      <c r="H62" s="33">
        <v>3</v>
      </c>
      <c r="I62" s="3" t="s">
        <v>26</v>
      </c>
      <c r="J62" s="34">
        <v>40.889975940799999</v>
      </c>
      <c r="K62" s="34">
        <v>71.955590816200001</v>
      </c>
      <c r="L62" s="14">
        <v>100</v>
      </c>
      <c r="M62" s="12" t="s">
        <v>92</v>
      </c>
      <c r="N62" s="12"/>
      <c r="O62" s="24" t="s">
        <v>19</v>
      </c>
    </row>
    <row r="63" spans="1:15" ht="30" customHeight="1">
      <c r="A63" s="7" t="s">
        <v>16</v>
      </c>
      <c r="B63" s="34" t="s">
        <v>608</v>
      </c>
      <c r="C63" s="34" t="s">
        <v>396</v>
      </c>
      <c r="D63" s="31">
        <v>24772.43181190878</v>
      </c>
      <c r="E63" s="32">
        <v>21441.782460585586</v>
      </c>
      <c r="F63" s="31">
        <f t="shared" si="0"/>
        <v>3330.6493513231944</v>
      </c>
      <c r="G63" s="33">
        <v>27</v>
      </c>
      <c r="H63" s="33">
        <v>1</v>
      </c>
      <c r="I63" s="3" t="s">
        <v>86</v>
      </c>
      <c r="J63" s="34">
        <v>40.879336666500002</v>
      </c>
      <c r="K63" s="34">
        <v>71.986581666700005</v>
      </c>
      <c r="L63" s="14">
        <v>100</v>
      </c>
      <c r="M63" s="12"/>
      <c r="N63" s="12" t="s">
        <v>93</v>
      </c>
      <c r="O63" s="24" t="s">
        <v>19</v>
      </c>
    </row>
    <row r="64" spans="1:15" ht="30" customHeight="1">
      <c r="A64" s="7" t="s">
        <v>16</v>
      </c>
      <c r="B64" s="34" t="s">
        <v>608</v>
      </c>
      <c r="C64" s="34" t="s">
        <v>397</v>
      </c>
      <c r="D64" s="31">
        <v>24848.768971908779</v>
      </c>
      <c r="E64" s="32">
        <v>21508.569127252253</v>
      </c>
      <c r="F64" s="31">
        <f t="shared" si="0"/>
        <v>3340.1998446565267</v>
      </c>
      <c r="G64" s="33">
        <v>145</v>
      </c>
      <c r="H64" s="33">
        <v>0</v>
      </c>
      <c r="I64" s="4" t="s">
        <v>94</v>
      </c>
      <c r="J64" s="34">
        <v>40.884120000000003</v>
      </c>
      <c r="K64" s="34">
        <v>71.971571666700001</v>
      </c>
      <c r="L64" s="14">
        <v>160</v>
      </c>
      <c r="M64" s="12" t="s">
        <v>95</v>
      </c>
      <c r="N64" s="12"/>
      <c r="O64" s="24" t="s">
        <v>19</v>
      </c>
    </row>
    <row r="65" spans="1:15" ht="30" customHeight="1">
      <c r="A65" s="7" t="s">
        <v>16</v>
      </c>
      <c r="B65" s="34" t="s">
        <v>605</v>
      </c>
      <c r="C65" s="34" t="s">
        <v>332</v>
      </c>
      <c r="D65" s="31">
        <v>8428.8462619087823</v>
      </c>
      <c r="E65" s="32">
        <v>7142.9324605855863</v>
      </c>
      <c r="F65" s="31">
        <f t="shared" si="0"/>
        <v>1285.9138013231959</v>
      </c>
      <c r="G65" s="33">
        <v>60</v>
      </c>
      <c r="H65" s="33">
        <v>0</v>
      </c>
      <c r="I65" s="4" t="s">
        <v>94</v>
      </c>
      <c r="J65" s="34">
        <v>40.883293333300003</v>
      </c>
      <c r="K65" s="34">
        <v>71.964291666700007</v>
      </c>
      <c r="L65" s="14">
        <v>100</v>
      </c>
      <c r="M65" s="12" t="s">
        <v>96</v>
      </c>
      <c r="N65" s="12"/>
      <c r="O65" s="24" t="s">
        <v>19</v>
      </c>
    </row>
    <row r="66" spans="1:15" ht="30" customHeight="1">
      <c r="A66" s="7" t="s">
        <v>16</v>
      </c>
      <c r="B66" s="34" t="s">
        <v>609</v>
      </c>
      <c r="C66" s="34" t="s">
        <v>398</v>
      </c>
      <c r="D66" s="31">
        <v>17495.072731908785</v>
      </c>
      <c r="E66" s="32">
        <v>15074.889127252252</v>
      </c>
      <c r="F66" s="31">
        <f t="shared" si="0"/>
        <v>2420.1836046565331</v>
      </c>
      <c r="G66" s="33">
        <v>86</v>
      </c>
      <c r="H66" s="33">
        <v>2</v>
      </c>
      <c r="I66" s="4" t="s">
        <v>94</v>
      </c>
      <c r="J66" s="34">
        <v>40.876348333300001</v>
      </c>
      <c r="K66" s="34">
        <v>71.981988333299995</v>
      </c>
      <c r="L66" s="14">
        <v>100</v>
      </c>
      <c r="M66" s="12" t="s">
        <v>97</v>
      </c>
      <c r="N66" s="12"/>
      <c r="O66" s="24" t="s">
        <v>19</v>
      </c>
    </row>
    <row r="67" spans="1:15" ht="30" customHeight="1">
      <c r="A67" s="7" t="s">
        <v>16</v>
      </c>
      <c r="B67" s="34" t="s">
        <v>605</v>
      </c>
      <c r="C67" s="34" t="s">
        <v>331</v>
      </c>
      <c r="D67" s="31">
        <v>6449.589361908781</v>
      </c>
      <c r="E67" s="32">
        <v>5411.2991272522513</v>
      </c>
      <c r="F67" s="31">
        <f t="shared" si="0"/>
        <v>1038.2902346565297</v>
      </c>
      <c r="G67" s="33">
        <v>72</v>
      </c>
      <c r="H67" s="33">
        <v>2</v>
      </c>
      <c r="I67" s="4" t="s">
        <v>94</v>
      </c>
      <c r="J67" s="34">
        <v>40.883031666699999</v>
      </c>
      <c r="K67" s="34">
        <v>71.961638333300002</v>
      </c>
      <c r="L67" s="14">
        <v>250</v>
      </c>
      <c r="M67" s="12" t="s">
        <v>98</v>
      </c>
      <c r="N67" s="12"/>
      <c r="O67" s="24" t="s">
        <v>19</v>
      </c>
    </row>
    <row r="68" spans="1:15" ht="30" customHeight="1">
      <c r="A68" s="7" t="s">
        <v>16</v>
      </c>
      <c r="B68" s="34" t="s">
        <v>605</v>
      </c>
      <c r="C68" s="34" t="s">
        <v>340</v>
      </c>
      <c r="D68" s="31">
        <v>12960.041161908784</v>
      </c>
      <c r="E68" s="32">
        <v>11107.232460585585</v>
      </c>
      <c r="F68" s="31">
        <f t="shared" si="0"/>
        <v>1852.8087013231998</v>
      </c>
      <c r="G68" s="33">
        <v>75</v>
      </c>
      <c r="H68" s="33">
        <v>3</v>
      </c>
      <c r="I68" s="4" t="s">
        <v>86</v>
      </c>
      <c r="J68" s="34">
        <v>40.893335</v>
      </c>
      <c r="K68" s="34">
        <v>71.929253333299997</v>
      </c>
      <c r="L68" s="14">
        <v>160</v>
      </c>
      <c r="M68" s="12"/>
      <c r="N68" s="12" t="s">
        <v>99</v>
      </c>
      <c r="O68" s="24" t="s">
        <v>19</v>
      </c>
    </row>
    <row r="69" spans="1:15" ht="30" customHeight="1">
      <c r="A69" s="7" t="s">
        <v>16</v>
      </c>
      <c r="B69" s="34" t="s">
        <v>605</v>
      </c>
      <c r="C69" s="34" t="s">
        <v>336</v>
      </c>
      <c r="D69" s="31">
        <v>10046.412241908783</v>
      </c>
      <c r="E69" s="32">
        <v>8558.12579391892</v>
      </c>
      <c r="F69" s="31">
        <f t="shared" ref="F69:F132" si="1">+D69-E69</f>
        <v>1488.2864479898635</v>
      </c>
      <c r="G69" s="33">
        <v>59</v>
      </c>
      <c r="H69" s="33">
        <v>0</v>
      </c>
      <c r="I69" s="4" t="s">
        <v>86</v>
      </c>
      <c r="J69" s="34">
        <v>40.891123333300001</v>
      </c>
      <c r="K69" s="34">
        <v>71.940986666699999</v>
      </c>
      <c r="L69" s="14">
        <v>100</v>
      </c>
      <c r="M69" s="12" t="s">
        <v>100</v>
      </c>
      <c r="N69" s="12"/>
      <c r="O69" s="24" t="s">
        <v>19</v>
      </c>
    </row>
    <row r="70" spans="1:15" ht="30" customHeight="1">
      <c r="A70" s="7" t="s">
        <v>16</v>
      </c>
      <c r="B70" s="34" t="s">
        <v>605</v>
      </c>
      <c r="C70" s="34" t="s">
        <v>326</v>
      </c>
      <c r="D70" s="31">
        <v>5754.0205219087802</v>
      </c>
      <c r="E70" s="32">
        <v>4802.7524605855842</v>
      </c>
      <c r="F70" s="31">
        <f t="shared" si="1"/>
        <v>951.26806132319598</v>
      </c>
      <c r="G70" s="33">
        <v>25</v>
      </c>
      <c r="H70" s="33">
        <v>1</v>
      </c>
      <c r="I70" s="6" t="s">
        <v>86</v>
      </c>
      <c r="J70" s="34">
        <v>40.880083115799998</v>
      </c>
      <c r="K70" s="34">
        <v>71.942641781600003</v>
      </c>
      <c r="L70" s="14">
        <v>250</v>
      </c>
      <c r="M70" s="12" t="s">
        <v>101</v>
      </c>
      <c r="N70" s="12"/>
      <c r="O70" s="24" t="s">
        <v>19</v>
      </c>
    </row>
    <row r="71" spans="1:15" ht="30" customHeight="1">
      <c r="A71" s="7" t="s">
        <v>16</v>
      </c>
      <c r="B71" s="34" t="s">
        <v>605</v>
      </c>
      <c r="C71" s="34" t="s">
        <v>319</v>
      </c>
      <c r="D71" s="31">
        <v>7900.726921908783</v>
      </c>
      <c r="E71" s="32">
        <v>6680.8857939189193</v>
      </c>
      <c r="F71" s="31">
        <f t="shared" si="1"/>
        <v>1219.8411279898637</v>
      </c>
      <c r="G71" s="33">
        <v>135</v>
      </c>
      <c r="H71" s="33">
        <v>1</v>
      </c>
      <c r="I71" s="6" t="s">
        <v>94</v>
      </c>
      <c r="J71" s="34">
        <v>40.874026666600002</v>
      </c>
      <c r="K71" s="34">
        <v>72.094549999700007</v>
      </c>
      <c r="L71" s="19">
        <v>100</v>
      </c>
      <c r="M71" s="12" t="s">
        <v>102</v>
      </c>
      <c r="N71" s="12"/>
      <c r="O71" s="24" t="s">
        <v>19</v>
      </c>
    </row>
    <row r="72" spans="1:15" ht="30" customHeight="1">
      <c r="A72" s="5" t="s">
        <v>103</v>
      </c>
      <c r="B72" s="34" t="s">
        <v>607</v>
      </c>
      <c r="C72" s="34" t="s">
        <v>399</v>
      </c>
      <c r="D72" s="31">
        <v>7511.3944519087818</v>
      </c>
      <c r="E72" s="32">
        <v>6340.2624605855854</v>
      </c>
      <c r="F72" s="31">
        <f t="shared" si="1"/>
        <v>1171.1319913231964</v>
      </c>
      <c r="G72" s="33">
        <v>64</v>
      </c>
      <c r="H72" s="33">
        <v>1</v>
      </c>
      <c r="I72" s="6" t="s">
        <v>104</v>
      </c>
      <c r="J72" s="34">
        <v>40.875187246099998</v>
      </c>
      <c r="K72" s="34">
        <v>71.961364354899999</v>
      </c>
      <c r="L72" s="20">
        <v>60</v>
      </c>
      <c r="M72" s="12" t="s">
        <v>105</v>
      </c>
      <c r="N72" s="12"/>
      <c r="O72" s="24" t="s">
        <v>19</v>
      </c>
    </row>
    <row r="73" spans="1:15" ht="30" customHeight="1">
      <c r="A73" s="5" t="s">
        <v>103</v>
      </c>
      <c r="B73" s="34" t="s">
        <v>605</v>
      </c>
      <c r="C73" s="34" t="s">
        <v>338</v>
      </c>
      <c r="D73" s="31">
        <v>5734.0370719087814</v>
      </c>
      <c r="E73" s="32">
        <v>4785.2691272522525</v>
      </c>
      <c r="F73" s="31">
        <f t="shared" si="1"/>
        <v>948.76794465652893</v>
      </c>
      <c r="G73" s="33">
        <v>27</v>
      </c>
      <c r="H73" s="33">
        <v>0</v>
      </c>
      <c r="I73" s="3" t="s">
        <v>106</v>
      </c>
      <c r="J73" s="34">
        <v>40.876370000000001</v>
      </c>
      <c r="K73" s="34">
        <v>71.934290000000004</v>
      </c>
      <c r="L73" s="20">
        <v>100</v>
      </c>
      <c r="M73" s="12" t="s">
        <v>107</v>
      </c>
      <c r="N73" s="12"/>
      <c r="O73" s="24" t="s">
        <v>19</v>
      </c>
    </row>
    <row r="74" spans="1:15" ht="30" customHeight="1">
      <c r="A74" s="5" t="s">
        <v>103</v>
      </c>
      <c r="B74" s="34" t="s">
        <v>608</v>
      </c>
      <c r="C74" s="34" t="s">
        <v>400</v>
      </c>
      <c r="D74" s="31">
        <v>2627.9726719087826</v>
      </c>
      <c r="E74" s="32">
        <v>2067.8024605855853</v>
      </c>
      <c r="F74" s="31">
        <f t="shared" si="1"/>
        <v>560.17021132319724</v>
      </c>
      <c r="G74" s="33">
        <v>109</v>
      </c>
      <c r="H74" s="33">
        <v>1</v>
      </c>
      <c r="I74" s="3" t="s">
        <v>106</v>
      </c>
      <c r="J74" s="34">
        <v>40.871744999999997</v>
      </c>
      <c r="K74" s="34">
        <v>71.974869999999996</v>
      </c>
      <c r="L74" s="20">
        <v>160</v>
      </c>
      <c r="M74" s="12"/>
      <c r="N74" s="12" t="s">
        <v>108</v>
      </c>
      <c r="O74" s="24" t="s">
        <v>19</v>
      </c>
    </row>
    <row r="75" spans="1:15" ht="30" customHeight="1">
      <c r="A75" s="5" t="s">
        <v>103</v>
      </c>
      <c r="B75" s="34" t="s">
        <v>608</v>
      </c>
      <c r="C75" s="34" t="s">
        <v>401</v>
      </c>
      <c r="D75" s="31">
        <v>2857.0527319087814</v>
      </c>
      <c r="E75" s="32">
        <v>2268.2224605855849</v>
      </c>
      <c r="F75" s="31">
        <f t="shared" si="1"/>
        <v>588.83027132319648</v>
      </c>
      <c r="G75" s="33">
        <v>11</v>
      </c>
      <c r="H75" s="33">
        <v>0</v>
      </c>
      <c r="I75" s="3" t="s">
        <v>106</v>
      </c>
      <c r="J75" s="34">
        <v>40.876070782500001</v>
      </c>
      <c r="K75" s="34">
        <v>71.971403360400004</v>
      </c>
      <c r="L75" s="20">
        <v>250</v>
      </c>
      <c r="M75" s="12" t="s">
        <v>109</v>
      </c>
      <c r="N75" s="12"/>
      <c r="O75" s="24" t="s">
        <v>19</v>
      </c>
    </row>
    <row r="76" spans="1:15" ht="30" customHeight="1">
      <c r="A76" s="5" t="s">
        <v>103</v>
      </c>
      <c r="B76" s="34" t="s">
        <v>608</v>
      </c>
      <c r="C76" s="34" t="s">
        <v>402</v>
      </c>
      <c r="D76" s="31">
        <v>8617.2736219087819</v>
      </c>
      <c r="E76" s="32">
        <v>7307.7857939189189</v>
      </c>
      <c r="F76" s="31">
        <f t="shared" si="1"/>
        <v>1309.487827989863</v>
      </c>
      <c r="G76" s="33">
        <v>60</v>
      </c>
      <c r="H76" s="33">
        <v>0</v>
      </c>
      <c r="I76" s="3" t="s">
        <v>111</v>
      </c>
      <c r="J76" s="34">
        <v>40.882694999999998</v>
      </c>
      <c r="K76" s="34">
        <v>71.966549999999998</v>
      </c>
      <c r="L76" s="20">
        <v>250</v>
      </c>
      <c r="M76" s="12" t="s">
        <v>112</v>
      </c>
      <c r="N76" s="12"/>
      <c r="O76" s="24" t="s">
        <v>19</v>
      </c>
    </row>
    <row r="77" spans="1:15" ht="30" customHeight="1">
      <c r="A77" s="5" t="s">
        <v>103</v>
      </c>
      <c r="B77" s="34" t="s">
        <v>605</v>
      </c>
      <c r="C77" s="34" t="s">
        <v>325</v>
      </c>
      <c r="D77" s="31">
        <v>6623.8435219087814</v>
      </c>
      <c r="E77" s="32">
        <v>5563.7524605855842</v>
      </c>
      <c r="F77" s="31">
        <f t="shared" si="1"/>
        <v>1060.0910613231972</v>
      </c>
      <c r="G77" s="33">
        <v>95</v>
      </c>
      <c r="H77" s="33">
        <v>0</v>
      </c>
      <c r="I77" s="3" t="s">
        <v>111</v>
      </c>
      <c r="J77" s="34">
        <v>40.881264999999999</v>
      </c>
      <c r="K77" s="34">
        <v>71.952876666700007</v>
      </c>
      <c r="L77" s="20">
        <v>160</v>
      </c>
      <c r="M77" s="12" t="s">
        <v>113</v>
      </c>
      <c r="N77" s="12"/>
      <c r="O77" s="24" t="s">
        <v>19</v>
      </c>
    </row>
    <row r="78" spans="1:15" ht="30" customHeight="1">
      <c r="A78" s="5" t="s">
        <v>103</v>
      </c>
      <c r="B78" s="34" t="s">
        <v>608</v>
      </c>
      <c r="C78" s="34" t="s">
        <v>403</v>
      </c>
      <c r="D78" s="31">
        <v>12762.286921908786</v>
      </c>
      <c r="E78" s="32">
        <v>10934.219127252252</v>
      </c>
      <c r="F78" s="31">
        <f t="shared" si="1"/>
        <v>1828.0677946565338</v>
      </c>
      <c r="G78" s="33">
        <v>93</v>
      </c>
      <c r="H78" s="33">
        <v>0</v>
      </c>
      <c r="I78" s="3" t="s">
        <v>114</v>
      </c>
      <c r="J78" s="34">
        <v>40.879336666500002</v>
      </c>
      <c r="K78" s="34">
        <v>71.986581666700005</v>
      </c>
      <c r="L78" s="20">
        <v>100</v>
      </c>
      <c r="M78" s="12" t="s">
        <v>115</v>
      </c>
      <c r="N78" s="12"/>
      <c r="O78" s="24" t="s">
        <v>19</v>
      </c>
    </row>
    <row r="79" spans="1:15" ht="30" customHeight="1">
      <c r="A79" s="5" t="s">
        <v>103</v>
      </c>
      <c r="B79" s="34" t="s">
        <v>608</v>
      </c>
      <c r="C79" s="34" t="s">
        <v>404</v>
      </c>
      <c r="D79" s="31">
        <v>24153.893551908783</v>
      </c>
      <c r="E79" s="32">
        <v>20900.629127252254</v>
      </c>
      <c r="F79" s="31">
        <f t="shared" si="1"/>
        <v>3253.2644246565287</v>
      </c>
      <c r="G79" s="33">
        <v>104</v>
      </c>
      <c r="H79" s="33">
        <v>3</v>
      </c>
      <c r="I79" s="3" t="s">
        <v>116</v>
      </c>
      <c r="J79" s="34">
        <v>40.874789999999997</v>
      </c>
      <c r="K79" s="34">
        <v>71.973321666700002</v>
      </c>
      <c r="L79" s="20">
        <v>160</v>
      </c>
      <c r="M79" s="12" t="s">
        <v>117</v>
      </c>
      <c r="N79" s="12"/>
      <c r="O79" s="24" t="s">
        <v>19</v>
      </c>
    </row>
    <row r="80" spans="1:15" ht="30" customHeight="1">
      <c r="A80" s="5" t="s">
        <v>103</v>
      </c>
      <c r="B80" s="34" t="s">
        <v>608</v>
      </c>
      <c r="C80" s="34" t="s">
        <v>405</v>
      </c>
      <c r="D80" s="31">
        <v>4207.8691819087817</v>
      </c>
      <c r="E80" s="32">
        <v>3450.0391272522515</v>
      </c>
      <c r="F80" s="31">
        <f t="shared" si="1"/>
        <v>757.83005465653014</v>
      </c>
      <c r="G80" s="33">
        <v>54</v>
      </c>
      <c r="H80" s="33">
        <v>2</v>
      </c>
      <c r="I80" s="3" t="s">
        <v>118</v>
      </c>
      <c r="J80" s="34">
        <v>40.870626666699998</v>
      </c>
      <c r="K80" s="34">
        <v>72.030681666700005</v>
      </c>
      <c r="L80" s="20">
        <v>160</v>
      </c>
      <c r="M80" s="12" t="s">
        <v>119</v>
      </c>
      <c r="N80" s="12"/>
      <c r="O80" s="24" t="s">
        <v>19</v>
      </c>
    </row>
    <row r="81" spans="1:15" ht="30" customHeight="1">
      <c r="A81" s="5" t="s">
        <v>103</v>
      </c>
      <c r="B81" s="34" t="s">
        <v>608</v>
      </c>
      <c r="C81" s="34" t="s">
        <v>406</v>
      </c>
      <c r="D81" s="31">
        <v>5484.4630219087803</v>
      </c>
      <c r="E81" s="32">
        <v>4566.9191272522512</v>
      </c>
      <c r="F81" s="31">
        <f t="shared" si="1"/>
        <v>917.54389465652912</v>
      </c>
      <c r="G81" s="33">
        <v>92</v>
      </c>
      <c r="H81" s="33">
        <v>1</v>
      </c>
      <c r="I81" s="3" t="s">
        <v>120</v>
      </c>
      <c r="J81" s="34">
        <v>40.885669999999998</v>
      </c>
      <c r="K81" s="34">
        <v>71.975136666699996</v>
      </c>
      <c r="L81" s="20">
        <v>160</v>
      </c>
      <c r="M81" s="12" t="s">
        <v>121</v>
      </c>
      <c r="N81" s="12"/>
      <c r="O81" s="24" t="s">
        <v>19</v>
      </c>
    </row>
    <row r="82" spans="1:15" ht="30" customHeight="1">
      <c r="A82" s="7" t="s">
        <v>16</v>
      </c>
      <c r="B82" s="34" t="s">
        <v>608</v>
      </c>
      <c r="C82" s="34" t="s">
        <v>407</v>
      </c>
      <c r="D82" s="31">
        <v>3605.3291119087812</v>
      </c>
      <c r="E82" s="32">
        <v>2922.8824605855848</v>
      </c>
      <c r="F82" s="31">
        <f t="shared" si="1"/>
        <v>682.44665132319642</v>
      </c>
      <c r="G82" s="33">
        <v>76</v>
      </c>
      <c r="H82" s="33">
        <v>3</v>
      </c>
      <c r="I82" s="3" t="s">
        <v>58</v>
      </c>
      <c r="J82" s="34">
        <v>40.875881666700003</v>
      </c>
      <c r="K82" s="34">
        <v>71.976506666700004</v>
      </c>
      <c r="L82" s="20">
        <v>63</v>
      </c>
      <c r="M82" s="12" t="s">
        <v>122</v>
      </c>
      <c r="N82" s="12"/>
      <c r="O82" s="24" t="s">
        <v>19</v>
      </c>
    </row>
    <row r="83" spans="1:15" ht="30" customHeight="1">
      <c r="A83" s="5" t="s">
        <v>103</v>
      </c>
      <c r="B83" s="34" t="s">
        <v>610</v>
      </c>
      <c r="C83" s="34" t="s">
        <v>408</v>
      </c>
      <c r="D83" s="31">
        <v>8946.1452019087828</v>
      </c>
      <c r="E83" s="32">
        <v>7595.5124605855854</v>
      </c>
      <c r="F83" s="31">
        <f t="shared" si="1"/>
        <v>1350.6327413231975</v>
      </c>
      <c r="G83" s="33">
        <v>152</v>
      </c>
      <c r="H83" s="33">
        <v>1</v>
      </c>
      <c r="I83" s="3" t="s">
        <v>123</v>
      </c>
      <c r="J83" s="34">
        <v>40.876424999999998</v>
      </c>
      <c r="K83" s="34">
        <v>72.024273333300002</v>
      </c>
      <c r="L83" s="20">
        <v>100</v>
      </c>
      <c r="M83" s="12" t="s">
        <v>124</v>
      </c>
      <c r="N83" s="12"/>
      <c r="O83" s="24" t="s">
        <v>19</v>
      </c>
    </row>
    <row r="84" spans="1:15" ht="30" customHeight="1">
      <c r="A84" s="7" t="s">
        <v>16</v>
      </c>
      <c r="B84" s="34" t="s">
        <v>608</v>
      </c>
      <c r="C84" s="34" t="s">
        <v>409</v>
      </c>
      <c r="D84" s="31">
        <v>4425.7135519087824</v>
      </c>
      <c r="E84" s="32">
        <v>3640.6291272522517</v>
      </c>
      <c r="F84" s="31">
        <f t="shared" si="1"/>
        <v>785.0844246565307</v>
      </c>
      <c r="G84" s="33">
        <v>167</v>
      </c>
      <c r="H84" s="33">
        <v>1</v>
      </c>
      <c r="I84" s="3"/>
      <c r="J84" s="34">
        <v>40.870156999999999</v>
      </c>
      <c r="K84" s="34">
        <v>71.971063000000001</v>
      </c>
      <c r="L84" s="20">
        <v>100</v>
      </c>
      <c r="M84" s="12"/>
      <c r="N84" s="12" t="s">
        <v>125</v>
      </c>
      <c r="O84" s="24" t="s">
        <v>19</v>
      </c>
    </row>
    <row r="85" spans="1:15" ht="30" customHeight="1">
      <c r="A85" s="7" t="s">
        <v>16</v>
      </c>
      <c r="B85" s="34" t="s">
        <v>609</v>
      </c>
      <c r="C85" s="34" t="s">
        <v>410</v>
      </c>
      <c r="D85" s="31">
        <v>5948.5019719087823</v>
      </c>
      <c r="E85" s="32">
        <v>4972.9024605855848</v>
      </c>
      <c r="F85" s="31">
        <f t="shared" si="1"/>
        <v>975.59951132319748</v>
      </c>
      <c r="G85" s="33">
        <v>73</v>
      </c>
      <c r="H85" s="33">
        <v>1</v>
      </c>
      <c r="I85" s="3"/>
      <c r="J85" s="34">
        <v>40.8745966667</v>
      </c>
      <c r="K85" s="34">
        <v>71.988754999999998</v>
      </c>
      <c r="L85" s="20">
        <v>160</v>
      </c>
      <c r="M85" s="12" t="s">
        <v>126</v>
      </c>
      <c r="N85" s="12"/>
      <c r="O85" s="24" t="s">
        <v>19</v>
      </c>
    </row>
    <row r="86" spans="1:15" ht="30" customHeight="1">
      <c r="A86" s="7" t="s">
        <v>16</v>
      </c>
      <c r="B86" s="34" t="s">
        <v>610</v>
      </c>
      <c r="C86" s="34" t="s">
        <v>411</v>
      </c>
      <c r="D86" s="31">
        <v>4916.3958319087815</v>
      </c>
      <c r="E86" s="32">
        <v>4069.9224605855848</v>
      </c>
      <c r="F86" s="31">
        <f t="shared" si="1"/>
        <v>846.47337132319672</v>
      </c>
      <c r="G86" s="33">
        <v>55</v>
      </c>
      <c r="H86" s="33">
        <v>1</v>
      </c>
      <c r="I86" s="4"/>
      <c r="J86" s="34">
        <v>40.878901666700003</v>
      </c>
      <c r="K86" s="34">
        <v>72.031078333300002</v>
      </c>
      <c r="L86" s="20">
        <v>250</v>
      </c>
      <c r="M86" s="12" t="s">
        <v>127</v>
      </c>
      <c r="N86" s="12"/>
      <c r="O86" s="24" t="s">
        <v>19</v>
      </c>
    </row>
    <row r="87" spans="1:15" ht="30" customHeight="1">
      <c r="A87" s="7" t="s">
        <v>16</v>
      </c>
      <c r="B87" s="34" t="s">
        <v>610</v>
      </c>
      <c r="C87" s="34" t="s">
        <v>412</v>
      </c>
      <c r="D87" s="31">
        <v>3532.1999719087817</v>
      </c>
      <c r="E87" s="32">
        <v>2858.9024605855848</v>
      </c>
      <c r="F87" s="31">
        <f t="shared" si="1"/>
        <v>673.29751132319689</v>
      </c>
      <c r="G87" s="33">
        <v>34</v>
      </c>
      <c r="H87" s="33">
        <v>0</v>
      </c>
      <c r="I87" s="4"/>
      <c r="J87" s="34">
        <v>40.877465000000001</v>
      </c>
      <c r="K87" s="34">
        <v>72.08811</v>
      </c>
      <c r="L87" s="20">
        <v>100</v>
      </c>
      <c r="M87" s="12"/>
      <c r="N87" s="12" t="s">
        <v>128</v>
      </c>
      <c r="O87" s="24" t="s">
        <v>19</v>
      </c>
    </row>
    <row r="88" spans="1:15" ht="30" customHeight="1">
      <c r="A88" s="7" t="s">
        <v>16</v>
      </c>
      <c r="B88" s="34" t="s">
        <v>610</v>
      </c>
      <c r="C88" s="34" t="s">
        <v>413</v>
      </c>
      <c r="D88" s="31">
        <v>5188.3345819087817</v>
      </c>
      <c r="E88" s="32">
        <v>4307.8391272522513</v>
      </c>
      <c r="F88" s="31">
        <f t="shared" si="1"/>
        <v>880.49545465653046</v>
      </c>
      <c r="G88" s="33">
        <v>90</v>
      </c>
      <c r="H88" s="33">
        <v>2</v>
      </c>
      <c r="I88" s="4"/>
      <c r="J88" s="34">
        <v>40.875194999999998</v>
      </c>
      <c r="K88" s="34">
        <v>72.038955000000001</v>
      </c>
      <c r="L88" s="20">
        <v>100</v>
      </c>
      <c r="M88" s="12" t="s">
        <v>129</v>
      </c>
      <c r="N88" s="12"/>
      <c r="O88" s="24" t="s">
        <v>19</v>
      </c>
    </row>
    <row r="89" spans="1:15" ht="30" customHeight="1">
      <c r="A89" s="7" t="s">
        <v>16</v>
      </c>
      <c r="B89" s="34" t="s">
        <v>610</v>
      </c>
      <c r="C89" s="34" t="s">
        <v>414</v>
      </c>
      <c r="D89" s="31">
        <v>2274.5799319087823</v>
      </c>
      <c r="E89" s="32">
        <v>1758.6224605855853</v>
      </c>
      <c r="F89" s="31">
        <f t="shared" si="1"/>
        <v>515.95747132319707</v>
      </c>
      <c r="G89" s="33">
        <v>72</v>
      </c>
      <c r="H89" s="33">
        <v>0</v>
      </c>
      <c r="I89" s="4" t="s">
        <v>17</v>
      </c>
      <c r="J89" s="34">
        <v>40.879893333299997</v>
      </c>
      <c r="K89" s="34">
        <v>72.067336666700001</v>
      </c>
      <c r="L89" s="20">
        <v>250</v>
      </c>
      <c r="M89" s="12" t="s">
        <v>130</v>
      </c>
      <c r="N89" s="12"/>
      <c r="O89" s="24" t="s">
        <v>19</v>
      </c>
    </row>
    <row r="90" spans="1:15" ht="30" customHeight="1">
      <c r="A90" s="7" t="s">
        <v>16</v>
      </c>
      <c r="B90" s="34" t="s">
        <v>610</v>
      </c>
      <c r="C90" s="34" t="s">
        <v>415</v>
      </c>
      <c r="D90" s="31">
        <v>9165.1821019087838</v>
      </c>
      <c r="E90" s="32">
        <v>7787.1457939189204</v>
      </c>
      <c r="F90" s="31">
        <f t="shared" si="1"/>
        <v>1378.0363079898634</v>
      </c>
      <c r="G90" s="33">
        <v>78</v>
      </c>
      <c r="H90" s="33">
        <v>0</v>
      </c>
      <c r="I90" s="4" t="s">
        <v>64</v>
      </c>
      <c r="J90" s="34">
        <v>40.878976666699998</v>
      </c>
      <c r="K90" s="34">
        <v>72.029004999999998</v>
      </c>
      <c r="L90" s="14">
        <v>250</v>
      </c>
      <c r="M90" s="12" t="s">
        <v>131</v>
      </c>
      <c r="N90" s="12"/>
      <c r="O90" s="24" t="s">
        <v>19</v>
      </c>
    </row>
    <row r="91" spans="1:15" ht="30" customHeight="1">
      <c r="A91" s="7" t="s">
        <v>16</v>
      </c>
      <c r="B91" s="34" t="s">
        <v>605</v>
      </c>
      <c r="C91" s="34" t="s">
        <v>342</v>
      </c>
      <c r="D91" s="31">
        <v>8092.895701908782</v>
      </c>
      <c r="E91" s="32">
        <v>6849.0124605855854</v>
      </c>
      <c r="F91" s="31">
        <f t="shared" si="1"/>
        <v>1243.8832413231967</v>
      </c>
      <c r="G91" s="33">
        <v>124</v>
      </c>
      <c r="H91" s="33">
        <v>1</v>
      </c>
      <c r="I91" s="4" t="s">
        <v>58</v>
      </c>
      <c r="J91" s="34">
        <v>40.881158094900002</v>
      </c>
      <c r="K91" s="34">
        <v>71.960061555699994</v>
      </c>
      <c r="L91" s="14">
        <v>250</v>
      </c>
      <c r="M91" s="12" t="s">
        <v>132</v>
      </c>
      <c r="N91" s="12"/>
      <c r="O91" s="24" t="s">
        <v>19</v>
      </c>
    </row>
    <row r="92" spans="1:15" ht="30" customHeight="1">
      <c r="A92" s="7" t="s">
        <v>16</v>
      </c>
      <c r="B92" s="34" t="s">
        <v>609</v>
      </c>
      <c r="C92" s="34" t="s">
        <v>416</v>
      </c>
      <c r="D92" s="31">
        <v>7611.4107619087808</v>
      </c>
      <c r="E92" s="32">
        <v>6427.7657939189185</v>
      </c>
      <c r="F92" s="31">
        <f t="shared" si="1"/>
        <v>1183.6449679898624</v>
      </c>
      <c r="G92" s="33">
        <v>93</v>
      </c>
      <c r="H92" s="33">
        <v>2</v>
      </c>
      <c r="I92" s="4" t="s">
        <v>133</v>
      </c>
      <c r="J92" s="34">
        <v>40.880791666699999</v>
      </c>
      <c r="K92" s="34">
        <v>72.024038333299998</v>
      </c>
      <c r="L92" s="14">
        <v>160</v>
      </c>
      <c r="M92" s="12" t="s">
        <v>134</v>
      </c>
      <c r="N92" s="12"/>
      <c r="O92" s="24" t="s">
        <v>19</v>
      </c>
    </row>
    <row r="93" spans="1:15" ht="30" customHeight="1">
      <c r="A93" s="7" t="s">
        <v>16</v>
      </c>
      <c r="B93" s="34" t="s">
        <v>610</v>
      </c>
      <c r="C93" s="34" t="s">
        <v>417</v>
      </c>
      <c r="D93" s="31">
        <v>8241.1961419087838</v>
      </c>
      <c r="E93" s="32">
        <v>6978.7591272522541</v>
      </c>
      <c r="F93" s="31">
        <f t="shared" si="1"/>
        <v>1262.4370146565298</v>
      </c>
      <c r="G93" s="33">
        <v>94</v>
      </c>
      <c r="H93" s="33">
        <v>1</v>
      </c>
      <c r="I93" s="4" t="s">
        <v>58</v>
      </c>
      <c r="J93" s="34">
        <v>40.880018333300001</v>
      </c>
      <c r="K93" s="34">
        <v>72.078343333299998</v>
      </c>
      <c r="L93" s="14">
        <v>100</v>
      </c>
      <c r="M93" s="12" t="s">
        <v>135</v>
      </c>
      <c r="N93" s="12"/>
      <c r="O93" s="24" t="s">
        <v>19</v>
      </c>
    </row>
    <row r="94" spans="1:15" ht="30" customHeight="1">
      <c r="A94" s="7" t="s">
        <v>16</v>
      </c>
      <c r="B94" s="34" t="s">
        <v>608</v>
      </c>
      <c r="C94" s="34" t="s">
        <v>418</v>
      </c>
      <c r="D94" s="31">
        <v>12626.247061908785</v>
      </c>
      <c r="E94" s="32">
        <v>10815.199127252252</v>
      </c>
      <c r="F94" s="31">
        <f t="shared" si="1"/>
        <v>1811.0479346565335</v>
      </c>
      <c r="G94" s="33">
        <v>149</v>
      </c>
      <c r="H94" s="33">
        <v>1</v>
      </c>
      <c r="I94" s="3" t="s">
        <v>17</v>
      </c>
      <c r="J94" s="34">
        <v>40.878603333299999</v>
      </c>
      <c r="K94" s="34">
        <v>71.966620000000006</v>
      </c>
      <c r="L94" s="14">
        <v>100</v>
      </c>
      <c r="M94" s="12" t="s">
        <v>136</v>
      </c>
      <c r="N94" s="12"/>
      <c r="O94" s="24" t="s">
        <v>19</v>
      </c>
    </row>
    <row r="95" spans="1:15" ht="30" customHeight="1">
      <c r="A95" s="7" t="s">
        <v>16</v>
      </c>
      <c r="B95" s="34" t="s">
        <v>611</v>
      </c>
      <c r="C95" s="34" t="s">
        <v>419</v>
      </c>
      <c r="D95" s="31">
        <v>5036.9709019087813</v>
      </c>
      <c r="E95" s="32">
        <v>4175.412460585585</v>
      </c>
      <c r="F95" s="31">
        <f t="shared" si="1"/>
        <v>861.55844132319635</v>
      </c>
      <c r="G95" s="33">
        <v>96</v>
      </c>
      <c r="H95" s="33">
        <v>2</v>
      </c>
      <c r="I95" s="5" t="s">
        <v>133</v>
      </c>
      <c r="J95" s="34">
        <v>40.858133333300003</v>
      </c>
      <c r="K95" s="34">
        <v>72.060698333299996</v>
      </c>
      <c r="L95" s="14">
        <v>100</v>
      </c>
      <c r="M95" s="12" t="s">
        <v>137</v>
      </c>
      <c r="N95" s="12"/>
      <c r="O95" s="24" t="s">
        <v>19</v>
      </c>
    </row>
    <row r="96" spans="1:15" ht="30" customHeight="1">
      <c r="A96" s="7" t="s">
        <v>16</v>
      </c>
      <c r="B96" s="34" t="s">
        <v>610</v>
      </c>
      <c r="C96" s="34" t="s">
        <v>420</v>
      </c>
      <c r="D96" s="31">
        <v>2717.3324119087824</v>
      </c>
      <c r="E96" s="32">
        <v>2145.9824605855852</v>
      </c>
      <c r="F96" s="31">
        <f t="shared" si="1"/>
        <v>571.34995132319727</v>
      </c>
      <c r="G96" s="33">
        <v>63</v>
      </c>
      <c r="H96" s="33">
        <v>2</v>
      </c>
      <c r="I96" s="5" t="s">
        <v>133</v>
      </c>
      <c r="J96" s="34">
        <v>40.879048333299998</v>
      </c>
      <c r="K96" s="34">
        <v>72.052588333299994</v>
      </c>
      <c r="L96" s="14">
        <v>100</v>
      </c>
      <c r="M96" s="12" t="s">
        <v>138</v>
      </c>
      <c r="N96" s="12"/>
      <c r="O96" s="24" t="s">
        <v>19</v>
      </c>
    </row>
    <row r="97" spans="1:15" ht="30" customHeight="1">
      <c r="A97" s="7" t="s">
        <v>16</v>
      </c>
      <c r="B97" s="34" t="s">
        <v>609</v>
      </c>
      <c r="C97" s="34" t="s">
        <v>421</v>
      </c>
      <c r="D97" s="31">
        <v>5518.8292219087807</v>
      </c>
      <c r="E97" s="32">
        <v>4596.9857939189178</v>
      </c>
      <c r="F97" s="31">
        <f t="shared" si="1"/>
        <v>921.8434279898629</v>
      </c>
      <c r="G97" s="33">
        <v>57</v>
      </c>
      <c r="H97" s="33">
        <v>0</v>
      </c>
      <c r="I97" s="5"/>
      <c r="J97" s="34">
        <v>40.877659999999999</v>
      </c>
      <c r="K97" s="34">
        <v>72.015798333299998</v>
      </c>
      <c r="L97" s="14">
        <v>160</v>
      </c>
      <c r="M97" s="12" t="s">
        <v>139</v>
      </c>
      <c r="N97" s="12"/>
      <c r="O97" s="24" t="s">
        <v>19</v>
      </c>
    </row>
    <row r="98" spans="1:15" ht="30" customHeight="1">
      <c r="A98" s="7" t="s">
        <v>16</v>
      </c>
      <c r="B98" s="34" t="s">
        <v>610</v>
      </c>
      <c r="C98" s="34" t="s">
        <v>422</v>
      </c>
      <c r="D98" s="31">
        <v>1024.1684119087822</v>
      </c>
      <c r="E98" s="32">
        <v>664.6491272522519</v>
      </c>
      <c r="F98" s="31">
        <f t="shared" si="1"/>
        <v>359.51928465653032</v>
      </c>
      <c r="G98" s="33">
        <v>15</v>
      </c>
      <c r="H98" s="33">
        <v>0</v>
      </c>
      <c r="I98" s="5" t="s">
        <v>17</v>
      </c>
      <c r="J98" s="34">
        <v>40.877465000000001</v>
      </c>
      <c r="K98" s="34">
        <v>72.08811</v>
      </c>
      <c r="L98" s="14">
        <v>160</v>
      </c>
      <c r="M98" s="12" t="s">
        <v>140</v>
      </c>
      <c r="N98" s="12"/>
      <c r="O98" s="24" t="s">
        <v>19</v>
      </c>
    </row>
    <row r="99" spans="1:15" ht="30" customHeight="1">
      <c r="A99" s="7" t="s">
        <v>16</v>
      </c>
      <c r="B99" s="34" t="s">
        <v>610</v>
      </c>
      <c r="C99" s="34" t="s">
        <v>423</v>
      </c>
      <c r="D99" s="31">
        <v>5457.0881719087829</v>
      </c>
      <c r="E99" s="32">
        <v>4542.9691272522514</v>
      </c>
      <c r="F99" s="31">
        <f t="shared" si="1"/>
        <v>914.11904465653151</v>
      </c>
      <c r="G99" s="33">
        <v>76</v>
      </c>
      <c r="H99" s="33">
        <v>1</v>
      </c>
      <c r="I99" s="5" t="s">
        <v>58</v>
      </c>
      <c r="J99" s="34">
        <v>40.875548333300003</v>
      </c>
      <c r="K99" s="34">
        <v>72.079404999999994</v>
      </c>
      <c r="L99" s="19">
        <v>160</v>
      </c>
      <c r="M99" s="12" t="s">
        <v>141</v>
      </c>
      <c r="N99" s="12"/>
      <c r="O99" s="24" t="s">
        <v>19</v>
      </c>
    </row>
    <row r="100" spans="1:15" ht="30" customHeight="1">
      <c r="A100" s="7" t="s">
        <v>16</v>
      </c>
      <c r="B100" s="34" t="s">
        <v>610</v>
      </c>
      <c r="C100" s="34" t="s">
        <v>424</v>
      </c>
      <c r="D100" s="31">
        <v>2747.5533319087826</v>
      </c>
      <c r="E100" s="32">
        <v>2172.4224605855857</v>
      </c>
      <c r="F100" s="31">
        <f t="shared" si="1"/>
        <v>575.13087132319697</v>
      </c>
      <c r="G100" s="33">
        <v>40</v>
      </c>
      <c r="H100" s="33">
        <v>1</v>
      </c>
      <c r="I100" s="12" t="s">
        <v>20</v>
      </c>
      <c r="J100" s="34">
        <v>40.883151666700002</v>
      </c>
      <c r="K100" s="34">
        <v>72.085181666699995</v>
      </c>
      <c r="L100" s="20">
        <v>63</v>
      </c>
      <c r="M100" s="12" t="s">
        <v>142</v>
      </c>
      <c r="N100" s="12"/>
      <c r="O100" s="24" t="s">
        <v>19</v>
      </c>
    </row>
    <row r="101" spans="1:15" ht="30" customHeight="1">
      <c r="A101" s="7" t="s">
        <v>16</v>
      </c>
      <c r="B101" s="34" t="s">
        <v>611</v>
      </c>
      <c r="C101" s="34" t="s">
        <v>425</v>
      </c>
      <c r="D101" s="31">
        <v>4397.0394919087812</v>
      </c>
      <c r="E101" s="32">
        <v>3615.5424605855846</v>
      </c>
      <c r="F101" s="31">
        <f t="shared" si="1"/>
        <v>781.49703132319655</v>
      </c>
      <c r="G101" s="33">
        <v>67</v>
      </c>
      <c r="H101" s="33">
        <v>1</v>
      </c>
      <c r="I101" s="12" t="s">
        <v>26</v>
      </c>
      <c r="J101" s="34">
        <v>40.858853333299997</v>
      </c>
      <c r="K101" s="34">
        <v>72.0770083333</v>
      </c>
      <c r="L101" s="20">
        <v>400</v>
      </c>
      <c r="M101" s="12" t="s">
        <v>143</v>
      </c>
      <c r="N101" s="12"/>
      <c r="O101" s="24" t="s">
        <v>19</v>
      </c>
    </row>
    <row r="102" spans="1:15" ht="30" customHeight="1">
      <c r="A102" s="7" t="s">
        <v>16</v>
      </c>
      <c r="B102" s="34" t="s">
        <v>611</v>
      </c>
      <c r="C102" s="34" t="s">
        <v>426</v>
      </c>
      <c r="D102" s="31">
        <v>755.73486190878214</v>
      </c>
      <c r="E102" s="32">
        <v>429.79912725225182</v>
      </c>
      <c r="F102" s="31">
        <f t="shared" si="1"/>
        <v>325.93573465653031</v>
      </c>
      <c r="G102" s="33">
        <v>10</v>
      </c>
      <c r="H102" s="33">
        <v>0</v>
      </c>
      <c r="I102" s="12" t="s">
        <v>26</v>
      </c>
      <c r="J102" s="34">
        <v>40.874026666600002</v>
      </c>
      <c r="K102" s="34">
        <v>72.094549999700007</v>
      </c>
      <c r="L102" s="20">
        <v>320</v>
      </c>
      <c r="M102" s="12" t="s">
        <v>144</v>
      </c>
      <c r="N102" s="12"/>
      <c r="O102" s="24" t="s">
        <v>19</v>
      </c>
    </row>
    <row r="103" spans="1:15" ht="30" customHeight="1">
      <c r="A103" s="7" t="s">
        <v>16</v>
      </c>
      <c r="B103" s="34" t="s">
        <v>608</v>
      </c>
      <c r="C103" s="34" t="s">
        <v>427</v>
      </c>
      <c r="D103" s="31">
        <v>11621.603401908784</v>
      </c>
      <c r="E103" s="32">
        <v>9936.2457939189208</v>
      </c>
      <c r="F103" s="31">
        <f t="shared" si="1"/>
        <v>1685.357607989863</v>
      </c>
      <c r="G103" s="33">
        <v>149</v>
      </c>
      <c r="H103" s="33">
        <v>3</v>
      </c>
      <c r="I103" s="12" t="s">
        <v>26</v>
      </c>
      <c r="J103" s="34">
        <v>40.876869999999997</v>
      </c>
      <c r="K103" s="34">
        <v>71.973841666699997</v>
      </c>
      <c r="L103" s="20">
        <v>160</v>
      </c>
      <c r="M103" s="12" t="s">
        <v>145</v>
      </c>
      <c r="N103" s="12"/>
      <c r="O103" s="24" t="s">
        <v>19</v>
      </c>
    </row>
    <row r="104" spans="1:15" ht="30" customHeight="1">
      <c r="A104" s="7" t="s">
        <v>16</v>
      </c>
      <c r="B104" s="34" t="s">
        <v>612</v>
      </c>
      <c r="C104" s="34" t="s">
        <v>428</v>
      </c>
      <c r="D104" s="31">
        <v>4859.7792319087821</v>
      </c>
      <c r="E104" s="32">
        <v>4020.389127252251</v>
      </c>
      <c r="F104" s="31">
        <f t="shared" si="1"/>
        <v>839.39010465653109</v>
      </c>
      <c r="G104" s="33">
        <v>63</v>
      </c>
      <c r="H104" s="33">
        <v>0</v>
      </c>
      <c r="I104" s="12" t="s">
        <v>26</v>
      </c>
      <c r="J104" s="34">
        <v>40.849305000000001</v>
      </c>
      <c r="K104" s="34">
        <v>72.038023333300004</v>
      </c>
      <c r="L104" s="20">
        <v>100</v>
      </c>
      <c r="M104" s="12" t="s">
        <v>146</v>
      </c>
      <c r="N104" s="12"/>
      <c r="O104" s="24" t="s">
        <v>19</v>
      </c>
    </row>
    <row r="105" spans="1:15" ht="30" customHeight="1">
      <c r="A105" s="7" t="s">
        <v>16</v>
      </c>
      <c r="B105" s="34" t="s">
        <v>612</v>
      </c>
      <c r="C105" s="34" t="s">
        <v>429</v>
      </c>
      <c r="D105" s="31">
        <v>8136.9393019087829</v>
      </c>
      <c r="E105" s="32">
        <v>6887.5457939189182</v>
      </c>
      <c r="F105" s="31">
        <f t="shared" si="1"/>
        <v>1249.3935079898647</v>
      </c>
      <c r="G105" s="33">
        <v>111</v>
      </c>
      <c r="H105" s="33">
        <v>33</v>
      </c>
      <c r="I105" s="12" t="s">
        <v>26</v>
      </c>
      <c r="J105" s="34">
        <v>40.848043333299998</v>
      </c>
      <c r="K105" s="34">
        <v>72.060901666700005</v>
      </c>
      <c r="L105" s="20">
        <v>160</v>
      </c>
      <c r="M105" s="12" t="s">
        <v>147</v>
      </c>
      <c r="N105" s="12"/>
      <c r="O105" s="24" t="s">
        <v>19</v>
      </c>
    </row>
    <row r="106" spans="1:15" ht="30" customHeight="1">
      <c r="A106" s="7" t="s">
        <v>16</v>
      </c>
      <c r="B106" s="34" t="s">
        <v>608</v>
      </c>
      <c r="C106" s="34" t="s">
        <v>430</v>
      </c>
      <c r="D106" s="31">
        <v>10233.772801908783</v>
      </c>
      <c r="E106" s="32">
        <v>8722.0457939189182</v>
      </c>
      <c r="F106" s="31">
        <f t="shared" si="1"/>
        <v>1511.7270079898644</v>
      </c>
      <c r="G106" s="33">
        <v>92</v>
      </c>
      <c r="H106" s="33">
        <v>0</v>
      </c>
      <c r="I106" s="12" t="s">
        <v>26</v>
      </c>
      <c r="J106" s="34">
        <v>40.8855233333</v>
      </c>
      <c r="K106" s="34">
        <v>71.964566666699994</v>
      </c>
      <c r="L106" s="20">
        <v>400</v>
      </c>
      <c r="M106" s="12" t="s">
        <v>148</v>
      </c>
      <c r="N106" s="12"/>
      <c r="O106" s="24" t="s">
        <v>19</v>
      </c>
    </row>
    <row r="107" spans="1:15" ht="30" customHeight="1">
      <c r="A107" s="7" t="s">
        <v>16</v>
      </c>
      <c r="B107" s="34" t="s">
        <v>611</v>
      </c>
      <c r="C107" s="34" t="s">
        <v>431</v>
      </c>
      <c r="D107" s="31">
        <v>3823.581151908782</v>
      </c>
      <c r="E107" s="32">
        <v>3113.8291272522515</v>
      </c>
      <c r="F107" s="31">
        <f t="shared" si="1"/>
        <v>709.75202465653047</v>
      </c>
      <c r="G107" s="33">
        <v>115</v>
      </c>
      <c r="H107" s="33">
        <v>4</v>
      </c>
      <c r="I107" s="12" t="s">
        <v>37</v>
      </c>
      <c r="J107" s="34">
        <v>40.867975000000001</v>
      </c>
      <c r="K107" s="34">
        <v>72.100838333300004</v>
      </c>
      <c r="L107" s="20">
        <v>160</v>
      </c>
      <c r="M107" s="12" t="s">
        <v>149</v>
      </c>
      <c r="N107" s="12"/>
      <c r="O107" s="24" t="s">
        <v>19</v>
      </c>
    </row>
    <row r="108" spans="1:15" ht="30" customHeight="1">
      <c r="A108" s="7" t="s">
        <v>16</v>
      </c>
      <c r="B108" s="34" t="s">
        <v>611</v>
      </c>
      <c r="C108" s="34" t="s">
        <v>432</v>
      </c>
      <c r="D108" s="31">
        <v>5692.5156919087813</v>
      </c>
      <c r="E108" s="32">
        <v>4748.9424605855847</v>
      </c>
      <c r="F108" s="31">
        <f t="shared" si="1"/>
        <v>943.57323132319652</v>
      </c>
      <c r="G108" s="33">
        <v>77</v>
      </c>
      <c r="H108" s="33">
        <v>2</v>
      </c>
      <c r="I108" s="12" t="s">
        <v>53</v>
      </c>
      <c r="J108" s="34">
        <v>40.872354999999999</v>
      </c>
      <c r="K108" s="34">
        <v>72.101595000000003</v>
      </c>
      <c r="L108" s="20">
        <v>100</v>
      </c>
      <c r="M108" s="12" t="s">
        <v>150</v>
      </c>
      <c r="N108" s="12"/>
      <c r="O108" s="24" t="s">
        <v>19</v>
      </c>
    </row>
    <row r="109" spans="1:15" ht="30" customHeight="1">
      <c r="A109" s="7" t="s">
        <v>16</v>
      </c>
      <c r="B109" s="34" t="s">
        <v>611</v>
      </c>
      <c r="C109" s="34" t="s">
        <v>433</v>
      </c>
      <c r="D109" s="31">
        <v>3267.6678619087816</v>
      </c>
      <c r="E109" s="32">
        <v>2627.4657939189187</v>
      </c>
      <c r="F109" s="31">
        <f t="shared" si="1"/>
        <v>640.20206798986283</v>
      </c>
      <c r="G109" s="33">
        <v>116</v>
      </c>
      <c r="H109" s="33">
        <v>1</v>
      </c>
      <c r="I109" s="12" t="s">
        <v>53</v>
      </c>
      <c r="J109" s="34">
        <v>40.874026666600002</v>
      </c>
      <c r="K109" s="34">
        <v>72.094549999700007</v>
      </c>
      <c r="L109" s="20">
        <v>100</v>
      </c>
      <c r="M109" s="12" t="s">
        <v>151</v>
      </c>
      <c r="N109" s="12"/>
      <c r="O109" s="24" t="s">
        <v>19</v>
      </c>
    </row>
    <row r="110" spans="1:15" ht="30" customHeight="1">
      <c r="A110" s="7" t="s">
        <v>16</v>
      </c>
      <c r="B110" s="34" t="s">
        <v>608</v>
      </c>
      <c r="C110" s="34" t="s">
        <v>434</v>
      </c>
      <c r="D110" s="31">
        <v>3622.1388319087819</v>
      </c>
      <c r="E110" s="32">
        <v>2937.5891272522517</v>
      </c>
      <c r="F110" s="31">
        <f t="shared" si="1"/>
        <v>684.54970465653014</v>
      </c>
      <c r="G110" s="33">
        <v>27</v>
      </c>
      <c r="H110" s="33">
        <v>0</v>
      </c>
      <c r="I110" s="12" t="s">
        <v>53</v>
      </c>
      <c r="J110" s="34">
        <v>40.887851666700001</v>
      </c>
      <c r="K110" s="34">
        <v>71.969193333299998</v>
      </c>
      <c r="L110" s="20">
        <v>160</v>
      </c>
      <c r="M110" s="12" t="s">
        <v>152</v>
      </c>
      <c r="N110" s="12"/>
      <c r="O110" s="24" t="s">
        <v>19</v>
      </c>
    </row>
    <row r="111" spans="1:15" ht="30" customHeight="1">
      <c r="A111" s="5" t="s">
        <v>103</v>
      </c>
      <c r="B111" s="34" t="s">
        <v>610</v>
      </c>
      <c r="C111" s="34" t="s">
        <v>435</v>
      </c>
      <c r="D111" s="31">
        <v>7303.7799319087817</v>
      </c>
      <c r="E111" s="32">
        <v>6158.6224605855859</v>
      </c>
      <c r="F111" s="31">
        <f t="shared" si="1"/>
        <v>1145.1574713231958</v>
      </c>
      <c r="G111" s="33">
        <v>101</v>
      </c>
      <c r="H111" s="33">
        <v>2</v>
      </c>
      <c r="I111" s="12" t="s">
        <v>153</v>
      </c>
      <c r="J111" s="34">
        <v>40.877478333299997</v>
      </c>
      <c r="K111" s="34">
        <v>72.076426666700002</v>
      </c>
      <c r="L111" s="20">
        <v>250</v>
      </c>
      <c r="M111" s="12" t="s">
        <v>154</v>
      </c>
      <c r="N111" s="12"/>
      <c r="O111" s="24" t="s">
        <v>19</v>
      </c>
    </row>
    <row r="112" spans="1:15" ht="30" customHeight="1">
      <c r="A112" s="5" t="s">
        <v>103</v>
      </c>
      <c r="B112" s="34" t="s">
        <v>611</v>
      </c>
      <c r="C112" s="34" t="s">
        <v>436</v>
      </c>
      <c r="D112" s="31">
        <v>5365.5834019087824</v>
      </c>
      <c r="E112" s="32">
        <v>4462.912460585585</v>
      </c>
      <c r="F112" s="31">
        <f t="shared" si="1"/>
        <v>902.67094132319744</v>
      </c>
      <c r="G112" s="33">
        <v>89</v>
      </c>
      <c r="H112" s="33">
        <v>2</v>
      </c>
      <c r="I112" s="12" t="s">
        <v>118</v>
      </c>
      <c r="J112" s="34">
        <v>40.870533333300003</v>
      </c>
      <c r="K112" s="34">
        <v>72.120976666700003</v>
      </c>
      <c r="L112" s="20">
        <v>100</v>
      </c>
      <c r="M112" s="12" t="s">
        <v>155</v>
      </c>
      <c r="N112" s="12"/>
      <c r="O112" s="24" t="s">
        <v>19</v>
      </c>
    </row>
    <row r="113" spans="1:15" ht="30" customHeight="1">
      <c r="A113" s="5" t="s">
        <v>103</v>
      </c>
      <c r="B113" s="34" t="s">
        <v>611</v>
      </c>
      <c r="C113" s="34" t="s">
        <v>437</v>
      </c>
      <c r="D113" s="31">
        <v>3890.1075619087819</v>
      </c>
      <c r="E113" s="32">
        <v>3172.0324605855844</v>
      </c>
      <c r="F113" s="31">
        <f t="shared" si="1"/>
        <v>718.07510132319749</v>
      </c>
      <c r="G113" s="33">
        <v>46</v>
      </c>
      <c r="H113" s="33">
        <v>2</v>
      </c>
      <c r="I113" s="12" t="s">
        <v>110</v>
      </c>
      <c r="J113" s="34">
        <v>40.859666666700001</v>
      </c>
      <c r="K113" s="34">
        <v>72.121076666700006</v>
      </c>
      <c r="L113" s="20">
        <v>63</v>
      </c>
      <c r="M113" s="12" t="s">
        <v>156</v>
      </c>
      <c r="N113" s="12"/>
      <c r="O113" s="24" t="s">
        <v>19</v>
      </c>
    </row>
    <row r="114" spans="1:15" ht="30" customHeight="1">
      <c r="A114" s="5" t="s">
        <v>103</v>
      </c>
      <c r="B114" s="34" t="s">
        <v>611</v>
      </c>
      <c r="C114" s="34" t="s">
        <v>438</v>
      </c>
      <c r="D114" s="31">
        <v>1256.4793519087823</v>
      </c>
      <c r="E114" s="32">
        <v>867.89579391891857</v>
      </c>
      <c r="F114" s="31">
        <f t="shared" si="1"/>
        <v>388.58355798986372</v>
      </c>
      <c r="G114" s="33">
        <v>36</v>
      </c>
      <c r="H114" s="33">
        <v>0</v>
      </c>
      <c r="I114" s="12" t="s">
        <v>26</v>
      </c>
      <c r="J114" s="34">
        <v>40.8576716667</v>
      </c>
      <c r="K114" s="34">
        <v>72.123549999999994</v>
      </c>
      <c r="L114" s="14">
        <v>40</v>
      </c>
      <c r="M114" s="12" t="s">
        <v>157</v>
      </c>
      <c r="N114" s="12"/>
      <c r="O114" s="24" t="s">
        <v>19</v>
      </c>
    </row>
    <row r="115" spans="1:15" ht="30" customHeight="1">
      <c r="A115" s="5" t="s">
        <v>103</v>
      </c>
      <c r="B115" s="34" t="s">
        <v>609</v>
      </c>
      <c r="C115" s="34" t="s">
        <v>439</v>
      </c>
      <c r="D115" s="31">
        <v>14806.725301908782</v>
      </c>
      <c r="E115" s="32">
        <v>12722.879127252252</v>
      </c>
      <c r="F115" s="31">
        <f t="shared" si="1"/>
        <v>2083.8461746565299</v>
      </c>
      <c r="G115" s="33">
        <v>103</v>
      </c>
      <c r="H115" s="33">
        <v>1</v>
      </c>
      <c r="I115" s="12" t="s">
        <v>111</v>
      </c>
      <c r="J115" s="34">
        <v>40.877068333300002</v>
      </c>
      <c r="K115" s="34">
        <v>71.983761666700005</v>
      </c>
      <c r="L115" s="14">
        <v>100</v>
      </c>
      <c r="M115" s="12" t="s">
        <v>158</v>
      </c>
      <c r="N115" s="12"/>
      <c r="O115" s="24" t="s">
        <v>19</v>
      </c>
    </row>
    <row r="116" spans="1:15" ht="30" customHeight="1">
      <c r="A116" s="5" t="s">
        <v>103</v>
      </c>
      <c r="B116" s="34" t="s">
        <v>605</v>
      </c>
      <c r="C116" s="34" t="s">
        <v>315</v>
      </c>
      <c r="D116" s="31">
        <v>4089.2562619087821</v>
      </c>
      <c r="E116" s="32">
        <v>3346.265793918918</v>
      </c>
      <c r="F116" s="31">
        <f t="shared" si="1"/>
        <v>742.9904679898641</v>
      </c>
      <c r="G116" s="33">
        <v>80</v>
      </c>
      <c r="H116" s="33">
        <v>2</v>
      </c>
      <c r="I116" s="12" t="s">
        <v>111</v>
      </c>
      <c r="J116" s="34">
        <v>40.865369999999999</v>
      </c>
      <c r="K116" s="34">
        <v>71.96087</v>
      </c>
      <c r="L116" s="19">
        <v>160</v>
      </c>
      <c r="M116" s="12" t="s">
        <v>159</v>
      </c>
      <c r="N116" s="12"/>
      <c r="O116" s="24" t="s">
        <v>19</v>
      </c>
    </row>
    <row r="117" spans="1:15" ht="30" customHeight="1">
      <c r="A117" s="5" t="s">
        <v>103</v>
      </c>
      <c r="B117" s="34" t="s">
        <v>611</v>
      </c>
      <c r="C117" s="34" t="s">
        <v>440</v>
      </c>
      <c r="D117" s="31">
        <v>1544.9725519087824</v>
      </c>
      <c r="E117" s="32">
        <v>1120.2957939189189</v>
      </c>
      <c r="F117" s="31">
        <f t="shared" si="1"/>
        <v>424.67675798986352</v>
      </c>
      <c r="G117" s="33">
        <v>41</v>
      </c>
      <c r="H117" s="33">
        <v>1</v>
      </c>
      <c r="I117" s="12" t="s">
        <v>160</v>
      </c>
      <c r="J117" s="34">
        <v>40.858196666700003</v>
      </c>
      <c r="K117" s="34">
        <v>72.1313583333</v>
      </c>
      <c r="L117" s="14">
        <v>100</v>
      </c>
      <c r="M117" s="12"/>
      <c r="N117" s="12" t="s">
        <v>161</v>
      </c>
      <c r="O117" s="24" t="s">
        <v>19</v>
      </c>
    </row>
    <row r="118" spans="1:15" ht="30" customHeight="1">
      <c r="A118" s="5" t="s">
        <v>103</v>
      </c>
      <c r="B118" s="34" t="s">
        <v>609</v>
      </c>
      <c r="C118" s="34" t="s">
        <v>441</v>
      </c>
      <c r="D118" s="31">
        <v>15298.593253908783</v>
      </c>
      <c r="E118" s="32">
        <v>13153.209793918919</v>
      </c>
      <c r="F118" s="31">
        <f t="shared" si="1"/>
        <v>2145.3834599898637</v>
      </c>
      <c r="G118" s="33">
        <v>160</v>
      </c>
      <c r="H118" s="33">
        <v>1</v>
      </c>
      <c r="I118" s="12" t="s">
        <v>160</v>
      </c>
      <c r="J118" s="34">
        <v>40.881914999999999</v>
      </c>
      <c r="K118" s="34">
        <v>71.997399999999999</v>
      </c>
      <c r="L118" s="26">
        <v>160</v>
      </c>
      <c r="M118" s="12" t="s">
        <v>162</v>
      </c>
      <c r="N118" s="12"/>
      <c r="O118" s="24" t="s">
        <v>19</v>
      </c>
    </row>
    <row r="119" spans="1:15" ht="30" customHeight="1">
      <c r="A119" s="5" t="s">
        <v>103</v>
      </c>
      <c r="B119" s="34" t="s">
        <v>609</v>
      </c>
      <c r="C119" s="34" t="s">
        <v>442</v>
      </c>
      <c r="D119" s="31">
        <v>11275.270591908782</v>
      </c>
      <c r="E119" s="32">
        <v>9633.2424605855849</v>
      </c>
      <c r="F119" s="31">
        <f t="shared" si="1"/>
        <v>1642.0281313231972</v>
      </c>
      <c r="G119" s="33">
        <v>130</v>
      </c>
      <c r="H119" s="33">
        <v>3</v>
      </c>
      <c r="I119" s="12" t="s">
        <v>56</v>
      </c>
      <c r="J119" s="34">
        <v>40.8827666667</v>
      </c>
      <c r="K119" s="34">
        <v>72.008274999999998</v>
      </c>
      <c r="L119" s="14">
        <v>250</v>
      </c>
      <c r="M119" s="12" t="s">
        <v>163</v>
      </c>
      <c r="N119" s="12"/>
      <c r="O119" s="24" t="s">
        <v>19</v>
      </c>
    </row>
    <row r="120" spans="1:15" ht="30" customHeight="1">
      <c r="A120" s="5" t="s">
        <v>103</v>
      </c>
      <c r="B120" s="34" t="s">
        <v>611</v>
      </c>
      <c r="C120" s="34" t="s">
        <v>443</v>
      </c>
      <c r="D120" s="31">
        <v>3132.8281519087818</v>
      </c>
      <c r="E120" s="32">
        <v>2509.4957939189185</v>
      </c>
      <c r="F120" s="31">
        <f t="shared" si="1"/>
        <v>623.33235798986334</v>
      </c>
      <c r="G120" s="33">
        <v>78</v>
      </c>
      <c r="H120" s="33">
        <v>2</v>
      </c>
      <c r="I120" s="12" t="s">
        <v>56</v>
      </c>
      <c r="J120" s="34">
        <v>40.851415000000003</v>
      </c>
      <c r="K120" s="34">
        <v>72.131756666699999</v>
      </c>
      <c r="L120" s="14">
        <v>63</v>
      </c>
      <c r="M120" s="12" t="s">
        <v>164</v>
      </c>
      <c r="N120" s="12"/>
      <c r="O120" s="24" t="s">
        <v>19</v>
      </c>
    </row>
    <row r="121" spans="1:15" ht="30" customHeight="1">
      <c r="A121" s="5" t="s">
        <v>103</v>
      </c>
      <c r="B121" s="34" t="s">
        <v>613</v>
      </c>
      <c r="C121" s="34" t="s">
        <v>444</v>
      </c>
      <c r="D121" s="31">
        <v>3246.3623419087821</v>
      </c>
      <c r="E121" s="32">
        <v>2608.8257939189193</v>
      </c>
      <c r="F121" s="31">
        <f t="shared" si="1"/>
        <v>637.53654798986281</v>
      </c>
      <c r="G121" s="33">
        <v>102</v>
      </c>
      <c r="H121" s="33">
        <v>2</v>
      </c>
      <c r="I121" s="12" t="s">
        <v>56</v>
      </c>
      <c r="J121" s="34">
        <v>40.833135628299999</v>
      </c>
      <c r="K121" s="34">
        <v>72.203557438199994</v>
      </c>
      <c r="L121" s="14">
        <v>100</v>
      </c>
      <c r="M121" s="12" t="s">
        <v>165</v>
      </c>
      <c r="N121" s="12"/>
      <c r="O121" s="24" t="s">
        <v>19</v>
      </c>
    </row>
    <row r="122" spans="1:15" ht="30" customHeight="1">
      <c r="A122" s="5" t="s">
        <v>103</v>
      </c>
      <c r="B122" s="34" t="s">
        <v>613</v>
      </c>
      <c r="C122" s="34" t="s">
        <v>445</v>
      </c>
      <c r="D122" s="31">
        <v>2511.028531908782</v>
      </c>
      <c r="E122" s="32">
        <v>1965.489127252252</v>
      </c>
      <c r="F122" s="31">
        <f t="shared" si="1"/>
        <v>545.53940465653</v>
      </c>
      <c r="G122" s="33">
        <v>80</v>
      </c>
      <c r="H122" s="33">
        <v>0</v>
      </c>
      <c r="I122" s="12" t="s">
        <v>166</v>
      </c>
      <c r="J122" s="34">
        <v>40.830279691100003</v>
      </c>
      <c r="K122" s="34">
        <v>72.204835088899998</v>
      </c>
      <c r="L122" s="14">
        <v>250</v>
      </c>
      <c r="M122" s="12" t="s">
        <v>167</v>
      </c>
      <c r="N122" s="12"/>
      <c r="O122" s="24" t="s">
        <v>19</v>
      </c>
    </row>
    <row r="123" spans="1:15" ht="30" customHeight="1">
      <c r="A123" s="5" t="s">
        <v>103</v>
      </c>
      <c r="B123" s="34" t="s">
        <v>613</v>
      </c>
      <c r="C123" s="34" t="s">
        <v>446</v>
      </c>
      <c r="D123" s="31">
        <v>5654.5566619087804</v>
      </c>
      <c r="E123" s="32">
        <v>4715.7324605855838</v>
      </c>
      <c r="F123" s="31">
        <f t="shared" si="1"/>
        <v>938.82420132319658</v>
      </c>
      <c r="G123" s="33">
        <v>71</v>
      </c>
      <c r="H123" s="33">
        <v>1</v>
      </c>
      <c r="I123" s="12" t="s">
        <v>104</v>
      </c>
      <c r="J123" s="34">
        <v>40.838736666700001</v>
      </c>
      <c r="K123" s="34">
        <v>72.234039999999993</v>
      </c>
      <c r="L123" s="20">
        <v>180</v>
      </c>
      <c r="M123" s="12" t="s">
        <v>168</v>
      </c>
      <c r="N123" s="12"/>
      <c r="O123" s="24" t="s">
        <v>19</v>
      </c>
    </row>
    <row r="124" spans="1:15" ht="30" customHeight="1">
      <c r="A124" s="5" t="s">
        <v>103</v>
      </c>
      <c r="B124" s="34" t="s">
        <v>609</v>
      </c>
      <c r="C124" s="34" t="s">
        <v>447</v>
      </c>
      <c r="D124" s="31">
        <v>7514.2824319087822</v>
      </c>
      <c r="E124" s="32">
        <v>6342.7891272522529</v>
      </c>
      <c r="F124" s="31">
        <f t="shared" si="1"/>
        <v>1171.4933046565293</v>
      </c>
      <c r="G124" s="33">
        <v>83</v>
      </c>
      <c r="H124" s="33">
        <v>2</v>
      </c>
      <c r="I124" s="12" t="s">
        <v>104</v>
      </c>
      <c r="J124" s="34">
        <v>40.8765683333</v>
      </c>
      <c r="K124" s="34">
        <v>71.988531666699998</v>
      </c>
      <c r="L124" s="20">
        <v>400</v>
      </c>
      <c r="M124" s="12" t="s">
        <v>169</v>
      </c>
      <c r="N124" s="12"/>
      <c r="O124" s="24" t="s">
        <v>19</v>
      </c>
    </row>
    <row r="125" spans="1:15" ht="30" customHeight="1">
      <c r="A125" s="5" t="s">
        <v>103</v>
      </c>
      <c r="B125" s="34" t="s">
        <v>611</v>
      </c>
      <c r="C125" s="34" t="s">
        <v>448</v>
      </c>
      <c r="D125" s="31">
        <v>2181.1587319087826</v>
      </c>
      <c r="E125" s="32">
        <v>1676.8891272522517</v>
      </c>
      <c r="F125" s="31">
        <f t="shared" si="1"/>
        <v>504.26960465653087</v>
      </c>
      <c r="G125" s="33">
        <v>90</v>
      </c>
      <c r="H125" s="33">
        <v>0</v>
      </c>
      <c r="I125" s="12" t="s">
        <v>170</v>
      </c>
      <c r="J125" s="34">
        <v>40.813206666600003</v>
      </c>
      <c r="K125" s="34">
        <v>72.109205000000003</v>
      </c>
      <c r="L125" s="14">
        <v>160</v>
      </c>
      <c r="M125" s="12" t="s">
        <v>171</v>
      </c>
      <c r="N125" s="12"/>
      <c r="O125" s="24" t="s">
        <v>19</v>
      </c>
    </row>
    <row r="126" spans="1:15" ht="30" customHeight="1">
      <c r="A126" s="5" t="s">
        <v>103</v>
      </c>
      <c r="B126" s="34" t="s">
        <v>611</v>
      </c>
      <c r="C126" s="34" t="s">
        <v>449</v>
      </c>
      <c r="D126" s="31">
        <v>48647.301511908772</v>
      </c>
      <c r="E126" s="32">
        <v>42329.68246058558</v>
      </c>
      <c r="F126" s="31">
        <f t="shared" si="1"/>
        <v>6317.6190513231923</v>
      </c>
      <c r="G126" s="33">
        <v>57</v>
      </c>
      <c r="H126" s="33">
        <v>2</v>
      </c>
      <c r="I126" s="12" t="s">
        <v>170</v>
      </c>
      <c r="J126" s="34">
        <v>40.849451666699998</v>
      </c>
      <c r="K126" s="34">
        <v>72.135064999999997</v>
      </c>
      <c r="L126" s="26">
        <v>160</v>
      </c>
      <c r="M126" s="12" t="s">
        <v>172</v>
      </c>
      <c r="N126" s="12"/>
      <c r="O126" s="24" t="s">
        <v>19</v>
      </c>
    </row>
    <row r="127" spans="1:15" ht="30" customHeight="1">
      <c r="A127" s="5" t="s">
        <v>103</v>
      </c>
      <c r="B127" s="34" t="s">
        <v>611</v>
      </c>
      <c r="C127" s="34" t="s">
        <v>450</v>
      </c>
      <c r="D127" s="31">
        <v>1319.7253519087824</v>
      </c>
      <c r="E127" s="32">
        <v>923.22912725225194</v>
      </c>
      <c r="F127" s="31">
        <f t="shared" si="1"/>
        <v>396.49622465653044</v>
      </c>
      <c r="G127" s="33">
        <v>35</v>
      </c>
      <c r="H127" s="33">
        <v>2</v>
      </c>
      <c r="I127" s="12" t="s">
        <v>170</v>
      </c>
      <c r="J127" s="34">
        <v>40.845351666699997</v>
      </c>
      <c r="K127" s="34">
        <v>72.155680000000004</v>
      </c>
      <c r="L127" s="14">
        <v>160</v>
      </c>
      <c r="M127" s="12" t="s">
        <v>173</v>
      </c>
      <c r="N127" s="12"/>
      <c r="O127" s="24" t="s">
        <v>19</v>
      </c>
    </row>
    <row r="128" spans="1:15" ht="30" customHeight="1">
      <c r="A128" s="5" t="s">
        <v>103</v>
      </c>
      <c r="B128" s="34" t="s">
        <v>611</v>
      </c>
      <c r="C128" s="34" t="s">
        <v>451</v>
      </c>
      <c r="D128" s="31">
        <v>1404.7340719087822</v>
      </c>
      <c r="E128" s="32">
        <v>997.60246058558516</v>
      </c>
      <c r="F128" s="31">
        <f t="shared" si="1"/>
        <v>407.13161132319703</v>
      </c>
      <c r="G128" s="33">
        <v>34</v>
      </c>
      <c r="H128" s="33">
        <v>1</v>
      </c>
      <c r="I128" s="12" t="s">
        <v>153</v>
      </c>
      <c r="J128" s="34">
        <v>40.847826666700001</v>
      </c>
      <c r="K128" s="34">
        <v>72.157156666700004</v>
      </c>
      <c r="L128" s="26">
        <v>160</v>
      </c>
      <c r="M128" s="12" t="s">
        <v>174</v>
      </c>
      <c r="N128" s="12"/>
      <c r="O128" s="24" t="s">
        <v>19</v>
      </c>
    </row>
    <row r="129" spans="1:15" ht="30" customHeight="1">
      <c r="A129" s="5" t="s">
        <v>103</v>
      </c>
      <c r="B129" s="34" t="s">
        <v>611</v>
      </c>
      <c r="C129" s="34" t="s">
        <v>452</v>
      </c>
      <c r="D129" s="31">
        <v>3946.8156019087814</v>
      </c>
      <c r="E129" s="32">
        <v>3221.6457939189181</v>
      </c>
      <c r="F129" s="31">
        <f t="shared" si="1"/>
        <v>725.16980798986333</v>
      </c>
      <c r="G129" s="33">
        <v>152</v>
      </c>
      <c r="H129" s="33">
        <v>1</v>
      </c>
      <c r="I129" s="12" t="s">
        <v>153</v>
      </c>
      <c r="J129" s="34">
        <v>40.850563333300002</v>
      </c>
      <c r="K129" s="34">
        <v>72.157133333299996</v>
      </c>
      <c r="L129" s="14">
        <v>160</v>
      </c>
      <c r="M129" s="12" t="s">
        <v>175</v>
      </c>
      <c r="N129" s="12"/>
      <c r="O129" s="24" t="s">
        <v>19</v>
      </c>
    </row>
    <row r="130" spans="1:15" ht="30" customHeight="1">
      <c r="A130" s="5" t="s">
        <v>103</v>
      </c>
      <c r="B130" s="34" t="s">
        <v>605</v>
      </c>
      <c r="C130" s="34" t="s">
        <v>317</v>
      </c>
      <c r="D130" s="31">
        <v>8797.2046819087827</v>
      </c>
      <c r="E130" s="32">
        <v>7465.2057939189208</v>
      </c>
      <c r="F130" s="31">
        <f t="shared" si="1"/>
        <v>1331.9988879898619</v>
      </c>
      <c r="G130" s="33">
        <v>90</v>
      </c>
      <c r="H130" s="33">
        <v>1</v>
      </c>
      <c r="I130" s="12" t="s">
        <v>153</v>
      </c>
      <c r="J130" s="34">
        <v>40.876168333300001</v>
      </c>
      <c r="K130" s="34">
        <v>71.945710000000005</v>
      </c>
      <c r="L130" s="14">
        <v>250</v>
      </c>
      <c r="M130" s="12" t="s">
        <v>176</v>
      </c>
      <c r="N130" s="12"/>
      <c r="O130" s="24" t="s">
        <v>19</v>
      </c>
    </row>
    <row r="131" spans="1:15" ht="30" customHeight="1">
      <c r="A131" s="5" t="s">
        <v>103</v>
      </c>
      <c r="B131" s="34" t="s">
        <v>613</v>
      </c>
      <c r="C131" s="34" t="s">
        <v>453</v>
      </c>
      <c r="D131" s="31">
        <v>32703.179221908784</v>
      </c>
      <c r="E131" s="32">
        <v>28380.319127252253</v>
      </c>
      <c r="F131" s="31">
        <f t="shared" si="1"/>
        <v>4322.8600946565311</v>
      </c>
      <c r="G131" s="33">
        <v>45</v>
      </c>
      <c r="H131" s="33">
        <v>0</v>
      </c>
      <c r="I131" s="12" t="s">
        <v>153</v>
      </c>
      <c r="J131" s="34">
        <v>40.833511839099998</v>
      </c>
      <c r="K131" s="34">
        <v>72.151867640199995</v>
      </c>
      <c r="L131" s="14">
        <v>160</v>
      </c>
      <c r="M131" s="12" t="s">
        <v>177</v>
      </c>
      <c r="N131" s="12"/>
      <c r="O131" s="24" t="s">
        <v>19</v>
      </c>
    </row>
    <row r="132" spans="1:15" ht="30" customHeight="1">
      <c r="A132" s="5" t="s">
        <v>103</v>
      </c>
      <c r="B132" s="34" t="s">
        <v>613</v>
      </c>
      <c r="C132" s="34" t="s">
        <v>454</v>
      </c>
      <c r="D132" s="31">
        <v>1744.3003219087821</v>
      </c>
      <c r="E132" s="32">
        <v>1294.6857939189185</v>
      </c>
      <c r="F132" s="31">
        <f t="shared" si="1"/>
        <v>449.61452798986352</v>
      </c>
      <c r="G132" s="33">
        <v>45</v>
      </c>
      <c r="H132" s="33">
        <v>0</v>
      </c>
      <c r="I132" s="12" t="s">
        <v>153</v>
      </c>
      <c r="J132" s="34">
        <v>40.829519256700003</v>
      </c>
      <c r="K132" s="34">
        <v>72.156100756300006</v>
      </c>
      <c r="L132" s="14">
        <v>160</v>
      </c>
      <c r="M132" s="12" t="s">
        <v>178</v>
      </c>
      <c r="N132" s="12"/>
      <c r="O132" s="24" t="s">
        <v>19</v>
      </c>
    </row>
    <row r="133" spans="1:15" ht="30" customHeight="1">
      <c r="A133" s="5" t="s">
        <v>103</v>
      </c>
      <c r="B133" s="34" t="s">
        <v>609</v>
      </c>
      <c r="C133" s="34" t="s">
        <v>455</v>
      </c>
      <c r="D133" s="31">
        <v>6464.6007619087823</v>
      </c>
      <c r="E133" s="32">
        <v>5424.4324605855854</v>
      </c>
      <c r="F133" s="31">
        <f t="shared" ref="F133:F196" si="2">+D133-E133</f>
        <v>1040.1683013231968</v>
      </c>
      <c r="G133" s="33">
        <v>108</v>
      </c>
      <c r="H133" s="33">
        <v>0</v>
      </c>
      <c r="I133" s="12" t="s">
        <v>166</v>
      </c>
      <c r="J133" s="34">
        <v>40.876078333300001</v>
      </c>
      <c r="K133" s="34">
        <v>71.987033333300005</v>
      </c>
      <c r="L133" s="14">
        <v>40</v>
      </c>
      <c r="M133" s="12" t="s">
        <v>179</v>
      </c>
      <c r="N133" s="12"/>
      <c r="O133" s="24" t="s">
        <v>19</v>
      </c>
    </row>
    <row r="134" spans="1:15" ht="30" customHeight="1">
      <c r="A134" s="5" t="s">
        <v>103</v>
      </c>
      <c r="B134" s="34" t="s">
        <v>612</v>
      </c>
      <c r="C134" s="34" t="s">
        <v>456</v>
      </c>
      <c r="D134" s="31">
        <v>9453.572431908784</v>
      </c>
      <c r="E134" s="32">
        <v>8039.4557939189208</v>
      </c>
      <c r="F134" s="31">
        <f t="shared" si="2"/>
        <v>1414.1166379898632</v>
      </c>
      <c r="G134" s="33">
        <v>139</v>
      </c>
      <c r="H134" s="33">
        <v>2</v>
      </c>
      <c r="I134" s="12" t="s">
        <v>166</v>
      </c>
      <c r="J134" s="34">
        <v>40.846466666700003</v>
      </c>
      <c r="K134" s="34">
        <v>72.057214999999999</v>
      </c>
      <c r="L134" s="14">
        <v>160</v>
      </c>
      <c r="M134" s="12" t="s">
        <v>180</v>
      </c>
      <c r="N134" s="12"/>
      <c r="O134" s="24" t="s">
        <v>19</v>
      </c>
    </row>
    <row r="135" spans="1:15" ht="30" customHeight="1">
      <c r="A135" s="5" t="s">
        <v>103</v>
      </c>
      <c r="B135" s="34" t="s">
        <v>610</v>
      </c>
      <c r="C135" s="34" t="s">
        <v>457</v>
      </c>
      <c r="D135" s="31">
        <v>6176.8086019087814</v>
      </c>
      <c r="E135" s="32">
        <v>5172.6457939189186</v>
      </c>
      <c r="F135" s="31">
        <f t="shared" si="2"/>
        <v>1004.1628079898628</v>
      </c>
      <c r="G135" s="33">
        <v>59</v>
      </c>
      <c r="H135" s="33">
        <v>2</v>
      </c>
      <c r="I135" s="12"/>
      <c r="J135" s="34">
        <v>40.877453333299997</v>
      </c>
      <c r="K135" s="34">
        <v>72.071951666700002</v>
      </c>
      <c r="L135" s="14">
        <v>160</v>
      </c>
      <c r="M135" s="12" t="s">
        <v>181</v>
      </c>
      <c r="N135" s="12"/>
      <c r="O135" s="24" t="s">
        <v>19</v>
      </c>
    </row>
    <row r="136" spans="1:15" ht="30" customHeight="1">
      <c r="A136" s="5" t="s">
        <v>103</v>
      </c>
      <c r="B136" s="34" t="s">
        <v>612</v>
      </c>
      <c r="C136" s="34" t="s">
        <v>458</v>
      </c>
      <c r="D136" s="31">
        <v>7149.444451908782</v>
      </c>
      <c r="E136" s="32">
        <v>6023.5957939189184</v>
      </c>
      <c r="F136" s="31">
        <f t="shared" si="2"/>
        <v>1125.8486579898636</v>
      </c>
      <c r="G136" s="33">
        <v>86</v>
      </c>
      <c r="H136" s="33">
        <v>3</v>
      </c>
      <c r="I136" s="12" t="s">
        <v>84</v>
      </c>
      <c r="J136" s="34">
        <v>40.849350000000001</v>
      </c>
      <c r="K136" s="34">
        <v>72.064971666700004</v>
      </c>
      <c r="L136" s="14">
        <v>100</v>
      </c>
      <c r="M136" s="12" t="s">
        <v>182</v>
      </c>
      <c r="N136" s="12"/>
      <c r="O136" s="24" t="s">
        <v>19</v>
      </c>
    </row>
    <row r="137" spans="1:15" ht="30" customHeight="1">
      <c r="A137" s="5" t="s">
        <v>103</v>
      </c>
      <c r="B137" s="34" t="s">
        <v>612</v>
      </c>
      <c r="C137" s="34" t="s">
        <v>459</v>
      </c>
      <c r="D137" s="31">
        <v>3173.7513619087817</v>
      </c>
      <c r="E137" s="32">
        <v>2545.2991272522518</v>
      </c>
      <c r="F137" s="31">
        <f t="shared" si="2"/>
        <v>628.45223465652998</v>
      </c>
      <c r="G137" s="33">
        <v>35</v>
      </c>
      <c r="H137" s="33">
        <v>0</v>
      </c>
      <c r="I137" s="12" t="s">
        <v>84</v>
      </c>
      <c r="J137" s="34">
        <v>40.843751666700001</v>
      </c>
      <c r="K137" s="34">
        <v>72.084658333299998</v>
      </c>
      <c r="L137" s="14">
        <v>160</v>
      </c>
      <c r="M137" s="12" t="s">
        <v>183</v>
      </c>
      <c r="N137" s="12"/>
      <c r="O137" s="24" t="s">
        <v>19</v>
      </c>
    </row>
    <row r="138" spans="1:15" ht="30" customHeight="1">
      <c r="A138" s="5" t="s">
        <v>103</v>
      </c>
      <c r="B138" s="34" t="s">
        <v>612</v>
      </c>
      <c r="C138" s="34" t="s">
        <v>460</v>
      </c>
      <c r="D138" s="31">
        <v>3094.5605119087813</v>
      </c>
      <c r="E138" s="32">
        <v>2476.0157939189185</v>
      </c>
      <c r="F138" s="31">
        <f t="shared" si="2"/>
        <v>618.54471798986287</v>
      </c>
      <c r="G138" s="33">
        <v>143</v>
      </c>
      <c r="H138" s="33">
        <v>4</v>
      </c>
      <c r="I138" s="12" t="s">
        <v>153</v>
      </c>
      <c r="J138" s="34">
        <v>40.822108333300001</v>
      </c>
      <c r="K138" s="34">
        <v>72.138861666699995</v>
      </c>
      <c r="L138" s="14">
        <v>400</v>
      </c>
      <c r="M138" s="12" t="s">
        <v>184</v>
      </c>
      <c r="N138" s="12"/>
      <c r="O138" s="24" t="s">
        <v>19</v>
      </c>
    </row>
    <row r="139" spans="1:15" ht="30" customHeight="1">
      <c r="A139" s="5" t="s">
        <v>103</v>
      </c>
      <c r="B139" s="34" t="s">
        <v>612</v>
      </c>
      <c r="C139" s="34" t="s">
        <v>461</v>
      </c>
      <c r="D139" s="31">
        <v>5773.8401419087822</v>
      </c>
      <c r="E139" s="32">
        <v>4820.0924605855844</v>
      </c>
      <c r="F139" s="31">
        <f t="shared" si="2"/>
        <v>953.74768132319787</v>
      </c>
      <c r="G139" s="33">
        <v>49</v>
      </c>
      <c r="H139" s="33">
        <v>0</v>
      </c>
      <c r="I139" s="12" t="s">
        <v>160</v>
      </c>
      <c r="J139" s="34">
        <v>40.845888333300003</v>
      </c>
      <c r="K139" s="34">
        <v>72.078975</v>
      </c>
      <c r="L139" s="14">
        <v>40</v>
      </c>
      <c r="M139" s="12" t="s">
        <v>185</v>
      </c>
      <c r="N139" s="12"/>
      <c r="O139" s="24" t="s">
        <v>19</v>
      </c>
    </row>
    <row r="140" spans="1:15" ht="30" customHeight="1">
      <c r="A140" s="5" t="s">
        <v>103</v>
      </c>
      <c r="B140" s="34" t="s">
        <v>612</v>
      </c>
      <c r="C140" s="34" t="s">
        <v>462</v>
      </c>
      <c r="D140" s="31">
        <v>7539.4932019087828</v>
      </c>
      <c r="E140" s="32">
        <v>6364.8457939189184</v>
      </c>
      <c r="F140" s="31">
        <f t="shared" si="2"/>
        <v>1174.6474079898644</v>
      </c>
      <c r="G140" s="33">
        <v>133</v>
      </c>
      <c r="H140" s="33">
        <v>3</v>
      </c>
      <c r="I140" s="12" t="s">
        <v>84</v>
      </c>
      <c r="J140" s="34">
        <v>40.831020376700003</v>
      </c>
      <c r="K140" s="34">
        <v>72.119740415600006</v>
      </c>
      <c r="L140" s="14">
        <v>100</v>
      </c>
      <c r="M140" s="12" t="s">
        <v>85</v>
      </c>
      <c r="N140" s="12"/>
      <c r="O140" s="24" t="s">
        <v>19</v>
      </c>
    </row>
    <row r="141" spans="1:15" ht="30" customHeight="1">
      <c r="A141" s="5" t="s">
        <v>103</v>
      </c>
      <c r="B141" s="34" t="s">
        <v>612</v>
      </c>
      <c r="C141" s="34" t="s">
        <v>463</v>
      </c>
      <c r="D141" s="31">
        <v>3025.8700219087818</v>
      </c>
      <c r="E141" s="32">
        <v>2415.9191272522521</v>
      </c>
      <c r="F141" s="31">
        <f t="shared" si="2"/>
        <v>609.95089465652973</v>
      </c>
      <c r="G141" s="33">
        <v>129</v>
      </c>
      <c r="H141" s="33">
        <v>1</v>
      </c>
      <c r="I141" s="12" t="s">
        <v>170</v>
      </c>
      <c r="J141" s="34">
        <v>40.8254529031</v>
      </c>
      <c r="K141" s="34">
        <v>72.125863367899996</v>
      </c>
      <c r="L141" s="14">
        <v>100</v>
      </c>
      <c r="M141" s="12" t="s">
        <v>186</v>
      </c>
      <c r="N141" s="12"/>
      <c r="O141" s="24" t="s">
        <v>19</v>
      </c>
    </row>
    <row r="142" spans="1:15" ht="30" customHeight="1">
      <c r="A142" s="5" t="s">
        <v>103</v>
      </c>
      <c r="B142" s="34" t="s">
        <v>612</v>
      </c>
      <c r="C142" s="34" t="s">
        <v>464</v>
      </c>
      <c r="D142" s="31">
        <v>1074.5175619087822</v>
      </c>
      <c r="E142" s="32">
        <v>708.69912725225186</v>
      </c>
      <c r="F142" s="31">
        <f t="shared" si="2"/>
        <v>365.81843465653037</v>
      </c>
      <c r="G142" s="33">
        <v>51</v>
      </c>
      <c r="H142" s="33">
        <v>0</v>
      </c>
      <c r="I142" s="12" t="s">
        <v>153</v>
      </c>
      <c r="J142" s="34">
        <v>40.8212983333</v>
      </c>
      <c r="K142" s="34">
        <v>72.128469999999993</v>
      </c>
      <c r="L142" s="14">
        <v>160</v>
      </c>
      <c r="M142" s="12" t="s">
        <v>187</v>
      </c>
      <c r="N142" s="12"/>
      <c r="O142" s="24" t="s">
        <v>19</v>
      </c>
    </row>
    <row r="143" spans="1:15" ht="30" customHeight="1">
      <c r="A143" s="5" t="s">
        <v>103</v>
      </c>
      <c r="B143" s="34" t="s">
        <v>612</v>
      </c>
      <c r="C143" s="34" t="s">
        <v>465</v>
      </c>
      <c r="D143" s="31">
        <v>4202.3980219087816</v>
      </c>
      <c r="E143" s="32">
        <v>3445.2524605855847</v>
      </c>
      <c r="F143" s="31">
        <f t="shared" si="2"/>
        <v>757.14556132319694</v>
      </c>
      <c r="G143" s="33">
        <v>55</v>
      </c>
      <c r="H143" s="33">
        <v>0</v>
      </c>
      <c r="I143" s="12" t="s">
        <v>104</v>
      </c>
      <c r="J143" s="34">
        <v>40.817111666700001</v>
      </c>
      <c r="K143" s="34">
        <v>72.1181916667</v>
      </c>
      <c r="L143" s="14">
        <v>63</v>
      </c>
      <c r="M143" s="12" t="s">
        <v>188</v>
      </c>
      <c r="N143" s="12"/>
      <c r="O143" s="24" t="s">
        <v>19</v>
      </c>
    </row>
    <row r="144" spans="1:15" ht="30" customHeight="1">
      <c r="A144" s="5" t="s">
        <v>103</v>
      </c>
      <c r="B144" s="34" t="s">
        <v>612</v>
      </c>
      <c r="C144" s="34" t="s">
        <v>466</v>
      </c>
      <c r="D144" s="31">
        <v>3906.9477619087825</v>
      </c>
      <c r="E144" s="32">
        <v>3186.765793918918</v>
      </c>
      <c r="F144" s="31">
        <f t="shared" si="2"/>
        <v>720.18196798986446</v>
      </c>
      <c r="G144" s="33">
        <v>60</v>
      </c>
      <c r="H144" s="33">
        <v>3</v>
      </c>
      <c r="I144" s="12" t="s">
        <v>153</v>
      </c>
      <c r="J144" s="34">
        <v>40.820258333300004</v>
      </c>
      <c r="K144" s="34">
        <v>72.133414999999999</v>
      </c>
      <c r="L144" s="14">
        <v>100</v>
      </c>
      <c r="M144" s="12" t="s">
        <v>189</v>
      </c>
      <c r="N144" s="12"/>
      <c r="O144" s="24" t="s">
        <v>19</v>
      </c>
    </row>
    <row r="145" spans="1:15" ht="30" customHeight="1">
      <c r="A145" s="5" t="s">
        <v>103</v>
      </c>
      <c r="B145" s="34" t="s">
        <v>612</v>
      </c>
      <c r="C145" s="34" t="s">
        <v>467</v>
      </c>
      <c r="D145" s="31">
        <v>3733.0555519087825</v>
      </c>
      <c r="E145" s="32">
        <v>3034.6291272522517</v>
      </c>
      <c r="F145" s="31">
        <f t="shared" si="2"/>
        <v>698.4264246565308</v>
      </c>
      <c r="G145" s="33">
        <v>30</v>
      </c>
      <c r="H145" s="33">
        <v>3</v>
      </c>
      <c r="I145" s="12" t="s">
        <v>56</v>
      </c>
      <c r="J145" s="34">
        <v>40.8469716667</v>
      </c>
      <c r="K145" s="34">
        <v>72.074391666699995</v>
      </c>
      <c r="L145" s="14">
        <v>160</v>
      </c>
      <c r="M145" s="12" t="s">
        <v>190</v>
      </c>
      <c r="N145" s="12"/>
      <c r="O145" s="24" t="s">
        <v>19</v>
      </c>
    </row>
    <row r="146" spans="1:15" ht="30" customHeight="1">
      <c r="A146" s="5" t="s">
        <v>103</v>
      </c>
      <c r="B146" s="34" t="s">
        <v>613</v>
      </c>
      <c r="C146" s="34" t="s">
        <v>468</v>
      </c>
      <c r="D146" s="31">
        <v>2961.7248619087818</v>
      </c>
      <c r="E146" s="32">
        <v>2359.7991272522518</v>
      </c>
      <c r="F146" s="31">
        <f t="shared" si="2"/>
        <v>601.92573465653004</v>
      </c>
      <c r="G146" s="33">
        <v>25</v>
      </c>
      <c r="H146" s="33">
        <v>3</v>
      </c>
      <c r="I146" s="12" t="s">
        <v>104</v>
      </c>
      <c r="J146" s="34">
        <v>40.820270000000001</v>
      </c>
      <c r="K146" s="34">
        <v>72.169821666700003</v>
      </c>
      <c r="L146" s="14">
        <v>160</v>
      </c>
      <c r="M146" s="12" t="s">
        <v>191</v>
      </c>
      <c r="N146" s="12"/>
      <c r="O146" s="24" t="s">
        <v>19</v>
      </c>
    </row>
    <row r="147" spans="1:15" ht="30" customHeight="1">
      <c r="A147" s="5" t="s">
        <v>192</v>
      </c>
      <c r="B147" s="34" t="s">
        <v>613</v>
      </c>
      <c r="C147" s="34" t="s">
        <v>469</v>
      </c>
      <c r="D147" s="31">
        <v>1845.7530019087824</v>
      </c>
      <c r="E147" s="32">
        <v>1383.4457939189185</v>
      </c>
      <c r="F147" s="31">
        <f t="shared" si="2"/>
        <v>462.30720798986385</v>
      </c>
      <c r="G147" s="33">
        <v>54</v>
      </c>
      <c r="H147" s="33">
        <v>0</v>
      </c>
      <c r="I147" s="12" t="s">
        <v>193</v>
      </c>
      <c r="J147" s="34">
        <v>40.834253333299998</v>
      </c>
      <c r="K147" s="34">
        <v>72.203491666700003</v>
      </c>
      <c r="L147" s="20">
        <v>100</v>
      </c>
      <c r="M147" s="12" t="s">
        <v>194</v>
      </c>
      <c r="N147" s="12"/>
      <c r="O147" s="24" t="s">
        <v>19</v>
      </c>
    </row>
    <row r="148" spans="1:15" ht="30" customHeight="1">
      <c r="A148" s="5" t="s">
        <v>192</v>
      </c>
      <c r="B148" s="34" t="s">
        <v>613</v>
      </c>
      <c r="C148" s="34" t="s">
        <v>470</v>
      </c>
      <c r="D148" s="31">
        <v>11843.242531908785</v>
      </c>
      <c r="E148" s="32">
        <v>10130.155793918921</v>
      </c>
      <c r="F148" s="31">
        <f t="shared" si="2"/>
        <v>1713.0867379898646</v>
      </c>
      <c r="G148" s="33">
        <v>95</v>
      </c>
      <c r="H148" s="33">
        <v>3</v>
      </c>
      <c r="I148" s="12" t="s">
        <v>193</v>
      </c>
      <c r="J148" s="34">
        <v>40.837441666700002</v>
      </c>
      <c r="K148" s="34">
        <v>72.2019633333</v>
      </c>
      <c r="L148" s="20">
        <v>100</v>
      </c>
      <c r="M148" s="12" t="s">
        <v>195</v>
      </c>
      <c r="N148" s="12"/>
      <c r="O148" s="24" t="s">
        <v>19</v>
      </c>
    </row>
    <row r="149" spans="1:15" ht="30" customHeight="1">
      <c r="A149" s="5" t="s">
        <v>192</v>
      </c>
      <c r="B149" s="34" t="s">
        <v>613</v>
      </c>
      <c r="C149" s="34" t="s">
        <v>471</v>
      </c>
      <c r="D149" s="31">
        <v>10297.376941908782</v>
      </c>
      <c r="E149" s="32">
        <v>8777.6924605855856</v>
      </c>
      <c r="F149" s="31">
        <f t="shared" si="2"/>
        <v>1519.6844813231965</v>
      </c>
      <c r="G149" s="33">
        <v>111</v>
      </c>
      <c r="H149" s="33">
        <v>0</v>
      </c>
      <c r="I149" s="12" t="s">
        <v>196</v>
      </c>
      <c r="J149" s="34">
        <v>40.832535</v>
      </c>
      <c r="K149" s="34">
        <v>72.175714999999997</v>
      </c>
      <c r="L149" s="20">
        <v>160</v>
      </c>
      <c r="M149" s="12" t="s">
        <v>197</v>
      </c>
      <c r="N149" s="12"/>
      <c r="O149" s="24" t="s">
        <v>19</v>
      </c>
    </row>
    <row r="150" spans="1:15" ht="30" customHeight="1">
      <c r="A150" s="5" t="s">
        <v>192</v>
      </c>
      <c r="B150" s="34" t="s">
        <v>606</v>
      </c>
      <c r="C150" s="34" t="s">
        <v>472</v>
      </c>
      <c r="D150" s="31">
        <v>6399.2630719087829</v>
      </c>
      <c r="E150" s="32">
        <v>5367.2691272522516</v>
      </c>
      <c r="F150" s="31">
        <f t="shared" si="2"/>
        <v>1031.9939446565313</v>
      </c>
      <c r="G150" s="33">
        <v>62</v>
      </c>
      <c r="H150" s="33">
        <v>0</v>
      </c>
      <c r="I150" s="12" t="s">
        <v>196</v>
      </c>
      <c r="J150" s="34">
        <v>40.862508333299999</v>
      </c>
      <c r="K150" s="34">
        <v>72.001638333299994</v>
      </c>
      <c r="L150" s="20">
        <v>63</v>
      </c>
      <c r="M150" s="12" t="s">
        <v>198</v>
      </c>
      <c r="N150" s="12"/>
      <c r="O150" s="24" t="s">
        <v>19</v>
      </c>
    </row>
    <row r="151" spans="1:15" ht="30" customHeight="1">
      <c r="A151" s="5" t="s">
        <v>192</v>
      </c>
      <c r="B151" s="34" t="s">
        <v>608</v>
      </c>
      <c r="C151" s="34" t="s">
        <v>473</v>
      </c>
      <c r="D151" s="31">
        <v>6602.2674919087831</v>
      </c>
      <c r="E151" s="32">
        <v>5544.875793918919</v>
      </c>
      <c r="F151" s="31">
        <f t="shared" si="2"/>
        <v>1057.391697989864</v>
      </c>
      <c r="G151" s="33">
        <v>75</v>
      </c>
      <c r="H151" s="33">
        <v>0</v>
      </c>
      <c r="I151" s="12" t="s">
        <v>193</v>
      </c>
      <c r="J151" s="34">
        <v>40.881864999999998</v>
      </c>
      <c r="K151" s="34">
        <v>71.974893333300002</v>
      </c>
      <c r="L151" s="20">
        <v>250</v>
      </c>
      <c r="M151" s="12" t="s">
        <v>128</v>
      </c>
      <c r="N151" s="12"/>
      <c r="O151" s="24" t="s">
        <v>19</v>
      </c>
    </row>
    <row r="152" spans="1:15" ht="30" customHeight="1">
      <c r="A152" s="5" t="s">
        <v>192</v>
      </c>
      <c r="B152" s="34" t="s">
        <v>608</v>
      </c>
      <c r="C152" s="34" t="s">
        <v>474</v>
      </c>
      <c r="D152" s="31">
        <v>4847.472931908781</v>
      </c>
      <c r="E152" s="32">
        <v>4009.6224605855846</v>
      </c>
      <c r="F152" s="31">
        <f t="shared" si="2"/>
        <v>837.85047132319642</v>
      </c>
      <c r="G152" s="33">
        <v>47</v>
      </c>
      <c r="H152" s="33">
        <v>0</v>
      </c>
      <c r="I152" s="12" t="s">
        <v>196</v>
      </c>
      <c r="J152" s="34">
        <v>40.871471666700003</v>
      </c>
      <c r="K152" s="34">
        <v>71.970541666700001</v>
      </c>
      <c r="L152" s="20">
        <v>63</v>
      </c>
      <c r="M152" s="12" t="s">
        <v>199</v>
      </c>
      <c r="N152" s="12"/>
      <c r="O152" s="24" t="s">
        <v>19</v>
      </c>
    </row>
    <row r="153" spans="1:15" ht="30" customHeight="1">
      <c r="A153" s="5" t="s">
        <v>192</v>
      </c>
      <c r="B153" s="34" t="s">
        <v>612</v>
      </c>
      <c r="C153" s="34" t="s">
        <v>475</v>
      </c>
      <c r="D153" s="31">
        <v>11204.332201908785</v>
      </c>
      <c r="E153" s="32">
        <v>9571.1791272522514</v>
      </c>
      <c r="F153" s="31">
        <f t="shared" si="2"/>
        <v>1633.1530746565331</v>
      </c>
      <c r="G153" s="33">
        <v>132</v>
      </c>
      <c r="H153" s="33">
        <v>3</v>
      </c>
      <c r="I153" s="12" t="s">
        <v>196</v>
      </c>
      <c r="J153" s="34">
        <v>40.847968333300003</v>
      </c>
      <c r="K153" s="34">
        <v>72.039503333300004</v>
      </c>
      <c r="L153" s="20">
        <v>100</v>
      </c>
      <c r="M153" s="12" t="s">
        <v>200</v>
      </c>
      <c r="N153" s="12"/>
      <c r="O153" s="24" t="s">
        <v>19</v>
      </c>
    </row>
    <row r="154" spans="1:15" ht="30" customHeight="1">
      <c r="A154" s="5" t="s">
        <v>192</v>
      </c>
      <c r="B154" s="34" t="s">
        <v>612</v>
      </c>
      <c r="C154" s="34" t="s">
        <v>476</v>
      </c>
      <c r="D154" s="31">
        <v>4717.9024519087816</v>
      </c>
      <c r="E154" s="32">
        <v>3896.2624605855849</v>
      </c>
      <c r="F154" s="31">
        <f t="shared" si="2"/>
        <v>821.63999132319668</v>
      </c>
      <c r="G154" s="33">
        <v>86</v>
      </c>
      <c r="H154" s="33">
        <v>0</v>
      </c>
      <c r="I154" s="12" t="s">
        <v>196</v>
      </c>
      <c r="J154" s="34">
        <v>40.817636666699997</v>
      </c>
      <c r="K154" s="34">
        <v>72.128388333299995</v>
      </c>
      <c r="L154" s="20">
        <v>100</v>
      </c>
      <c r="M154" s="12" t="s">
        <v>201</v>
      </c>
      <c r="N154" s="12"/>
      <c r="O154" s="24" t="s">
        <v>19</v>
      </c>
    </row>
    <row r="155" spans="1:15" ht="30" customHeight="1">
      <c r="A155" s="5" t="s">
        <v>192</v>
      </c>
      <c r="B155" s="34" t="s">
        <v>611</v>
      </c>
      <c r="C155" s="34" t="s">
        <v>477</v>
      </c>
      <c r="D155" s="31">
        <v>10706.601421908783</v>
      </c>
      <c r="E155" s="32">
        <v>9135.7191272522523</v>
      </c>
      <c r="F155" s="31">
        <f t="shared" si="2"/>
        <v>1570.8822946565306</v>
      </c>
      <c r="G155" s="33">
        <v>95</v>
      </c>
      <c r="H155" s="33">
        <v>0</v>
      </c>
      <c r="I155" s="12" t="s">
        <v>202</v>
      </c>
      <c r="J155" s="34">
        <v>40.863979999999998</v>
      </c>
      <c r="K155" s="34">
        <v>72.082644999999999</v>
      </c>
      <c r="L155" s="20">
        <v>160</v>
      </c>
      <c r="M155" s="12" t="s">
        <v>203</v>
      </c>
      <c r="N155" s="12"/>
      <c r="O155" s="24" t="s">
        <v>19</v>
      </c>
    </row>
    <row r="156" spans="1:15" ht="30" customHeight="1">
      <c r="A156" s="5" t="s">
        <v>192</v>
      </c>
      <c r="B156" s="34" t="s">
        <v>609</v>
      </c>
      <c r="C156" s="34" t="s">
        <v>478</v>
      </c>
      <c r="D156" s="31">
        <v>27968.244571908774</v>
      </c>
      <c r="E156" s="32">
        <v>24237.76912725225</v>
      </c>
      <c r="F156" s="31">
        <f t="shared" si="2"/>
        <v>3730.4754446565239</v>
      </c>
      <c r="G156" s="33">
        <v>111</v>
      </c>
      <c r="H156" s="33">
        <v>0</v>
      </c>
      <c r="I156" s="12" t="s">
        <v>202</v>
      </c>
      <c r="J156" s="34">
        <v>40.869881666700003</v>
      </c>
      <c r="K156" s="34">
        <v>71.981340000000003</v>
      </c>
      <c r="L156" s="20">
        <v>250</v>
      </c>
      <c r="M156" s="12" t="s">
        <v>204</v>
      </c>
      <c r="N156" s="12"/>
      <c r="O156" s="24" t="s">
        <v>19</v>
      </c>
    </row>
    <row r="157" spans="1:15" ht="30" customHeight="1">
      <c r="A157" s="5" t="s">
        <v>192</v>
      </c>
      <c r="B157" s="34" t="s">
        <v>608</v>
      </c>
      <c r="C157" s="34" t="s">
        <v>479</v>
      </c>
      <c r="D157" s="31">
        <v>4045.2774319087821</v>
      </c>
      <c r="E157" s="32">
        <v>3307.789127252252</v>
      </c>
      <c r="F157" s="31">
        <f t="shared" si="2"/>
        <v>737.48830465653009</v>
      </c>
      <c r="G157" s="33">
        <v>60</v>
      </c>
      <c r="H157" s="33">
        <v>0</v>
      </c>
      <c r="I157" s="12" t="s">
        <v>196</v>
      </c>
      <c r="J157" s="34">
        <v>40.883203333300003</v>
      </c>
      <c r="K157" s="34">
        <v>71.969184999999996</v>
      </c>
      <c r="L157" s="14">
        <v>100</v>
      </c>
      <c r="M157" s="12" t="s">
        <v>205</v>
      </c>
      <c r="N157" s="12"/>
      <c r="O157" s="24" t="s">
        <v>19</v>
      </c>
    </row>
    <row r="158" spans="1:15" ht="30" customHeight="1">
      <c r="A158" s="5" t="s">
        <v>192</v>
      </c>
      <c r="B158" s="34" t="s">
        <v>610</v>
      </c>
      <c r="C158" s="34" t="s">
        <v>480</v>
      </c>
      <c r="D158" s="31">
        <v>3522.5225719087816</v>
      </c>
      <c r="E158" s="32">
        <v>2850.435793918919</v>
      </c>
      <c r="F158" s="31">
        <f t="shared" si="2"/>
        <v>672.08677798986264</v>
      </c>
      <c r="G158" s="33">
        <v>26</v>
      </c>
      <c r="H158" s="33">
        <v>0</v>
      </c>
      <c r="I158" s="12" t="s">
        <v>206</v>
      </c>
      <c r="J158" s="34">
        <v>40.877465000000001</v>
      </c>
      <c r="K158" s="34">
        <v>72.08811</v>
      </c>
      <c r="L158" s="14">
        <v>250</v>
      </c>
      <c r="M158" s="12" t="s">
        <v>207</v>
      </c>
      <c r="N158" s="12"/>
      <c r="O158" s="24" t="s">
        <v>19</v>
      </c>
    </row>
    <row r="159" spans="1:15" ht="30" customHeight="1">
      <c r="A159" s="5" t="s">
        <v>192</v>
      </c>
      <c r="B159" s="34" t="s">
        <v>608</v>
      </c>
      <c r="C159" s="34" t="s">
        <v>481</v>
      </c>
      <c r="D159" s="31">
        <v>3029.9695819087824</v>
      </c>
      <c r="E159" s="32">
        <v>2419.5057939189187</v>
      </c>
      <c r="F159" s="31">
        <f t="shared" si="2"/>
        <v>610.4637879898637</v>
      </c>
      <c r="G159" s="33">
        <v>44</v>
      </c>
      <c r="H159" s="33">
        <v>0</v>
      </c>
      <c r="I159" s="12" t="s">
        <v>51</v>
      </c>
      <c r="J159" s="34">
        <v>40.886789999999998</v>
      </c>
      <c r="K159" s="34">
        <v>71.967898333299999</v>
      </c>
      <c r="L159" s="14">
        <v>100</v>
      </c>
      <c r="M159" s="12" t="s">
        <v>208</v>
      </c>
      <c r="N159" s="12"/>
      <c r="O159" s="24" t="s">
        <v>19</v>
      </c>
    </row>
    <row r="160" spans="1:15" ht="30" customHeight="1">
      <c r="A160" s="5" t="s">
        <v>192</v>
      </c>
      <c r="B160" s="34" t="s">
        <v>612</v>
      </c>
      <c r="C160" s="34" t="s">
        <v>482</v>
      </c>
      <c r="D160" s="31">
        <v>6400.3794019087827</v>
      </c>
      <c r="E160" s="32">
        <v>5368.245793918918</v>
      </c>
      <c r="F160" s="31">
        <f t="shared" si="2"/>
        <v>1032.1336079898647</v>
      </c>
      <c r="G160" s="33">
        <v>67</v>
      </c>
      <c r="H160" s="33">
        <v>1</v>
      </c>
      <c r="I160" s="12" t="s">
        <v>202</v>
      </c>
      <c r="J160" s="34">
        <v>40.813769904799997</v>
      </c>
      <c r="K160" s="34">
        <v>72.127671415400002</v>
      </c>
      <c r="L160" s="14">
        <v>100</v>
      </c>
      <c r="M160" s="12" t="s">
        <v>209</v>
      </c>
      <c r="N160" s="12"/>
      <c r="O160" s="24" t="s">
        <v>19</v>
      </c>
    </row>
    <row r="161" spans="1:15" ht="30" customHeight="1">
      <c r="A161" s="5" t="s">
        <v>192</v>
      </c>
      <c r="B161" s="34" t="s">
        <v>608</v>
      </c>
      <c r="C161" s="34" t="s">
        <v>483</v>
      </c>
      <c r="D161" s="31">
        <v>3171.8806519087816</v>
      </c>
      <c r="E161" s="32">
        <v>2543.6624605855854</v>
      </c>
      <c r="F161" s="31">
        <f t="shared" si="2"/>
        <v>628.21819132319615</v>
      </c>
      <c r="G161" s="33">
        <v>139</v>
      </c>
      <c r="H161" s="33">
        <v>1</v>
      </c>
      <c r="I161" s="12" t="s">
        <v>94</v>
      </c>
      <c r="J161" s="34">
        <v>40.868474999999997</v>
      </c>
      <c r="K161" s="34">
        <v>71.973686666700004</v>
      </c>
      <c r="L161" s="14">
        <v>100</v>
      </c>
      <c r="M161" s="12" t="s">
        <v>210</v>
      </c>
      <c r="N161" s="12"/>
      <c r="O161" s="24" t="s">
        <v>19</v>
      </c>
    </row>
    <row r="162" spans="1:15" ht="30" customHeight="1">
      <c r="A162" s="5" t="s">
        <v>192</v>
      </c>
      <c r="B162" s="34" t="s">
        <v>610</v>
      </c>
      <c r="C162" s="34" t="s">
        <v>484</v>
      </c>
      <c r="D162" s="31">
        <v>5340.2278519087822</v>
      </c>
      <c r="E162" s="32">
        <v>4440.7291272522516</v>
      </c>
      <c r="F162" s="31">
        <f t="shared" si="2"/>
        <v>899.49872465653061</v>
      </c>
      <c r="G162" s="33">
        <v>220</v>
      </c>
      <c r="H162" s="33">
        <v>2</v>
      </c>
      <c r="I162" s="12" t="s">
        <v>193</v>
      </c>
      <c r="J162" s="34">
        <v>40.877846666700002</v>
      </c>
      <c r="K162" s="34">
        <v>72.089301666699996</v>
      </c>
      <c r="L162" s="14">
        <v>100</v>
      </c>
      <c r="M162" s="12" t="s">
        <v>211</v>
      </c>
      <c r="N162" s="12"/>
      <c r="O162" s="24" t="s">
        <v>19</v>
      </c>
    </row>
    <row r="163" spans="1:15" ht="30" customHeight="1">
      <c r="A163" s="5" t="s">
        <v>103</v>
      </c>
      <c r="B163" s="34" t="s">
        <v>613</v>
      </c>
      <c r="C163" s="34" t="s">
        <v>485</v>
      </c>
      <c r="D163" s="31">
        <v>9717.8873719087806</v>
      </c>
      <c r="E163" s="32">
        <v>8270.7024605855859</v>
      </c>
      <c r="F163" s="31">
        <f t="shared" si="2"/>
        <v>1447.1849113231947</v>
      </c>
      <c r="G163" s="33">
        <v>78</v>
      </c>
      <c r="H163" s="33">
        <v>4</v>
      </c>
      <c r="I163" s="12" t="s">
        <v>116</v>
      </c>
      <c r="J163" s="34">
        <v>40.820733333299998</v>
      </c>
      <c r="K163" s="34">
        <v>72.163296666700006</v>
      </c>
      <c r="L163" s="20">
        <v>63</v>
      </c>
      <c r="M163" s="12" t="s">
        <v>99</v>
      </c>
      <c r="N163" s="12"/>
      <c r="O163" s="24" t="s">
        <v>19</v>
      </c>
    </row>
    <row r="164" spans="1:15" ht="30" customHeight="1">
      <c r="A164" s="5" t="s">
        <v>103</v>
      </c>
      <c r="B164" s="34" t="s">
        <v>612</v>
      </c>
      <c r="C164" s="34" t="s">
        <v>486</v>
      </c>
      <c r="D164" s="31">
        <v>4557.4900219087813</v>
      </c>
      <c r="E164" s="32">
        <v>3755.9191272522512</v>
      </c>
      <c r="F164" s="31">
        <f t="shared" si="2"/>
        <v>801.57089465653007</v>
      </c>
      <c r="G164" s="33">
        <v>65</v>
      </c>
      <c r="H164" s="33">
        <v>1</v>
      </c>
      <c r="I164" s="12" t="s">
        <v>116</v>
      </c>
      <c r="J164" s="34">
        <v>40.852661666700001</v>
      </c>
      <c r="K164" s="34">
        <v>72.0707816667</v>
      </c>
      <c r="L164" s="20">
        <v>100</v>
      </c>
      <c r="M164" s="12" t="s">
        <v>212</v>
      </c>
      <c r="N164" s="12"/>
      <c r="O164" s="24" t="s">
        <v>19</v>
      </c>
    </row>
    <row r="165" spans="1:15" ht="30" customHeight="1">
      <c r="A165" s="5" t="s">
        <v>103</v>
      </c>
      <c r="B165" s="34" t="s">
        <v>609</v>
      </c>
      <c r="C165" s="34" t="s">
        <v>487</v>
      </c>
      <c r="D165" s="31">
        <v>6183.2551219087827</v>
      </c>
      <c r="E165" s="32">
        <v>5178.285793918918</v>
      </c>
      <c r="F165" s="31">
        <f t="shared" si="2"/>
        <v>1004.9693279898647</v>
      </c>
      <c r="G165" s="33">
        <v>87</v>
      </c>
      <c r="H165" s="33">
        <v>0</v>
      </c>
      <c r="I165" s="12" t="s">
        <v>116</v>
      </c>
      <c r="J165" s="34">
        <v>40.877846666700002</v>
      </c>
      <c r="K165" s="34">
        <v>72.000298333299995</v>
      </c>
      <c r="L165" s="20">
        <v>100</v>
      </c>
      <c r="M165" s="12" t="s">
        <v>213</v>
      </c>
      <c r="N165" s="12"/>
      <c r="O165" s="24" t="s">
        <v>19</v>
      </c>
    </row>
    <row r="166" spans="1:15" ht="30" customHeight="1">
      <c r="A166" s="5" t="s">
        <v>103</v>
      </c>
      <c r="B166" s="34" t="s">
        <v>606</v>
      </c>
      <c r="C166" s="34" t="s">
        <v>488</v>
      </c>
      <c r="D166" s="31">
        <v>11798.665531908786</v>
      </c>
      <c r="E166" s="32">
        <v>10091.155793918921</v>
      </c>
      <c r="F166" s="31">
        <f t="shared" si="2"/>
        <v>1707.5097379898652</v>
      </c>
      <c r="G166" s="33">
        <v>106</v>
      </c>
      <c r="H166" s="33">
        <v>0</v>
      </c>
      <c r="I166" s="12" t="s">
        <v>116</v>
      </c>
      <c r="J166" s="34">
        <v>40.869096666700003</v>
      </c>
      <c r="K166" s="34">
        <v>71.993186666699998</v>
      </c>
      <c r="L166" s="20">
        <v>160</v>
      </c>
      <c r="M166" s="12" t="s">
        <v>214</v>
      </c>
      <c r="N166" s="12"/>
      <c r="O166" s="24" t="s">
        <v>19</v>
      </c>
    </row>
    <row r="167" spans="1:15" ht="30" customHeight="1">
      <c r="A167" s="5" t="s">
        <v>103</v>
      </c>
      <c r="B167" s="34" t="s">
        <v>611</v>
      </c>
      <c r="C167" s="34" t="s">
        <v>489</v>
      </c>
      <c r="D167" s="31">
        <v>1870.5103819087819</v>
      </c>
      <c r="E167" s="32">
        <v>1405.1057939189186</v>
      </c>
      <c r="F167" s="31">
        <f t="shared" si="2"/>
        <v>465.40458798986333</v>
      </c>
      <c r="G167" s="33">
        <v>64</v>
      </c>
      <c r="H167" s="33">
        <v>0</v>
      </c>
      <c r="I167" s="12" t="s">
        <v>215</v>
      </c>
      <c r="J167" s="34">
        <v>40.859043333300001</v>
      </c>
      <c r="K167" s="34">
        <v>72.065916666700005</v>
      </c>
      <c r="L167" s="20">
        <v>250</v>
      </c>
      <c r="M167" s="12"/>
      <c r="N167" s="12" t="s">
        <v>216</v>
      </c>
      <c r="O167" s="24" t="s">
        <v>19</v>
      </c>
    </row>
    <row r="168" spans="1:15" ht="30" customHeight="1">
      <c r="A168" s="5" t="s">
        <v>103</v>
      </c>
      <c r="B168" s="34" t="s">
        <v>610</v>
      </c>
      <c r="C168" s="34" t="s">
        <v>490</v>
      </c>
      <c r="D168" s="31">
        <v>9260.7788119087836</v>
      </c>
      <c r="E168" s="32">
        <v>7870.7824605855867</v>
      </c>
      <c r="F168" s="31">
        <f t="shared" si="2"/>
        <v>1389.9963513231969</v>
      </c>
      <c r="G168" s="33">
        <v>129</v>
      </c>
      <c r="H168" s="33">
        <v>0</v>
      </c>
      <c r="I168" s="12" t="s">
        <v>215</v>
      </c>
      <c r="J168" s="34">
        <v>40.880443333300001</v>
      </c>
      <c r="K168" s="34">
        <v>72.033211666699998</v>
      </c>
      <c r="L168" s="20">
        <v>400</v>
      </c>
      <c r="M168" s="12" t="s">
        <v>217</v>
      </c>
      <c r="N168" s="12"/>
      <c r="O168" s="24" t="s">
        <v>19</v>
      </c>
    </row>
    <row r="169" spans="1:15" ht="30" customHeight="1">
      <c r="A169" s="5" t="s">
        <v>103</v>
      </c>
      <c r="B169" s="34" t="s">
        <v>609</v>
      </c>
      <c r="C169" s="34" t="s">
        <v>491</v>
      </c>
      <c r="D169" s="31">
        <v>8534.1584719087823</v>
      </c>
      <c r="E169" s="32">
        <v>7235.0691272522527</v>
      </c>
      <c r="F169" s="31">
        <f t="shared" si="2"/>
        <v>1299.0893446565296</v>
      </c>
      <c r="G169" s="33">
        <v>79</v>
      </c>
      <c r="H169" s="33">
        <v>1</v>
      </c>
      <c r="I169" s="12" t="s">
        <v>215</v>
      </c>
      <c r="J169" s="34">
        <v>40.874026666600002</v>
      </c>
      <c r="K169" s="34">
        <v>72.094549999700007</v>
      </c>
      <c r="L169" s="20">
        <v>160</v>
      </c>
      <c r="M169" s="12" t="s">
        <v>218</v>
      </c>
      <c r="N169" s="12"/>
      <c r="O169" s="24" t="s">
        <v>19</v>
      </c>
    </row>
    <row r="170" spans="1:15" ht="30" customHeight="1">
      <c r="A170" s="5" t="s">
        <v>103</v>
      </c>
      <c r="B170" s="34" t="s">
        <v>609</v>
      </c>
      <c r="C170" s="34" t="s">
        <v>492</v>
      </c>
      <c r="D170" s="31">
        <v>4814.6154919087812</v>
      </c>
      <c r="E170" s="32">
        <v>3980.8757939189181</v>
      </c>
      <c r="F170" s="31">
        <f t="shared" si="2"/>
        <v>833.73969798986309</v>
      </c>
      <c r="G170" s="33">
        <v>49</v>
      </c>
      <c r="H170" s="33">
        <v>1</v>
      </c>
      <c r="I170" s="12" t="s">
        <v>118</v>
      </c>
      <c r="J170" s="34">
        <v>40.877225000000003</v>
      </c>
      <c r="K170" s="34">
        <v>71.997230000000002</v>
      </c>
      <c r="L170" s="27">
        <v>100</v>
      </c>
      <c r="M170" s="12" t="s">
        <v>219</v>
      </c>
      <c r="N170" s="12"/>
      <c r="O170" s="24" t="s">
        <v>19</v>
      </c>
    </row>
    <row r="171" spans="1:15" ht="30" customHeight="1">
      <c r="A171" s="5" t="s">
        <v>103</v>
      </c>
      <c r="B171" s="34" t="s">
        <v>609</v>
      </c>
      <c r="C171" s="34" t="s">
        <v>493</v>
      </c>
      <c r="D171" s="31">
        <v>6617.3169919087813</v>
      </c>
      <c r="E171" s="32">
        <v>5558.0424605855851</v>
      </c>
      <c r="F171" s="31">
        <f t="shared" si="2"/>
        <v>1059.2745313231962</v>
      </c>
      <c r="G171" s="33">
        <v>106</v>
      </c>
      <c r="H171" s="33">
        <v>2</v>
      </c>
      <c r="I171" s="12" t="s">
        <v>118</v>
      </c>
      <c r="J171" s="34">
        <v>40.878791666700003</v>
      </c>
      <c r="K171" s="34">
        <v>72.014080000000007</v>
      </c>
      <c r="L171" s="20">
        <v>100</v>
      </c>
      <c r="M171" s="12" t="s">
        <v>220</v>
      </c>
      <c r="N171" s="12"/>
      <c r="O171" s="24" t="s">
        <v>19</v>
      </c>
    </row>
    <row r="172" spans="1:15" ht="30" customHeight="1">
      <c r="A172" s="5" t="s">
        <v>103</v>
      </c>
      <c r="B172" s="34" t="s">
        <v>605</v>
      </c>
      <c r="C172" s="34" t="s">
        <v>321</v>
      </c>
      <c r="D172" s="31">
        <v>7181.3021479087829</v>
      </c>
      <c r="E172" s="32">
        <v>6051.4677939189196</v>
      </c>
      <c r="F172" s="31">
        <f t="shared" si="2"/>
        <v>1129.8343539898633</v>
      </c>
      <c r="G172" s="33">
        <v>78</v>
      </c>
      <c r="H172" s="33">
        <v>1</v>
      </c>
      <c r="I172" s="12" t="s">
        <v>118</v>
      </c>
      <c r="J172" s="34">
        <v>40.879103333300002</v>
      </c>
      <c r="K172" s="34">
        <v>71.946520000000007</v>
      </c>
      <c r="L172" s="20">
        <v>100</v>
      </c>
      <c r="M172" s="12" t="s">
        <v>221</v>
      </c>
      <c r="N172" s="12"/>
      <c r="O172" s="24" t="s">
        <v>19</v>
      </c>
    </row>
    <row r="173" spans="1:15" ht="30" customHeight="1">
      <c r="A173" s="5" t="s">
        <v>16</v>
      </c>
      <c r="B173" s="34" t="s">
        <v>610</v>
      </c>
      <c r="C173" s="34" t="s">
        <v>494</v>
      </c>
      <c r="D173" s="31">
        <v>5381.474911908781</v>
      </c>
      <c r="E173" s="32">
        <v>4476.8157939189177</v>
      </c>
      <c r="F173" s="31">
        <f t="shared" si="2"/>
        <v>904.65911798986326</v>
      </c>
      <c r="G173" s="33">
        <v>91</v>
      </c>
      <c r="H173" s="33">
        <v>2</v>
      </c>
      <c r="I173" s="12"/>
      <c r="J173" s="34">
        <v>40.867316666699999</v>
      </c>
      <c r="K173" s="34">
        <v>72.0448633333</v>
      </c>
      <c r="L173" s="14">
        <v>400</v>
      </c>
      <c r="M173" s="12" t="s">
        <v>222</v>
      </c>
      <c r="N173" s="12"/>
      <c r="O173" s="24" t="s">
        <v>19</v>
      </c>
    </row>
    <row r="174" spans="1:15" ht="30" customHeight="1">
      <c r="A174" s="5" t="s">
        <v>16</v>
      </c>
      <c r="B174" s="34" t="s">
        <v>612</v>
      </c>
      <c r="C174" s="34" t="s">
        <v>495</v>
      </c>
      <c r="D174" s="31">
        <v>6806.7654319087815</v>
      </c>
      <c r="E174" s="32">
        <v>5723.7891272522511</v>
      </c>
      <c r="F174" s="31">
        <f t="shared" si="2"/>
        <v>1082.9763046565304</v>
      </c>
      <c r="G174" s="33">
        <v>65</v>
      </c>
      <c r="H174" s="33">
        <v>5</v>
      </c>
      <c r="I174" s="12" t="s">
        <v>58</v>
      </c>
      <c r="J174" s="34">
        <v>40.821199999999997</v>
      </c>
      <c r="K174" s="34">
        <v>72.145963333300003</v>
      </c>
      <c r="L174" s="14">
        <v>100</v>
      </c>
      <c r="M174" s="12" t="s">
        <v>223</v>
      </c>
      <c r="N174" s="12"/>
      <c r="O174" s="24" t="s">
        <v>19</v>
      </c>
    </row>
    <row r="175" spans="1:15" ht="30" customHeight="1">
      <c r="A175" s="5" t="s">
        <v>16</v>
      </c>
      <c r="B175" s="34" t="s">
        <v>612</v>
      </c>
      <c r="C175" s="34" t="s">
        <v>496</v>
      </c>
      <c r="D175" s="31">
        <v>9526.8996919087822</v>
      </c>
      <c r="E175" s="32">
        <v>8103.6091272522526</v>
      </c>
      <c r="F175" s="31">
        <f t="shared" si="2"/>
        <v>1423.2905646565296</v>
      </c>
      <c r="G175" s="33">
        <v>142</v>
      </c>
      <c r="H175" s="33">
        <v>3</v>
      </c>
      <c r="I175" s="12" t="s">
        <v>133</v>
      </c>
      <c r="J175" s="34">
        <v>40.853495000000002</v>
      </c>
      <c r="K175" s="34">
        <v>72.061329999999998</v>
      </c>
      <c r="L175" s="20">
        <v>250</v>
      </c>
      <c r="M175" s="12"/>
      <c r="N175" s="12" t="s">
        <v>224</v>
      </c>
      <c r="O175" s="24" t="s">
        <v>19</v>
      </c>
    </row>
    <row r="176" spans="1:15" ht="30" customHeight="1">
      <c r="A176" s="5" t="s">
        <v>16</v>
      </c>
      <c r="B176" s="34" t="s">
        <v>611</v>
      </c>
      <c r="C176" s="34" t="s">
        <v>497</v>
      </c>
      <c r="D176" s="31">
        <v>4555.0554319087814</v>
      </c>
      <c r="E176" s="32">
        <v>3753.7891272522515</v>
      </c>
      <c r="F176" s="31">
        <f t="shared" si="2"/>
        <v>801.26630465652988</v>
      </c>
      <c r="G176" s="33">
        <v>76</v>
      </c>
      <c r="H176" s="33">
        <v>0</v>
      </c>
      <c r="I176" s="12" t="s">
        <v>133</v>
      </c>
      <c r="J176" s="34">
        <v>40.8542466667</v>
      </c>
      <c r="K176" s="34">
        <v>72.141778333299996</v>
      </c>
      <c r="L176" s="25">
        <v>160</v>
      </c>
      <c r="M176" s="12" t="s">
        <v>225</v>
      </c>
      <c r="N176" s="12"/>
      <c r="O176" s="24" t="s">
        <v>19</v>
      </c>
    </row>
    <row r="177" spans="1:15" ht="30" customHeight="1">
      <c r="A177" s="5" t="s">
        <v>16</v>
      </c>
      <c r="B177" s="34" t="s">
        <v>611</v>
      </c>
      <c r="C177" s="34" t="s">
        <v>498</v>
      </c>
      <c r="D177" s="31">
        <v>5096.319271908781</v>
      </c>
      <c r="E177" s="32">
        <v>4227.3357939189182</v>
      </c>
      <c r="F177" s="31">
        <f t="shared" si="2"/>
        <v>868.98347798986288</v>
      </c>
      <c r="G177" s="33">
        <v>101</v>
      </c>
      <c r="H177" s="33">
        <v>1</v>
      </c>
      <c r="I177" s="12" t="s">
        <v>133</v>
      </c>
      <c r="J177" s="34">
        <v>40.870876666699999</v>
      </c>
      <c r="K177" s="34">
        <v>72.127028333300004</v>
      </c>
      <c r="L177" s="20">
        <v>100</v>
      </c>
      <c r="M177" s="12" t="s">
        <v>226</v>
      </c>
      <c r="N177" s="12"/>
      <c r="O177" s="24" t="s">
        <v>19</v>
      </c>
    </row>
    <row r="178" spans="1:15" ht="30" customHeight="1">
      <c r="A178" s="5" t="s">
        <v>16</v>
      </c>
      <c r="B178" s="34" t="s">
        <v>606</v>
      </c>
      <c r="C178" s="34" t="s">
        <v>499</v>
      </c>
      <c r="D178" s="31">
        <v>5260.9341319087816</v>
      </c>
      <c r="E178" s="32">
        <v>4371.3557939189186</v>
      </c>
      <c r="F178" s="31">
        <f t="shared" si="2"/>
        <v>889.57833798986303</v>
      </c>
      <c r="G178" s="33">
        <v>99</v>
      </c>
      <c r="H178" s="33">
        <v>5</v>
      </c>
      <c r="I178" s="12" t="s">
        <v>32</v>
      </c>
      <c r="J178" s="34">
        <v>40.85586</v>
      </c>
      <c r="K178" s="34">
        <v>72.008968333300004</v>
      </c>
      <c r="L178" s="20">
        <v>100</v>
      </c>
      <c r="M178" s="12" t="s">
        <v>227</v>
      </c>
      <c r="N178" s="12"/>
      <c r="O178" s="24" t="s">
        <v>19</v>
      </c>
    </row>
    <row r="179" spans="1:15" ht="30" customHeight="1">
      <c r="A179" s="5" t="s">
        <v>16</v>
      </c>
      <c r="B179" s="34" t="s">
        <v>612</v>
      </c>
      <c r="C179" s="34" t="s">
        <v>500</v>
      </c>
      <c r="D179" s="31">
        <v>6153.4456819087818</v>
      </c>
      <c r="E179" s="32">
        <v>5152.2057939189172</v>
      </c>
      <c r="F179" s="31">
        <f t="shared" si="2"/>
        <v>1001.2398879898647</v>
      </c>
      <c r="G179" s="33">
        <v>59</v>
      </c>
      <c r="H179" s="33">
        <v>1</v>
      </c>
      <c r="I179" s="12" t="s">
        <v>58</v>
      </c>
      <c r="J179" s="34">
        <v>40.827616666700003</v>
      </c>
      <c r="K179" s="34">
        <v>72.112166666700006</v>
      </c>
      <c r="L179" s="20">
        <v>100</v>
      </c>
      <c r="M179" s="12"/>
      <c r="N179" s="12" t="s">
        <v>228</v>
      </c>
      <c r="O179" s="24" t="s">
        <v>19</v>
      </c>
    </row>
    <row r="180" spans="1:15" ht="30" customHeight="1">
      <c r="A180" s="5" t="s">
        <v>16</v>
      </c>
      <c r="B180" s="34" t="s">
        <v>612</v>
      </c>
      <c r="C180" s="34" t="s">
        <v>501</v>
      </c>
      <c r="D180" s="31">
        <v>6918.2803219087828</v>
      </c>
      <c r="E180" s="32">
        <v>5821.3524605855864</v>
      </c>
      <c r="F180" s="31">
        <f t="shared" si="2"/>
        <v>1096.9278613231963</v>
      </c>
      <c r="G180" s="33">
        <v>53</v>
      </c>
      <c r="H180" s="33">
        <v>5</v>
      </c>
      <c r="I180" s="12" t="s">
        <v>58</v>
      </c>
      <c r="J180" s="34">
        <v>40.813206666699998</v>
      </c>
      <c r="K180" s="34">
        <v>72.109205000000003</v>
      </c>
      <c r="L180" s="20">
        <v>160</v>
      </c>
      <c r="M180" s="12" t="s">
        <v>229</v>
      </c>
      <c r="N180" s="12"/>
      <c r="O180" s="24" t="s">
        <v>19</v>
      </c>
    </row>
    <row r="181" spans="1:15" ht="30" customHeight="1">
      <c r="A181" s="5" t="s">
        <v>16</v>
      </c>
      <c r="B181" s="34" t="s">
        <v>608</v>
      </c>
      <c r="C181" s="34" t="s">
        <v>502</v>
      </c>
      <c r="D181" s="31">
        <v>1457.5749619087821</v>
      </c>
      <c r="E181" s="32">
        <v>1043.8324605855853</v>
      </c>
      <c r="F181" s="31">
        <f t="shared" si="2"/>
        <v>413.74250132319685</v>
      </c>
      <c r="G181" s="33">
        <v>10</v>
      </c>
      <c r="H181" s="33">
        <v>0</v>
      </c>
      <c r="I181" s="12" t="s">
        <v>58</v>
      </c>
      <c r="J181" s="34">
        <v>40.879336666699999</v>
      </c>
      <c r="K181" s="34">
        <v>71.986581666700005</v>
      </c>
      <c r="L181" s="20">
        <v>100</v>
      </c>
      <c r="M181" s="12" t="s">
        <v>230</v>
      </c>
      <c r="N181" s="12"/>
      <c r="O181" s="24" t="s">
        <v>19</v>
      </c>
    </row>
    <row r="182" spans="1:15" ht="30" customHeight="1">
      <c r="A182" s="5" t="s">
        <v>16</v>
      </c>
      <c r="B182" s="34" t="s">
        <v>611</v>
      </c>
      <c r="C182" s="34" t="s">
        <v>503</v>
      </c>
      <c r="D182" s="31">
        <v>4299.6597019087812</v>
      </c>
      <c r="E182" s="32">
        <v>3530.3457939189179</v>
      </c>
      <c r="F182" s="31">
        <f t="shared" si="2"/>
        <v>769.31390798986331</v>
      </c>
      <c r="G182" s="33">
        <v>20</v>
      </c>
      <c r="H182" s="33">
        <v>0</v>
      </c>
      <c r="I182" s="12" t="s">
        <v>58</v>
      </c>
      <c r="J182" s="34">
        <v>40.851741666700001</v>
      </c>
      <c r="K182" s="34">
        <v>72.133139999999997</v>
      </c>
      <c r="L182" s="20">
        <v>100</v>
      </c>
      <c r="M182" s="12" t="s">
        <v>231</v>
      </c>
      <c r="N182" s="12"/>
      <c r="O182" s="24" t="s">
        <v>19</v>
      </c>
    </row>
    <row r="183" spans="1:15" ht="30" customHeight="1">
      <c r="A183" s="5" t="s">
        <v>16</v>
      </c>
      <c r="B183" s="34" t="s">
        <v>610</v>
      </c>
      <c r="C183" s="34" t="s">
        <v>504</v>
      </c>
      <c r="D183" s="31">
        <v>5347.6344919087815</v>
      </c>
      <c r="E183" s="32">
        <v>4447.2091272522512</v>
      </c>
      <c r="F183" s="31">
        <f t="shared" si="2"/>
        <v>900.42536465653029</v>
      </c>
      <c r="G183" s="33">
        <v>76</v>
      </c>
      <c r="H183" s="33">
        <v>1</v>
      </c>
      <c r="I183" s="12" t="s">
        <v>58</v>
      </c>
      <c r="J183" s="34">
        <v>40.878543333300001</v>
      </c>
      <c r="K183" s="34">
        <v>72.055769999999995</v>
      </c>
      <c r="L183" s="20">
        <v>250</v>
      </c>
      <c r="M183" s="12" t="s">
        <v>232</v>
      </c>
      <c r="N183" s="12"/>
      <c r="O183" s="24" t="s">
        <v>19</v>
      </c>
    </row>
    <row r="184" spans="1:15" ht="30" customHeight="1">
      <c r="A184" s="5" t="s">
        <v>16</v>
      </c>
      <c r="B184" s="34" t="s">
        <v>606</v>
      </c>
      <c r="C184" s="34" t="s">
        <v>505</v>
      </c>
      <c r="D184" s="31">
        <v>7104.7569619087835</v>
      </c>
      <c r="E184" s="32">
        <v>5984.4991272522529</v>
      </c>
      <c r="F184" s="31">
        <f t="shared" si="2"/>
        <v>1120.2578346565306</v>
      </c>
      <c r="G184" s="33">
        <v>89</v>
      </c>
      <c r="H184" s="33">
        <v>0</v>
      </c>
      <c r="I184" s="12" t="s">
        <v>58</v>
      </c>
      <c r="J184" s="34">
        <v>40.863901666700002</v>
      </c>
      <c r="K184" s="34">
        <v>71.990183333299996</v>
      </c>
      <c r="L184" s="20">
        <v>100</v>
      </c>
      <c r="M184" s="12" t="s">
        <v>233</v>
      </c>
      <c r="N184" s="12"/>
      <c r="O184" s="24" t="s">
        <v>19</v>
      </c>
    </row>
    <row r="185" spans="1:15" ht="30" customHeight="1">
      <c r="A185" s="5" t="s">
        <v>16</v>
      </c>
      <c r="B185" s="34" t="s">
        <v>605</v>
      </c>
      <c r="C185" s="34" t="s">
        <v>333</v>
      </c>
      <c r="D185" s="31">
        <v>4705.0818019087828</v>
      </c>
      <c r="E185" s="32">
        <v>3885.0457939189182</v>
      </c>
      <c r="F185" s="31">
        <f t="shared" si="2"/>
        <v>820.03600798986463</v>
      </c>
      <c r="G185" s="33">
        <v>86</v>
      </c>
      <c r="H185" s="33">
        <v>3</v>
      </c>
      <c r="I185" s="12" t="s">
        <v>37</v>
      </c>
      <c r="J185" s="34">
        <v>40.877413333299998</v>
      </c>
      <c r="K185" s="34">
        <v>71.930764999999994</v>
      </c>
      <c r="L185" s="20">
        <v>160</v>
      </c>
      <c r="M185" s="12"/>
      <c r="N185" s="12" t="s">
        <v>234</v>
      </c>
      <c r="O185" s="24" t="s">
        <v>19</v>
      </c>
    </row>
    <row r="186" spans="1:15" ht="30" customHeight="1">
      <c r="A186" s="5" t="s">
        <v>16</v>
      </c>
      <c r="B186" s="34" t="s">
        <v>609</v>
      </c>
      <c r="C186" s="34" t="s">
        <v>506</v>
      </c>
      <c r="D186" s="31">
        <v>2953.9296019087828</v>
      </c>
      <c r="E186" s="32">
        <v>2352.9791272522521</v>
      </c>
      <c r="F186" s="31">
        <f t="shared" si="2"/>
        <v>600.95047465653079</v>
      </c>
      <c r="G186" s="33">
        <v>39</v>
      </c>
      <c r="H186" s="33">
        <v>0</v>
      </c>
      <c r="I186" s="12" t="s">
        <v>37</v>
      </c>
      <c r="J186" s="34">
        <v>40.874026666600002</v>
      </c>
      <c r="K186" s="34">
        <v>72.094549999700007</v>
      </c>
      <c r="L186" s="20">
        <v>160</v>
      </c>
      <c r="M186" s="12" t="s">
        <v>235</v>
      </c>
      <c r="N186" s="12"/>
      <c r="O186" s="24" t="s">
        <v>19</v>
      </c>
    </row>
    <row r="187" spans="1:15" ht="30" customHeight="1">
      <c r="A187" s="5" t="s">
        <v>16</v>
      </c>
      <c r="B187" s="34" t="s">
        <v>608</v>
      </c>
      <c r="C187" s="34" t="s">
        <v>507</v>
      </c>
      <c r="D187" s="31">
        <v>12617.369761908783</v>
      </c>
      <c r="E187" s="32">
        <v>10807.432460585587</v>
      </c>
      <c r="F187" s="31">
        <f t="shared" si="2"/>
        <v>1809.9373013231962</v>
      </c>
      <c r="G187" s="33">
        <v>46</v>
      </c>
      <c r="H187" s="33">
        <v>3</v>
      </c>
      <c r="I187" s="12" t="s">
        <v>37</v>
      </c>
      <c r="J187" s="34">
        <v>40.8828566667</v>
      </c>
      <c r="K187" s="34">
        <v>71.988209999999995</v>
      </c>
      <c r="L187" s="20">
        <v>160</v>
      </c>
      <c r="M187" s="12" t="s">
        <v>93</v>
      </c>
      <c r="N187" s="12"/>
      <c r="O187" s="24" t="s">
        <v>19</v>
      </c>
    </row>
    <row r="188" spans="1:15" ht="30" customHeight="1">
      <c r="A188" s="5" t="s">
        <v>16</v>
      </c>
      <c r="B188" s="34" t="s">
        <v>611</v>
      </c>
      <c r="C188" s="34" t="s">
        <v>508</v>
      </c>
      <c r="D188" s="31">
        <v>3989.3454889087825</v>
      </c>
      <c r="E188" s="32">
        <v>3258.8547939189189</v>
      </c>
      <c r="F188" s="31">
        <f t="shared" si="2"/>
        <v>730.49069498986364</v>
      </c>
      <c r="G188" s="33">
        <v>64</v>
      </c>
      <c r="H188" s="33">
        <v>0</v>
      </c>
      <c r="I188" s="12" t="s">
        <v>37</v>
      </c>
      <c r="J188" s="34">
        <v>40.859856666699997</v>
      </c>
      <c r="K188" s="34">
        <v>72.077610000000007</v>
      </c>
      <c r="L188" s="20">
        <v>63</v>
      </c>
      <c r="M188" s="12" t="s">
        <v>236</v>
      </c>
      <c r="N188" s="12"/>
      <c r="O188" s="24" t="s">
        <v>19</v>
      </c>
    </row>
    <row r="189" spans="1:15" ht="30" customHeight="1">
      <c r="A189" s="5" t="s">
        <v>16</v>
      </c>
      <c r="B189" s="34" t="s">
        <v>612</v>
      </c>
      <c r="C189" s="34" t="s">
        <v>509</v>
      </c>
      <c r="D189" s="31">
        <v>5186.0447719087806</v>
      </c>
      <c r="E189" s="32">
        <v>4305.8357939189182</v>
      </c>
      <c r="F189" s="31">
        <f t="shared" si="2"/>
        <v>880.20897798986243</v>
      </c>
      <c r="G189" s="33">
        <v>76</v>
      </c>
      <c r="H189" s="33">
        <v>0</v>
      </c>
      <c r="I189" s="12" t="s">
        <v>58</v>
      </c>
      <c r="J189" s="34">
        <v>40.848528333300003</v>
      </c>
      <c r="K189" s="34">
        <v>72.072953333300006</v>
      </c>
      <c r="L189" s="20">
        <v>100</v>
      </c>
      <c r="M189" s="12" t="s">
        <v>237</v>
      </c>
      <c r="N189" s="12"/>
      <c r="O189" s="24" t="s">
        <v>19</v>
      </c>
    </row>
    <row r="190" spans="1:15" ht="30" customHeight="1">
      <c r="A190" s="5" t="s">
        <v>16</v>
      </c>
      <c r="B190" s="34" t="s">
        <v>611</v>
      </c>
      <c r="C190" s="34" t="s">
        <v>510</v>
      </c>
      <c r="D190" s="31">
        <v>3669.2342419087813</v>
      </c>
      <c r="E190" s="32">
        <v>2978.7924605855846</v>
      </c>
      <c r="F190" s="31">
        <f t="shared" si="2"/>
        <v>690.44178132319666</v>
      </c>
      <c r="G190" s="33">
        <v>48</v>
      </c>
      <c r="H190" s="33">
        <v>1</v>
      </c>
      <c r="I190" s="12" t="s">
        <v>37</v>
      </c>
      <c r="J190" s="34">
        <v>40.877876666699997</v>
      </c>
      <c r="K190" s="34">
        <v>72.082390000000004</v>
      </c>
      <c r="L190" s="20">
        <v>100</v>
      </c>
      <c r="M190" s="12" t="s">
        <v>238</v>
      </c>
      <c r="N190" s="12"/>
      <c r="O190" s="24" t="s">
        <v>19</v>
      </c>
    </row>
    <row r="191" spans="1:15" ht="30" customHeight="1">
      <c r="A191" s="5" t="s">
        <v>16</v>
      </c>
      <c r="B191" s="34" t="s">
        <v>605</v>
      </c>
      <c r="C191" s="34" t="s">
        <v>318</v>
      </c>
      <c r="D191" s="31">
        <v>3314.9575819087822</v>
      </c>
      <c r="E191" s="32">
        <v>2668.8391272522522</v>
      </c>
      <c r="F191" s="31">
        <f t="shared" si="2"/>
        <v>646.11845465653005</v>
      </c>
      <c r="G191" s="33">
        <v>31</v>
      </c>
      <c r="H191" s="33">
        <v>0</v>
      </c>
      <c r="I191" s="12" t="s">
        <v>37</v>
      </c>
      <c r="J191" s="34">
        <v>40.864673333299997</v>
      </c>
      <c r="K191" s="34">
        <v>71.946511666700005</v>
      </c>
      <c r="L191" s="20">
        <v>100</v>
      </c>
      <c r="M191" s="12" t="s">
        <v>239</v>
      </c>
      <c r="N191" s="12"/>
      <c r="O191" s="24" t="s">
        <v>19</v>
      </c>
    </row>
    <row r="192" spans="1:15" ht="30" customHeight="1">
      <c r="A192" s="5" t="s">
        <v>103</v>
      </c>
      <c r="B192" s="34" t="s">
        <v>606</v>
      </c>
      <c r="C192" s="34" t="s">
        <v>511</v>
      </c>
      <c r="D192" s="31">
        <v>11044.399831908784</v>
      </c>
      <c r="E192" s="32">
        <v>9431.2557939189192</v>
      </c>
      <c r="F192" s="31">
        <f t="shared" si="2"/>
        <v>1613.144037989865</v>
      </c>
      <c r="G192" s="33">
        <v>73</v>
      </c>
      <c r="H192" s="33">
        <v>1</v>
      </c>
      <c r="I192" s="12" t="s">
        <v>110</v>
      </c>
      <c r="J192" s="34">
        <v>40.865333333300001</v>
      </c>
      <c r="K192" s="34">
        <v>71.986301666700001</v>
      </c>
      <c r="L192" s="20">
        <v>160</v>
      </c>
      <c r="M192" s="12" t="s">
        <v>240</v>
      </c>
      <c r="N192" s="12"/>
      <c r="O192" s="24" t="s">
        <v>19</v>
      </c>
    </row>
    <row r="193" spans="1:15" ht="30" customHeight="1">
      <c r="A193" s="5" t="s">
        <v>103</v>
      </c>
      <c r="B193" s="34" t="s">
        <v>609</v>
      </c>
      <c r="C193" s="34" t="s">
        <v>512</v>
      </c>
      <c r="D193" s="31">
        <v>5432.2545919087815</v>
      </c>
      <c r="E193" s="32">
        <v>4521.2424605855849</v>
      </c>
      <c r="F193" s="31">
        <f t="shared" si="2"/>
        <v>911.01213132319663</v>
      </c>
      <c r="G193" s="33">
        <v>97</v>
      </c>
      <c r="H193" s="33">
        <v>0</v>
      </c>
      <c r="I193" s="12" t="s">
        <v>160</v>
      </c>
      <c r="J193" s="34">
        <v>40.872945000000001</v>
      </c>
      <c r="K193" s="34">
        <v>72.003528333299997</v>
      </c>
      <c r="L193" s="25">
        <v>250</v>
      </c>
      <c r="M193" s="12" t="s">
        <v>241</v>
      </c>
      <c r="N193" s="12"/>
      <c r="O193" s="24" t="s">
        <v>19</v>
      </c>
    </row>
    <row r="194" spans="1:15" ht="30" customHeight="1">
      <c r="A194" s="5" t="s">
        <v>103</v>
      </c>
      <c r="B194" s="34" t="s">
        <v>605</v>
      </c>
      <c r="C194" s="34" t="s">
        <v>337</v>
      </c>
      <c r="D194" s="31">
        <v>15965.601571908783</v>
      </c>
      <c r="E194" s="32">
        <v>13736.769127252252</v>
      </c>
      <c r="F194" s="31">
        <f t="shared" si="2"/>
        <v>2228.8324446565312</v>
      </c>
      <c r="G194" s="33">
        <v>97</v>
      </c>
      <c r="H194" s="33">
        <v>4</v>
      </c>
      <c r="I194" s="12" t="s">
        <v>160</v>
      </c>
      <c r="J194" s="34">
        <v>40.890994999999997</v>
      </c>
      <c r="K194" s="34">
        <v>71.932898333300002</v>
      </c>
      <c r="L194" s="20">
        <v>400</v>
      </c>
      <c r="M194" s="12" t="s">
        <v>242</v>
      </c>
      <c r="N194" s="12"/>
      <c r="O194" s="24" t="s">
        <v>19</v>
      </c>
    </row>
    <row r="195" spans="1:15" ht="30" customHeight="1">
      <c r="A195" s="5" t="s">
        <v>103</v>
      </c>
      <c r="B195" s="34" t="s">
        <v>610</v>
      </c>
      <c r="C195" s="34" t="s">
        <v>513</v>
      </c>
      <c r="D195" s="31">
        <v>2423.1927919087825</v>
      </c>
      <c r="E195" s="32">
        <v>1888.6424605855855</v>
      </c>
      <c r="F195" s="31">
        <f t="shared" si="2"/>
        <v>534.55033132319704</v>
      </c>
      <c r="G195" s="33">
        <v>18</v>
      </c>
      <c r="H195" s="33">
        <v>0</v>
      </c>
      <c r="I195" s="12" t="s">
        <v>160</v>
      </c>
      <c r="J195" s="34">
        <v>40.87829</v>
      </c>
      <c r="K195" s="34">
        <v>72.038823333300002</v>
      </c>
      <c r="L195" s="20">
        <v>160</v>
      </c>
      <c r="M195" s="12" t="s">
        <v>243</v>
      </c>
      <c r="N195" s="12"/>
      <c r="O195" s="24" t="s">
        <v>19</v>
      </c>
    </row>
    <row r="196" spans="1:15" ht="30" customHeight="1">
      <c r="A196" s="5" t="s">
        <v>103</v>
      </c>
      <c r="B196" s="34" t="s">
        <v>613</v>
      </c>
      <c r="C196" s="34" t="s">
        <v>514</v>
      </c>
      <c r="D196" s="31">
        <v>3368.3166319087813</v>
      </c>
      <c r="E196" s="32">
        <v>2715.5224605855851</v>
      </c>
      <c r="F196" s="31">
        <f t="shared" si="2"/>
        <v>652.79417132319622</v>
      </c>
      <c r="G196" s="33">
        <v>83</v>
      </c>
      <c r="H196" s="33">
        <v>4</v>
      </c>
      <c r="I196" s="12" t="s">
        <v>244</v>
      </c>
      <c r="J196" s="34">
        <v>40.838336666700002</v>
      </c>
      <c r="K196" s="34">
        <v>72.207795000000004</v>
      </c>
      <c r="L196" s="20">
        <v>100</v>
      </c>
      <c r="M196" s="12" t="s">
        <v>245</v>
      </c>
      <c r="N196" s="12"/>
      <c r="O196" s="24" t="s">
        <v>19</v>
      </c>
    </row>
    <row r="197" spans="1:15" ht="30" customHeight="1">
      <c r="A197" s="5" t="s">
        <v>103</v>
      </c>
      <c r="B197" s="34" t="s">
        <v>613</v>
      </c>
      <c r="C197" s="34" t="s">
        <v>515</v>
      </c>
      <c r="D197" s="31">
        <v>4531.9058719087816</v>
      </c>
      <c r="E197" s="32">
        <v>3733.535793918918</v>
      </c>
      <c r="F197" s="31">
        <f t="shared" ref="F197:F260" si="3">+D197-E197</f>
        <v>798.3700779898636</v>
      </c>
      <c r="G197" s="33">
        <v>70</v>
      </c>
      <c r="H197" s="33">
        <v>0</v>
      </c>
      <c r="I197" s="12" t="s">
        <v>244</v>
      </c>
      <c r="J197" s="34">
        <v>40.839168333300002</v>
      </c>
      <c r="K197" s="34">
        <v>72.209829999999997</v>
      </c>
      <c r="L197" s="20">
        <v>100</v>
      </c>
      <c r="M197" s="12" t="s">
        <v>246</v>
      </c>
      <c r="N197" s="12"/>
      <c r="O197" s="24" t="s">
        <v>19</v>
      </c>
    </row>
    <row r="198" spans="1:15" ht="30" customHeight="1">
      <c r="A198" s="5" t="s">
        <v>103</v>
      </c>
      <c r="B198" s="34" t="s">
        <v>609</v>
      </c>
      <c r="C198" s="34" t="s">
        <v>516</v>
      </c>
      <c r="D198" s="31">
        <v>7306.1840419087812</v>
      </c>
      <c r="E198" s="32">
        <v>6160.7257939189185</v>
      </c>
      <c r="F198" s="31">
        <f t="shared" si="3"/>
        <v>1145.4582479898627</v>
      </c>
      <c r="G198" s="33">
        <v>96</v>
      </c>
      <c r="H198" s="33">
        <v>1</v>
      </c>
      <c r="I198" s="12" t="s">
        <v>244</v>
      </c>
      <c r="J198" s="34">
        <v>40.875433333300002</v>
      </c>
      <c r="K198" s="34">
        <v>72.019919999999999</v>
      </c>
      <c r="L198" s="20">
        <v>160</v>
      </c>
      <c r="M198" s="12" t="s">
        <v>247</v>
      </c>
      <c r="N198" s="12"/>
      <c r="O198" s="24" t="s">
        <v>19</v>
      </c>
    </row>
    <row r="199" spans="1:15" ht="30" customHeight="1">
      <c r="A199" s="5" t="s">
        <v>103</v>
      </c>
      <c r="B199" s="34" t="s">
        <v>609</v>
      </c>
      <c r="C199" s="34" t="s">
        <v>517</v>
      </c>
      <c r="D199" s="31">
        <v>1986.707761908782</v>
      </c>
      <c r="E199" s="32">
        <v>1506.7657939189185</v>
      </c>
      <c r="F199" s="31">
        <f t="shared" si="3"/>
        <v>479.94196798986354</v>
      </c>
      <c r="G199" s="33">
        <v>17</v>
      </c>
      <c r="H199" s="33">
        <v>1</v>
      </c>
      <c r="I199" s="12" t="s">
        <v>244</v>
      </c>
      <c r="J199" s="34">
        <v>40.874026666600002</v>
      </c>
      <c r="K199" s="34">
        <v>72.094549999700007</v>
      </c>
      <c r="L199" s="20">
        <v>250</v>
      </c>
      <c r="M199" s="12" t="s">
        <v>248</v>
      </c>
      <c r="N199" s="12"/>
      <c r="O199" s="24" t="s">
        <v>19</v>
      </c>
    </row>
    <row r="200" spans="1:15" ht="30" customHeight="1">
      <c r="A200" s="5" t="s">
        <v>103</v>
      </c>
      <c r="B200" s="34" t="s">
        <v>607</v>
      </c>
      <c r="C200" s="34" t="s">
        <v>518</v>
      </c>
      <c r="D200" s="31">
        <v>2679.7048519087825</v>
      </c>
      <c r="E200" s="32">
        <v>2113.062460585586</v>
      </c>
      <c r="F200" s="31">
        <f t="shared" si="3"/>
        <v>566.64239132319653</v>
      </c>
      <c r="G200" s="33">
        <v>50</v>
      </c>
      <c r="H200" s="33">
        <v>0</v>
      </c>
      <c r="I200" s="12"/>
      <c r="J200" s="34">
        <v>40.872078333300003</v>
      </c>
      <c r="K200" s="34">
        <v>71.959788333299997</v>
      </c>
      <c r="L200" s="20">
        <v>63</v>
      </c>
      <c r="M200" s="12" t="s">
        <v>249</v>
      </c>
      <c r="N200" s="12"/>
      <c r="O200" s="24" t="s">
        <v>19</v>
      </c>
    </row>
    <row r="201" spans="1:15" ht="30" customHeight="1">
      <c r="A201" s="5" t="s">
        <v>103</v>
      </c>
      <c r="B201" s="34" t="s">
        <v>608</v>
      </c>
      <c r="C201" s="34" t="s">
        <v>519</v>
      </c>
      <c r="D201" s="31">
        <v>3045.0762319087812</v>
      </c>
      <c r="E201" s="32">
        <v>2432.7224605855849</v>
      </c>
      <c r="F201" s="31">
        <f t="shared" si="3"/>
        <v>612.35377132319627</v>
      </c>
      <c r="G201" s="33">
        <v>43</v>
      </c>
      <c r="H201" s="33">
        <v>0</v>
      </c>
      <c r="I201" s="12" t="s">
        <v>250</v>
      </c>
      <c r="J201" s="34">
        <v>40.885644999999997</v>
      </c>
      <c r="K201" s="34">
        <v>71.975255000000004</v>
      </c>
      <c r="L201" s="20">
        <v>250</v>
      </c>
      <c r="M201" s="12" t="s">
        <v>251</v>
      </c>
      <c r="N201" s="12"/>
      <c r="O201" s="24" t="s">
        <v>19</v>
      </c>
    </row>
    <row r="202" spans="1:15" ht="30" customHeight="1">
      <c r="A202" s="19" t="s">
        <v>103</v>
      </c>
      <c r="B202" s="34" t="s">
        <v>608</v>
      </c>
      <c r="C202" s="34" t="s">
        <v>520</v>
      </c>
      <c r="D202" s="31">
        <v>2328.8952919087824</v>
      </c>
      <c r="E202" s="32">
        <v>1806.1424605855855</v>
      </c>
      <c r="F202" s="31">
        <f t="shared" si="3"/>
        <v>522.75283132319692</v>
      </c>
      <c r="G202" s="33">
        <v>38</v>
      </c>
      <c r="H202" s="33">
        <v>1</v>
      </c>
      <c r="I202" s="13" t="s">
        <v>250</v>
      </c>
      <c r="J202" s="34">
        <v>40.883506666700001</v>
      </c>
      <c r="K202" s="34">
        <v>71.977718333300004</v>
      </c>
      <c r="L202" s="20">
        <v>250</v>
      </c>
      <c r="M202" s="12" t="s">
        <v>252</v>
      </c>
      <c r="N202" s="12"/>
      <c r="O202" s="24" t="s">
        <v>19</v>
      </c>
    </row>
    <row r="203" spans="1:15" ht="30" customHeight="1">
      <c r="A203" s="19" t="s">
        <v>103</v>
      </c>
      <c r="B203" s="34" t="s">
        <v>610</v>
      </c>
      <c r="C203" s="34" t="s">
        <v>521</v>
      </c>
      <c r="D203" s="31">
        <v>794.14347190878232</v>
      </c>
      <c r="E203" s="32">
        <v>463.40246058558529</v>
      </c>
      <c r="F203" s="31">
        <f t="shared" si="3"/>
        <v>330.74101132319703</v>
      </c>
      <c r="G203" s="33">
        <v>20</v>
      </c>
      <c r="H203" s="33">
        <v>1</v>
      </c>
      <c r="I203" s="13" t="s">
        <v>250</v>
      </c>
      <c r="J203" s="34">
        <v>40.877465000000001</v>
      </c>
      <c r="K203" s="34">
        <v>72.08811</v>
      </c>
      <c r="L203" s="20">
        <v>250</v>
      </c>
      <c r="M203" s="12" t="s">
        <v>253</v>
      </c>
      <c r="N203" s="12"/>
      <c r="O203" s="24" t="s">
        <v>19</v>
      </c>
    </row>
    <row r="204" spans="1:15" ht="30" customHeight="1">
      <c r="A204" s="19" t="s">
        <v>103</v>
      </c>
      <c r="B204" s="34" t="s">
        <v>611</v>
      </c>
      <c r="C204" s="34" t="s">
        <v>522</v>
      </c>
      <c r="D204" s="31">
        <v>9678.1757419087826</v>
      </c>
      <c r="E204" s="32">
        <v>8235.9591272522539</v>
      </c>
      <c r="F204" s="31">
        <f t="shared" si="3"/>
        <v>1442.2166146565287</v>
      </c>
      <c r="G204" s="33">
        <v>83</v>
      </c>
      <c r="H204" s="33">
        <v>0</v>
      </c>
      <c r="I204" s="13" t="s">
        <v>254</v>
      </c>
      <c r="J204" s="34">
        <v>40.861406666699999</v>
      </c>
      <c r="K204" s="34">
        <v>72.060223333300002</v>
      </c>
      <c r="L204" s="20">
        <v>100</v>
      </c>
      <c r="M204" s="12" t="s">
        <v>255</v>
      </c>
      <c r="N204" s="12"/>
      <c r="O204" s="24" t="s">
        <v>19</v>
      </c>
    </row>
    <row r="205" spans="1:15" ht="30" customHeight="1">
      <c r="A205" s="19" t="s">
        <v>103</v>
      </c>
      <c r="B205" s="34" t="s">
        <v>609</v>
      </c>
      <c r="C205" s="34" t="s">
        <v>523</v>
      </c>
      <c r="D205" s="31">
        <v>4094.338801908782</v>
      </c>
      <c r="E205" s="32">
        <v>3350.7124605855847</v>
      </c>
      <c r="F205" s="31">
        <f t="shared" si="3"/>
        <v>743.62634132319727</v>
      </c>
      <c r="G205" s="33">
        <v>62</v>
      </c>
      <c r="H205" s="33">
        <v>0</v>
      </c>
      <c r="I205" s="13" t="s">
        <v>254</v>
      </c>
      <c r="J205" s="34">
        <v>40.876036666700003</v>
      </c>
      <c r="K205" s="34">
        <v>72.012455000000003</v>
      </c>
      <c r="L205" s="20">
        <v>63</v>
      </c>
      <c r="M205" s="12" t="s">
        <v>256</v>
      </c>
      <c r="N205" s="12"/>
      <c r="O205" s="24" t="s">
        <v>19</v>
      </c>
    </row>
    <row r="206" spans="1:15" ht="30" customHeight="1">
      <c r="A206" s="19" t="s">
        <v>103</v>
      </c>
      <c r="B206" s="34" t="s">
        <v>608</v>
      </c>
      <c r="C206" s="34" t="s">
        <v>524</v>
      </c>
      <c r="D206" s="31">
        <v>23661.999691908783</v>
      </c>
      <c r="E206" s="32">
        <v>20470.275793918914</v>
      </c>
      <c r="F206" s="31">
        <f t="shared" si="3"/>
        <v>3191.7238979898684</v>
      </c>
      <c r="G206" s="33">
        <v>133</v>
      </c>
      <c r="H206" s="33">
        <v>0</v>
      </c>
      <c r="I206" s="13" t="s">
        <v>254</v>
      </c>
      <c r="J206" s="34">
        <v>40.878603333299999</v>
      </c>
      <c r="K206" s="34">
        <v>71.971546666699993</v>
      </c>
      <c r="L206" s="20">
        <v>100</v>
      </c>
      <c r="M206" s="12" t="s">
        <v>257</v>
      </c>
      <c r="N206" s="12"/>
      <c r="O206" s="24" t="s">
        <v>19</v>
      </c>
    </row>
    <row r="207" spans="1:15" ht="30" customHeight="1">
      <c r="A207" s="19" t="s">
        <v>103</v>
      </c>
      <c r="B207" s="34" t="s">
        <v>609</v>
      </c>
      <c r="C207" s="34" t="s">
        <v>525</v>
      </c>
      <c r="D207" s="31">
        <v>2991.9076819087823</v>
      </c>
      <c r="E207" s="32">
        <v>2386.205793918919</v>
      </c>
      <c r="F207" s="31">
        <f t="shared" si="3"/>
        <v>605.70188798986328</v>
      </c>
      <c r="G207" s="33">
        <v>46</v>
      </c>
      <c r="H207" s="33">
        <v>0</v>
      </c>
      <c r="I207" s="13" t="s">
        <v>254</v>
      </c>
      <c r="J207" s="34">
        <v>40.877144999999999</v>
      </c>
      <c r="K207" s="34">
        <v>72.008285000000001</v>
      </c>
      <c r="L207" s="20">
        <v>160</v>
      </c>
      <c r="M207" s="12"/>
      <c r="N207" s="12" t="s">
        <v>258</v>
      </c>
      <c r="O207" s="24" t="s">
        <v>19</v>
      </c>
    </row>
    <row r="208" spans="1:15" ht="30" customHeight="1">
      <c r="A208" s="19" t="s">
        <v>103</v>
      </c>
      <c r="B208" s="34" t="s">
        <v>610</v>
      </c>
      <c r="C208" s="34" t="s">
        <v>526</v>
      </c>
      <c r="D208" s="31">
        <v>6109.0553719087829</v>
      </c>
      <c r="E208" s="32">
        <v>5113.369127252251</v>
      </c>
      <c r="F208" s="31">
        <f t="shared" si="3"/>
        <v>995.68624465653193</v>
      </c>
      <c r="G208" s="33">
        <v>112</v>
      </c>
      <c r="H208" s="33">
        <v>0</v>
      </c>
      <c r="I208" s="13" t="s">
        <v>254</v>
      </c>
      <c r="J208" s="34">
        <v>40.881168333300003</v>
      </c>
      <c r="K208" s="34">
        <v>72.049769999999995</v>
      </c>
      <c r="L208" s="20">
        <v>160</v>
      </c>
      <c r="M208" s="12" t="s">
        <v>259</v>
      </c>
      <c r="N208" s="12"/>
      <c r="O208" s="24" t="s">
        <v>19</v>
      </c>
    </row>
    <row r="209" spans="1:15" ht="30" customHeight="1">
      <c r="A209" s="19" t="s">
        <v>103</v>
      </c>
      <c r="B209" s="34" t="s">
        <v>611</v>
      </c>
      <c r="C209" s="34" t="s">
        <v>527</v>
      </c>
      <c r="D209" s="31">
        <v>2029.2159319087825</v>
      </c>
      <c r="E209" s="32">
        <v>1543.9557939189187</v>
      </c>
      <c r="F209" s="31">
        <f t="shared" si="3"/>
        <v>485.26013798986378</v>
      </c>
      <c r="G209" s="33">
        <v>79</v>
      </c>
      <c r="H209" s="33">
        <v>7</v>
      </c>
      <c r="I209" s="13" t="s">
        <v>254</v>
      </c>
      <c r="J209" s="34">
        <v>40.850251666699997</v>
      </c>
      <c r="K209" s="34">
        <v>72.055284999999998</v>
      </c>
      <c r="L209" s="20">
        <v>250</v>
      </c>
      <c r="M209" s="12" t="s">
        <v>260</v>
      </c>
      <c r="N209" s="12"/>
      <c r="O209" s="24" t="s">
        <v>19</v>
      </c>
    </row>
    <row r="210" spans="1:15" ht="30" customHeight="1">
      <c r="A210" s="19" t="s">
        <v>103</v>
      </c>
      <c r="B210" s="34" t="s">
        <v>610</v>
      </c>
      <c r="C210" s="34" t="s">
        <v>528</v>
      </c>
      <c r="D210" s="31">
        <v>8006.0467519087833</v>
      </c>
      <c r="E210" s="32">
        <v>6773.0291272522527</v>
      </c>
      <c r="F210" s="31">
        <f t="shared" si="3"/>
        <v>1233.0176246565306</v>
      </c>
      <c r="G210" s="33">
        <v>50</v>
      </c>
      <c r="H210" s="33">
        <v>0</v>
      </c>
      <c r="I210" s="13" t="s">
        <v>254</v>
      </c>
      <c r="J210" s="34">
        <v>40.8797483333</v>
      </c>
      <c r="K210" s="34">
        <v>72.029821666700002</v>
      </c>
      <c r="L210" s="20">
        <v>40</v>
      </c>
      <c r="M210" s="12" t="s">
        <v>261</v>
      </c>
      <c r="N210" s="12"/>
      <c r="O210" s="24" t="s">
        <v>19</v>
      </c>
    </row>
    <row r="211" spans="1:15" ht="30" customHeight="1">
      <c r="A211" s="19" t="s">
        <v>103</v>
      </c>
      <c r="B211" s="34" t="s">
        <v>608</v>
      </c>
      <c r="C211" s="34" t="s">
        <v>529</v>
      </c>
      <c r="D211" s="31">
        <v>6372.3873319087825</v>
      </c>
      <c r="E211" s="32">
        <v>5343.7557939189182</v>
      </c>
      <c r="F211" s="31">
        <f t="shared" si="3"/>
        <v>1028.6315379898642</v>
      </c>
      <c r="G211" s="33">
        <v>43</v>
      </c>
      <c r="H211" s="33">
        <v>0</v>
      </c>
      <c r="I211" s="13" t="s">
        <v>206</v>
      </c>
      <c r="J211" s="34">
        <v>40.87462</v>
      </c>
      <c r="K211" s="34">
        <v>71.975811666699997</v>
      </c>
      <c r="L211" s="20">
        <v>250</v>
      </c>
      <c r="M211" s="12" t="s">
        <v>262</v>
      </c>
      <c r="N211" s="12"/>
      <c r="O211" s="24" t="s">
        <v>19</v>
      </c>
    </row>
    <row r="212" spans="1:15" ht="30" customHeight="1">
      <c r="A212" s="19" t="s">
        <v>103</v>
      </c>
      <c r="B212" s="34" t="s">
        <v>613</v>
      </c>
      <c r="C212" s="34" t="s">
        <v>530</v>
      </c>
      <c r="D212" s="31">
        <v>1579.6549819087822</v>
      </c>
      <c r="E212" s="32">
        <v>1150.6391272522517</v>
      </c>
      <c r="F212" s="31">
        <f t="shared" si="3"/>
        <v>429.01585465653056</v>
      </c>
      <c r="G212" s="33">
        <v>55</v>
      </c>
      <c r="H212" s="33">
        <v>1</v>
      </c>
      <c r="I212" s="13" t="s">
        <v>206</v>
      </c>
      <c r="J212" s="34">
        <v>40.841295000000002</v>
      </c>
      <c r="K212" s="34">
        <v>72.169233333299999</v>
      </c>
      <c r="L212" s="20">
        <v>63</v>
      </c>
      <c r="M212" s="12" t="s">
        <v>263</v>
      </c>
      <c r="N212" s="12"/>
      <c r="O212" s="24" t="s">
        <v>19</v>
      </c>
    </row>
    <row r="213" spans="1:15" ht="30" customHeight="1">
      <c r="A213" s="19" t="s">
        <v>103</v>
      </c>
      <c r="B213" s="34" t="s">
        <v>610</v>
      </c>
      <c r="C213" s="34" t="s">
        <v>531</v>
      </c>
      <c r="D213" s="31">
        <v>5037.7748119087819</v>
      </c>
      <c r="E213" s="32">
        <v>4176.1157939189179</v>
      </c>
      <c r="F213" s="31">
        <f t="shared" si="3"/>
        <v>861.65901798986397</v>
      </c>
      <c r="G213" s="33">
        <v>62</v>
      </c>
      <c r="H213" s="33">
        <v>1</v>
      </c>
      <c r="I213" s="13" t="s">
        <v>264</v>
      </c>
      <c r="J213" s="34">
        <v>40.8741466667</v>
      </c>
      <c r="K213" s="34">
        <v>72.027926666699997</v>
      </c>
      <c r="L213" s="20">
        <v>25</v>
      </c>
      <c r="M213" s="12"/>
      <c r="N213" s="12" t="s">
        <v>194</v>
      </c>
      <c r="O213" s="24" t="s">
        <v>19</v>
      </c>
    </row>
    <row r="214" spans="1:15" ht="30" customHeight="1">
      <c r="A214" s="19" t="s">
        <v>103</v>
      </c>
      <c r="B214" s="34" t="s">
        <v>613</v>
      </c>
      <c r="C214" s="34" t="s">
        <v>532</v>
      </c>
      <c r="D214" s="31">
        <v>1580.1845719087821</v>
      </c>
      <c r="E214" s="32">
        <v>1151.1024605855853</v>
      </c>
      <c r="F214" s="31">
        <f t="shared" si="3"/>
        <v>429.08211132319684</v>
      </c>
      <c r="G214" s="33">
        <v>50</v>
      </c>
      <c r="H214" s="33">
        <v>0</v>
      </c>
      <c r="I214" s="13" t="s">
        <v>250</v>
      </c>
      <c r="J214" s="34">
        <v>40.822923333299997</v>
      </c>
      <c r="K214" s="34">
        <v>72.176041666700002</v>
      </c>
      <c r="L214" s="20">
        <v>100</v>
      </c>
      <c r="M214" s="12" t="s">
        <v>265</v>
      </c>
      <c r="N214" s="12"/>
      <c r="O214" s="24" t="s">
        <v>19</v>
      </c>
    </row>
    <row r="215" spans="1:15" ht="30" customHeight="1">
      <c r="A215" s="19" t="s">
        <v>103</v>
      </c>
      <c r="B215" s="34" t="s">
        <v>609</v>
      </c>
      <c r="C215" s="34" t="s">
        <v>533</v>
      </c>
      <c r="D215" s="31">
        <v>3146.936581908782</v>
      </c>
      <c r="E215" s="32">
        <v>2521.8391272522522</v>
      </c>
      <c r="F215" s="31">
        <f t="shared" si="3"/>
        <v>625.09745465652986</v>
      </c>
      <c r="G215" s="33">
        <v>68</v>
      </c>
      <c r="H215" s="33">
        <v>0</v>
      </c>
      <c r="I215" s="13" t="s">
        <v>160</v>
      </c>
      <c r="J215" s="34">
        <v>40.871153333300001</v>
      </c>
      <c r="K215" s="34">
        <v>72.022553333299996</v>
      </c>
      <c r="L215" s="20">
        <v>250</v>
      </c>
      <c r="M215" s="12" t="s">
        <v>266</v>
      </c>
      <c r="N215" s="12"/>
      <c r="O215" s="24" t="s">
        <v>19</v>
      </c>
    </row>
    <row r="216" spans="1:15" ht="30" customHeight="1">
      <c r="A216" s="19" t="s">
        <v>103</v>
      </c>
      <c r="B216" s="34" t="s">
        <v>610</v>
      </c>
      <c r="C216" s="34" t="s">
        <v>534</v>
      </c>
      <c r="D216" s="31">
        <v>13764.755071908783</v>
      </c>
      <c r="E216" s="32">
        <v>11811.269127252252</v>
      </c>
      <c r="F216" s="31">
        <f t="shared" si="3"/>
        <v>1953.4859446565315</v>
      </c>
      <c r="G216" s="33">
        <v>91</v>
      </c>
      <c r="H216" s="33">
        <v>3</v>
      </c>
      <c r="I216" s="13" t="s">
        <v>84</v>
      </c>
      <c r="J216" s="34">
        <v>40.879914999999997</v>
      </c>
      <c r="K216" s="34">
        <v>72.089108333300004</v>
      </c>
      <c r="L216" s="20">
        <v>40</v>
      </c>
      <c r="M216" s="12" t="s">
        <v>267</v>
      </c>
      <c r="N216" s="12"/>
      <c r="O216" s="24" t="s">
        <v>19</v>
      </c>
    </row>
    <row r="217" spans="1:15" ht="30" customHeight="1">
      <c r="A217" s="19" t="s">
        <v>103</v>
      </c>
      <c r="B217" s="34" t="s">
        <v>609</v>
      </c>
      <c r="C217" s="34" t="s">
        <v>535</v>
      </c>
      <c r="D217" s="31">
        <v>2382.9782419087819</v>
      </c>
      <c r="E217" s="32">
        <v>1853.4591272522518</v>
      </c>
      <c r="F217" s="31">
        <f t="shared" si="3"/>
        <v>529.51911465653006</v>
      </c>
      <c r="G217" s="33">
        <v>46</v>
      </c>
      <c r="H217" s="33">
        <v>1</v>
      </c>
      <c r="I217" s="13" t="s">
        <v>106</v>
      </c>
      <c r="J217" s="34">
        <v>40.876891666699997</v>
      </c>
      <c r="K217" s="34">
        <v>71.987205000000003</v>
      </c>
      <c r="L217" s="19">
        <v>160</v>
      </c>
      <c r="M217" s="12" t="s">
        <v>268</v>
      </c>
      <c r="N217" s="12"/>
      <c r="O217" s="24" t="s">
        <v>19</v>
      </c>
    </row>
    <row r="218" spans="1:15" ht="30" customHeight="1">
      <c r="A218" s="19" t="s">
        <v>103</v>
      </c>
      <c r="B218" s="34" t="s">
        <v>609</v>
      </c>
      <c r="C218" s="34" t="s">
        <v>536</v>
      </c>
      <c r="D218" s="31">
        <v>2608.8502819087821</v>
      </c>
      <c r="E218" s="32">
        <v>2051.0724605855853</v>
      </c>
      <c r="F218" s="31">
        <f t="shared" si="3"/>
        <v>557.7778213231968</v>
      </c>
      <c r="G218" s="33">
        <v>37</v>
      </c>
      <c r="H218" s="33">
        <v>1</v>
      </c>
      <c r="I218" s="13"/>
      <c r="J218" s="34">
        <v>40.8787183333</v>
      </c>
      <c r="K218" s="34">
        <v>71.984646666700002</v>
      </c>
      <c r="L218" s="20">
        <v>160</v>
      </c>
      <c r="M218" s="12" t="s">
        <v>269</v>
      </c>
      <c r="N218" s="12"/>
      <c r="O218" s="24" t="s">
        <v>19</v>
      </c>
    </row>
    <row r="219" spans="1:15" ht="30" customHeight="1">
      <c r="A219" s="19" t="s">
        <v>103</v>
      </c>
      <c r="B219" s="34" t="s">
        <v>613</v>
      </c>
      <c r="C219" s="34" t="s">
        <v>537</v>
      </c>
      <c r="D219" s="31">
        <v>4822.0488019087825</v>
      </c>
      <c r="E219" s="32">
        <v>3987.3791272522517</v>
      </c>
      <c r="F219" s="31">
        <f t="shared" si="3"/>
        <v>834.66967465653079</v>
      </c>
      <c r="G219" s="33">
        <v>90</v>
      </c>
      <c r="H219" s="33">
        <v>0</v>
      </c>
      <c r="I219" s="13"/>
      <c r="J219" s="34">
        <v>40.835000000000001</v>
      </c>
      <c r="K219" s="34">
        <v>72.206898333300003</v>
      </c>
      <c r="L219" s="20">
        <v>63</v>
      </c>
      <c r="M219" s="12" t="s">
        <v>270</v>
      </c>
      <c r="N219" s="12"/>
      <c r="O219" s="24" t="s">
        <v>19</v>
      </c>
    </row>
    <row r="220" spans="1:15" ht="30" customHeight="1">
      <c r="A220" s="19" t="s">
        <v>103</v>
      </c>
      <c r="B220" s="34" t="s">
        <v>608</v>
      </c>
      <c r="C220" s="34" t="s">
        <v>538</v>
      </c>
      <c r="D220" s="31">
        <v>2353.7326819087825</v>
      </c>
      <c r="E220" s="32">
        <v>1827.8724605855853</v>
      </c>
      <c r="F220" s="31">
        <f t="shared" si="3"/>
        <v>525.86022132319727</v>
      </c>
      <c r="G220" s="33">
        <v>74</v>
      </c>
      <c r="H220" s="33">
        <v>1</v>
      </c>
      <c r="I220" s="13"/>
      <c r="J220" s="34">
        <v>40.880708333299999</v>
      </c>
      <c r="K220" s="34">
        <v>71.964420000000004</v>
      </c>
      <c r="L220" s="20">
        <v>63</v>
      </c>
      <c r="M220" s="12" t="s">
        <v>271</v>
      </c>
      <c r="N220" s="12"/>
      <c r="O220" s="24" t="s">
        <v>19</v>
      </c>
    </row>
    <row r="221" spans="1:15" ht="30" customHeight="1">
      <c r="A221" s="19" t="s">
        <v>16</v>
      </c>
      <c r="B221" s="34" t="s">
        <v>607</v>
      </c>
      <c r="C221" s="34" t="s">
        <v>539</v>
      </c>
      <c r="D221" s="31">
        <v>23254.535431908782</v>
      </c>
      <c r="E221" s="32">
        <v>20113.78912725225</v>
      </c>
      <c r="F221" s="31">
        <f t="shared" si="3"/>
        <v>3140.7463046565317</v>
      </c>
      <c r="G221" s="33">
        <v>65</v>
      </c>
      <c r="H221" s="33">
        <v>1</v>
      </c>
      <c r="I221" s="13"/>
      <c r="J221" s="34">
        <v>40.874901666699998</v>
      </c>
      <c r="K221" s="34">
        <v>71.967150000000004</v>
      </c>
      <c r="L221" s="20">
        <v>160</v>
      </c>
      <c r="M221" s="12" t="s">
        <v>272</v>
      </c>
      <c r="N221" s="12"/>
      <c r="O221" s="24" t="s">
        <v>19</v>
      </c>
    </row>
    <row r="222" spans="1:15" ht="30" customHeight="1">
      <c r="A222" s="19" t="s">
        <v>103</v>
      </c>
      <c r="B222" s="34" t="s">
        <v>607</v>
      </c>
      <c r="C222" s="34" t="s">
        <v>540</v>
      </c>
      <c r="D222" s="31">
        <v>3264.6427219087818</v>
      </c>
      <c r="E222" s="32">
        <v>2624.8191272522517</v>
      </c>
      <c r="F222" s="31">
        <f t="shared" si="3"/>
        <v>639.82359465653008</v>
      </c>
      <c r="G222" s="33">
        <v>119</v>
      </c>
      <c r="H222" s="33">
        <v>4</v>
      </c>
      <c r="I222" s="13"/>
      <c r="J222" s="34">
        <v>40.869693333299999</v>
      </c>
      <c r="K222" s="34">
        <v>71.966144999999997</v>
      </c>
      <c r="L222" s="19">
        <v>160</v>
      </c>
      <c r="M222" s="12" t="s">
        <v>273</v>
      </c>
      <c r="N222" s="12"/>
      <c r="O222" s="24" t="s">
        <v>19</v>
      </c>
    </row>
    <row r="223" spans="1:15" ht="30" customHeight="1">
      <c r="A223" s="19" t="s">
        <v>103</v>
      </c>
      <c r="B223" s="34" t="s">
        <v>605</v>
      </c>
      <c r="C223" s="34" t="s">
        <v>311</v>
      </c>
      <c r="D223" s="31">
        <v>2154.2944219087826</v>
      </c>
      <c r="E223" s="32">
        <v>1653.3857939189186</v>
      </c>
      <c r="F223" s="31">
        <f t="shared" si="3"/>
        <v>500.90862798986404</v>
      </c>
      <c r="G223" s="33">
        <v>80</v>
      </c>
      <c r="H223" s="33">
        <v>0</v>
      </c>
      <c r="I223" s="13" t="s">
        <v>123</v>
      </c>
      <c r="J223" s="34">
        <v>40.8802053239</v>
      </c>
      <c r="K223" s="34">
        <v>71.948066717000003</v>
      </c>
      <c r="L223" s="20">
        <v>100</v>
      </c>
      <c r="M223" s="12" t="s">
        <v>274</v>
      </c>
      <c r="N223" s="12"/>
      <c r="O223" s="24" t="s">
        <v>19</v>
      </c>
    </row>
    <row r="224" spans="1:15" ht="30" customHeight="1">
      <c r="A224" s="19" t="s">
        <v>16</v>
      </c>
      <c r="B224" s="34" t="s">
        <v>613</v>
      </c>
      <c r="C224" s="34" t="s">
        <v>541</v>
      </c>
      <c r="D224" s="31">
        <v>3827.1244519087813</v>
      </c>
      <c r="E224" s="32">
        <v>3116.9291272522514</v>
      </c>
      <c r="F224" s="31">
        <f t="shared" si="3"/>
        <v>710.19532465652992</v>
      </c>
      <c r="G224" s="33">
        <v>35</v>
      </c>
      <c r="H224" s="33">
        <v>0</v>
      </c>
      <c r="I224" s="13" t="s">
        <v>58</v>
      </c>
      <c r="J224" s="34">
        <v>40.837551666700001</v>
      </c>
      <c r="K224" s="34">
        <v>72.172751666699995</v>
      </c>
      <c r="L224" s="20">
        <v>100</v>
      </c>
      <c r="M224" s="12" t="s">
        <v>275</v>
      </c>
      <c r="N224" s="12"/>
      <c r="O224" s="24" t="s">
        <v>19</v>
      </c>
    </row>
    <row r="225" spans="1:15" ht="30" customHeight="1">
      <c r="A225" s="16" t="s">
        <v>16</v>
      </c>
      <c r="B225" s="34" t="s">
        <v>606</v>
      </c>
      <c r="C225" s="34" t="s">
        <v>542</v>
      </c>
      <c r="D225" s="31">
        <v>5702.3607319087823</v>
      </c>
      <c r="E225" s="32">
        <v>4757.5557939189175</v>
      </c>
      <c r="F225" s="31">
        <f t="shared" si="3"/>
        <v>944.80493798986481</v>
      </c>
      <c r="G225" s="33">
        <v>81</v>
      </c>
      <c r="H225" s="33">
        <v>2</v>
      </c>
      <c r="I225" s="15" t="s">
        <v>276</v>
      </c>
      <c r="J225" s="34">
        <v>40.857341666700002</v>
      </c>
      <c r="K225" s="34">
        <v>72.001365000000007</v>
      </c>
      <c r="L225" s="15">
        <v>1000</v>
      </c>
      <c r="M225" s="12"/>
      <c r="N225" s="12"/>
      <c r="O225" s="24" t="s">
        <v>19</v>
      </c>
    </row>
    <row r="226" spans="1:15" ht="30" customHeight="1">
      <c r="A226" s="16" t="s">
        <v>16</v>
      </c>
      <c r="B226" s="34" t="s">
        <v>608</v>
      </c>
      <c r="C226" s="34" t="s">
        <v>543</v>
      </c>
      <c r="D226" s="31">
        <v>2873.2261819087821</v>
      </c>
      <c r="E226" s="32">
        <v>2282.3724605855855</v>
      </c>
      <c r="F226" s="31">
        <f t="shared" si="3"/>
        <v>590.85372132319662</v>
      </c>
      <c r="G226" s="33">
        <v>43</v>
      </c>
      <c r="H226" s="33">
        <v>0</v>
      </c>
      <c r="I226" s="15" t="s">
        <v>276</v>
      </c>
      <c r="J226" s="34">
        <v>40.883535000000002</v>
      </c>
      <c r="K226" s="34">
        <v>71.979993333300001</v>
      </c>
      <c r="L226" s="15">
        <v>630</v>
      </c>
      <c r="M226" s="12"/>
      <c r="N226" s="12"/>
      <c r="O226" s="24" t="s">
        <v>19</v>
      </c>
    </row>
    <row r="227" spans="1:15" ht="30" customHeight="1">
      <c r="A227" s="16" t="s">
        <v>16</v>
      </c>
      <c r="B227" s="34" t="s">
        <v>611</v>
      </c>
      <c r="C227" s="34" t="s">
        <v>544</v>
      </c>
      <c r="D227" s="31">
        <v>4249.3753219087821</v>
      </c>
      <c r="E227" s="32">
        <v>3486.3524605855855</v>
      </c>
      <c r="F227" s="31">
        <f t="shared" si="3"/>
        <v>763.02286132319659</v>
      </c>
      <c r="G227" s="33">
        <v>44</v>
      </c>
      <c r="H227" s="33">
        <v>3</v>
      </c>
      <c r="I227" s="15" t="s">
        <v>277</v>
      </c>
      <c r="J227" s="34">
        <v>40.874026666600002</v>
      </c>
      <c r="K227" s="34">
        <v>72.094549999700007</v>
      </c>
      <c r="L227" s="15">
        <v>400</v>
      </c>
      <c r="M227" s="12"/>
      <c r="N227" s="12"/>
      <c r="O227" s="24" t="s">
        <v>19</v>
      </c>
    </row>
    <row r="228" spans="1:15" ht="30" customHeight="1">
      <c r="A228" s="16" t="s">
        <v>103</v>
      </c>
      <c r="B228" s="34" t="s">
        <v>612</v>
      </c>
      <c r="C228" s="34" t="s">
        <v>545</v>
      </c>
      <c r="D228" s="31">
        <v>1894.0352269087819</v>
      </c>
      <c r="E228" s="32">
        <v>1425.6874605855849</v>
      </c>
      <c r="F228" s="31">
        <f t="shared" si="3"/>
        <v>468.34776632319699</v>
      </c>
      <c r="G228" s="33">
        <v>67</v>
      </c>
      <c r="H228" s="33">
        <v>1</v>
      </c>
      <c r="I228" s="15" t="s">
        <v>278</v>
      </c>
      <c r="J228" s="34">
        <v>40.846710000000002</v>
      </c>
      <c r="K228" s="34">
        <v>72.065683333300001</v>
      </c>
      <c r="L228" s="15">
        <v>1000</v>
      </c>
      <c r="M228" s="12"/>
      <c r="N228" s="12"/>
      <c r="O228" s="24" t="s">
        <v>19</v>
      </c>
    </row>
    <row r="229" spans="1:15" ht="30" customHeight="1">
      <c r="A229" s="16" t="s">
        <v>16</v>
      </c>
      <c r="B229" s="34" t="s">
        <v>613</v>
      </c>
      <c r="C229" s="34" t="s">
        <v>546</v>
      </c>
      <c r="D229" s="31">
        <v>12996.403801908782</v>
      </c>
      <c r="E229" s="32">
        <v>11139.04579391892</v>
      </c>
      <c r="F229" s="31">
        <f t="shared" si="3"/>
        <v>1857.358007989862</v>
      </c>
      <c r="G229" s="33">
        <v>118</v>
      </c>
      <c r="H229" s="33">
        <v>0</v>
      </c>
      <c r="I229" s="15" t="s">
        <v>279</v>
      </c>
      <c r="J229" s="34">
        <v>40.839961666699999</v>
      </c>
      <c r="K229" s="34">
        <v>72.232654999999994</v>
      </c>
      <c r="L229" s="15">
        <v>1000</v>
      </c>
      <c r="M229" s="12"/>
      <c r="N229" s="12"/>
      <c r="O229" s="24" t="s">
        <v>19</v>
      </c>
    </row>
    <row r="230" spans="1:15" ht="30" customHeight="1">
      <c r="A230" s="16" t="s">
        <v>16</v>
      </c>
      <c r="B230" s="34" t="s">
        <v>608</v>
      </c>
      <c r="C230" s="34" t="s">
        <v>547</v>
      </c>
      <c r="D230" s="31">
        <v>13643.040811908782</v>
      </c>
      <c r="E230" s="32">
        <v>11704.782460585586</v>
      </c>
      <c r="F230" s="31">
        <f t="shared" si="3"/>
        <v>1938.2583513231966</v>
      </c>
      <c r="G230" s="33">
        <v>94</v>
      </c>
      <c r="H230" s="33">
        <v>0</v>
      </c>
      <c r="I230" s="15" t="s">
        <v>276</v>
      </c>
      <c r="J230" s="34">
        <v>40.873249936800001</v>
      </c>
      <c r="K230" s="34">
        <v>71.969074951500005</v>
      </c>
      <c r="L230" s="15">
        <v>160</v>
      </c>
      <c r="M230" s="12"/>
      <c r="N230" s="12"/>
      <c r="O230" s="24" t="s">
        <v>19</v>
      </c>
    </row>
    <row r="231" spans="1:15" ht="30" customHeight="1">
      <c r="A231" s="16" t="s">
        <v>16</v>
      </c>
      <c r="B231" s="34" t="s">
        <v>605</v>
      </c>
      <c r="C231" s="34" t="s">
        <v>339</v>
      </c>
      <c r="D231" s="31">
        <v>10402.738681908782</v>
      </c>
      <c r="E231" s="32">
        <v>8869.8724605855878</v>
      </c>
      <c r="F231" s="31">
        <f t="shared" si="3"/>
        <v>1532.8662213231946</v>
      </c>
      <c r="G231" s="33">
        <v>45</v>
      </c>
      <c r="H231" s="33">
        <v>1</v>
      </c>
      <c r="I231" s="15" t="s">
        <v>280</v>
      </c>
      <c r="J231" s="34">
        <v>40.895608333299997</v>
      </c>
      <c r="K231" s="34">
        <v>71.923013333300005</v>
      </c>
      <c r="L231" s="15">
        <v>100</v>
      </c>
      <c r="M231" s="12"/>
      <c r="N231" s="12"/>
      <c r="O231" s="24" t="s">
        <v>19</v>
      </c>
    </row>
    <row r="232" spans="1:15" ht="30" customHeight="1">
      <c r="A232" s="16" t="s">
        <v>16</v>
      </c>
      <c r="B232" s="34" t="s">
        <v>607</v>
      </c>
      <c r="C232" s="34" t="s">
        <v>548</v>
      </c>
      <c r="D232" s="31">
        <v>2836.5968419087822</v>
      </c>
      <c r="E232" s="32">
        <v>2250.3257939189189</v>
      </c>
      <c r="F232" s="31">
        <f t="shared" si="3"/>
        <v>586.27104798986329</v>
      </c>
      <c r="G232" s="33">
        <v>60</v>
      </c>
      <c r="H232" s="33">
        <v>3</v>
      </c>
      <c r="I232" s="15" t="s">
        <v>276</v>
      </c>
      <c r="J232" s="34">
        <v>40.875115049900003</v>
      </c>
      <c r="K232" s="34">
        <v>72.008864803799995</v>
      </c>
      <c r="L232" s="15">
        <v>250</v>
      </c>
      <c r="M232" s="12"/>
      <c r="N232" s="12"/>
      <c r="O232" s="24" t="s">
        <v>19</v>
      </c>
    </row>
    <row r="233" spans="1:15" ht="30" customHeight="1">
      <c r="A233" s="16" t="s">
        <v>16</v>
      </c>
      <c r="B233" s="34" t="s">
        <v>611</v>
      </c>
      <c r="C233" s="34" t="s">
        <v>549</v>
      </c>
      <c r="D233" s="31">
        <v>3565.587001908782</v>
      </c>
      <c r="E233" s="32">
        <v>2888.1124605855853</v>
      </c>
      <c r="F233" s="31">
        <f t="shared" si="3"/>
        <v>677.47454132319672</v>
      </c>
      <c r="G233" s="33">
        <v>38</v>
      </c>
      <c r="H233" s="33">
        <v>0</v>
      </c>
      <c r="I233" s="15" t="s">
        <v>281</v>
      </c>
      <c r="J233" s="34">
        <v>40.874026666600002</v>
      </c>
      <c r="K233" s="34">
        <v>72.094549999700007</v>
      </c>
      <c r="L233" s="15">
        <v>160</v>
      </c>
      <c r="M233" s="12"/>
      <c r="N233" s="12"/>
      <c r="O233" s="24" t="s">
        <v>19</v>
      </c>
    </row>
    <row r="234" spans="1:15" ht="30" customHeight="1">
      <c r="A234" s="16" t="s">
        <v>16</v>
      </c>
      <c r="B234" s="34" t="s">
        <v>612</v>
      </c>
      <c r="C234" s="34" t="s">
        <v>550</v>
      </c>
      <c r="D234" s="31">
        <v>6006.0710719087829</v>
      </c>
      <c r="E234" s="32">
        <v>5023.2691272522516</v>
      </c>
      <c r="F234" s="31">
        <f t="shared" si="3"/>
        <v>982.8019446565313</v>
      </c>
      <c r="G234" s="33">
        <v>94</v>
      </c>
      <c r="H234" s="33">
        <v>1</v>
      </c>
      <c r="I234" s="15" t="s">
        <v>282</v>
      </c>
      <c r="J234" s="34">
        <v>40.816318333300003</v>
      </c>
      <c r="K234" s="34">
        <v>72.106885000000005</v>
      </c>
      <c r="L234" s="15">
        <v>100</v>
      </c>
      <c r="M234" s="12"/>
      <c r="N234" s="12"/>
      <c r="O234" s="24" t="s">
        <v>19</v>
      </c>
    </row>
    <row r="235" spans="1:15" ht="30" customHeight="1">
      <c r="A235" s="16" t="s">
        <v>16</v>
      </c>
      <c r="B235" s="34" t="s">
        <v>611</v>
      </c>
      <c r="C235" s="34" t="s">
        <v>551</v>
      </c>
      <c r="D235" s="31">
        <v>2962.410661908782</v>
      </c>
      <c r="E235" s="32">
        <v>2360.3991272522521</v>
      </c>
      <c r="F235" s="31">
        <f t="shared" si="3"/>
        <v>602.01153465652988</v>
      </c>
      <c r="G235" s="33">
        <v>26</v>
      </c>
      <c r="H235" s="33">
        <v>0</v>
      </c>
      <c r="I235" s="15" t="s">
        <v>276</v>
      </c>
      <c r="J235" s="34">
        <v>40.872684479199997</v>
      </c>
      <c r="K235" s="34">
        <v>72.093719629500001</v>
      </c>
      <c r="L235" s="15">
        <v>100</v>
      </c>
      <c r="M235" s="12"/>
      <c r="N235" s="12"/>
      <c r="O235" s="24" t="s">
        <v>19</v>
      </c>
    </row>
    <row r="236" spans="1:15" ht="30" customHeight="1">
      <c r="A236" s="16" t="s">
        <v>16</v>
      </c>
      <c r="B236" s="34" t="s">
        <v>605</v>
      </c>
      <c r="C236" s="34" t="s">
        <v>316</v>
      </c>
      <c r="D236" s="31">
        <v>2864.4517519087817</v>
      </c>
      <c r="E236" s="32">
        <v>2274.6957939189188</v>
      </c>
      <c r="F236" s="31">
        <f t="shared" si="3"/>
        <v>589.75595798986296</v>
      </c>
      <c r="G236" s="33">
        <v>42</v>
      </c>
      <c r="H236" s="33">
        <v>0</v>
      </c>
      <c r="I236" s="15" t="s">
        <v>283</v>
      </c>
      <c r="J236" s="34">
        <v>40.874026666600002</v>
      </c>
      <c r="K236" s="34">
        <v>72.094549999700007</v>
      </c>
      <c r="L236" s="15">
        <v>400</v>
      </c>
      <c r="M236" s="12"/>
      <c r="N236" s="12"/>
      <c r="O236" s="24" t="s">
        <v>19</v>
      </c>
    </row>
    <row r="237" spans="1:15" ht="30" customHeight="1">
      <c r="A237" s="16" t="s">
        <v>16</v>
      </c>
      <c r="B237" s="34" t="s">
        <v>609</v>
      </c>
      <c r="C237" s="34" t="s">
        <v>552</v>
      </c>
      <c r="D237" s="31">
        <v>4119.679111908782</v>
      </c>
      <c r="E237" s="32">
        <v>3372.8824605855848</v>
      </c>
      <c r="F237" s="31">
        <f t="shared" si="3"/>
        <v>746.79665132319724</v>
      </c>
      <c r="G237" s="33">
        <v>73</v>
      </c>
      <c r="H237" s="33">
        <v>1</v>
      </c>
      <c r="I237" s="15" t="s">
        <v>281</v>
      </c>
      <c r="J237" s="34">
        <v>40.869140000000002</v>
      </c>
      <c r="K237" s="34">
        <v>71.991384999999994</v>
      </c>
      <c r="L237" s="15">
        <v>100</v>
      </c>
      <c r="M237" s="12"/>
      <c r="N237" s="12"/>
      <c r="O237" s="24" t="s">
        <v>19</v>
      </c>
    </row>
    <row r="238" spans="1:15" ht="30" customHeight="1">
      <c r="A238" s="16" t="s">
        <v>16</v>
      </c>
      <c r="B238" s="34" t="s">
        <v>613</v>
      </c>
      <c r="C238" s="34" t="s">
        <v>553</v>
      </c>
      <c r="D238" s="31">
        <v>3478.9361719087815</v>
      </c>
      <c r="E238" s="32">
        <v>2812.3024605855849</v>
      </c>
      <c r="F238" s="31">
        <f t="shared" si="3"/>
        <v>666.63371132319662</v>
      </c>
      <c r="G238" s="33">
        <v>46</v>
      </c>
      <c r="H238" s="33">
        <v>0</v>
      </c>
      <c r="I238" s="15" t="s">
        <v>284</v>
      </c>
      <c r="J238" s="34">
        <v>40.820733333200003</v>
      </c>
      <c r="K238" s="34">
        <v>72.163296666700006</v>
      </c>
      <c r="L238" s="15">
        <v>160</v>
      </c>
      <c r="M238" s="12"/>
      <c r="N238" s="12"/>
      <c r="O238" s="24" t="s">
        <v>19</v>
      </c>
    </row>
    <row r="239" spans="1:15" ht="30" customHeight="1">
      <c r="A239" s="16" t="s">
        <v>103</v>
      </c>
      <c r="B239" s="34" t="s">
        <v>612</v>
      </c>
      <c r="C239" s="34" t="s">
        <v>554</v>
      </c>
      <c r="D239" s="31">
        <v>4488.0527719087813</v>
      </c>
      <c r="E239" s="32">
        <v>3695.1691272522512</v>
      </c>
      <c r="F239" s="31">
        <f t="shared" si="3"/>
        <v>792.88364465653012</v>
      </c>
      <c r="G239" s="33">
        <v>62</v>
      </c>
      <c r="H239" s="33">
        <v>0</v>
      </c>
      <c r="I239" s="15" t="s">
        <v>285</v>
      </c>
      <c r="J239" s="34">
        <v>40.813206666600003</v>
      </c>
      <c r="K239" s="34">
        <v>72.109205000000003</v>
      </c>
      <c r="L239" s="15">
        <v>630</v>
      </c>
      <c r="M239" s="12"/>
      <c r="N239" s="12"/>
      <c r="O239" s="24" t="s">
        <v>19</v>
      </c>
    </row>
    <row r="240" spans="1:15" ht="30" customHeight="1">
      <c r="A240" s="16" t="s">
        <v>16</v>
      </c>
      <c r="B240" s="34" t="s">
        <v>607</v>
      </c>
      <c r="C240" s="34" t="s">
        <v>555</v>
      </c>
      <c r="D240" s="31">
        <v>6216.3297319087824</v>
      </c>
      <c r="E240" s="32">
        <v>5207.2224605855854</v>
      </c>
      <c r="F240" s="31">
        <f t="shared" si="3"/>
        <v>1009.107271323197</v>
      </c>
      <c r="G240" s="33">
        <v>95</v>
      </c>
      <c r="H240" s="33">
        <v>3</v>
      </c>
      <c r="I240" s="15" t="s">
        <v>286</v>
      </c>
      <c r="J240" s="34">
        <v>40.872072950000003</v>
      </c>
      <c r="K240" s="34">
        <v>71.967303771499999</v>
      </c>
      <c r="L240" s="15">
        <v>100</v>
      </c>
      <c r="M240" s="12"/>
      <c r="N240" s="12"/>
      <c r="O240" s="24" t="s">
        <v>19</v>
      </c>
    </row>
    <row r="241" spans="1:16" ht="30" customHeight="1">
      <c r="A241" s="16" t="s">
        <v>103</v>
      </c>
      <c r="B241" s="34" t="s">
        <v>610</v>
      </c>
      <c r="C241" s="34" t="s">
        <v>556</v>
      </c>
      <c r="D241" s="31">
        <v>5589.9466819087802</v>
      </c>
      <c r="E241" s="32">
        <v>4659.2057939189181</v>
      </c>
      <c r="F241" s="31">
        <f t="shared" si="3"/>
        <v>930.74088798986213</v>
      </c>
      <c r="G241" s="33">
        <v>67</v>
      </c>
      <c r="H241" s="33">
        <v>1</v>
      </c>
      <c r="I241" s="15" t="s">
        <v>283</v>
      </c>
      <c r="J241" s="34">
        <v>40.875613333300002</v>
      </c>
      <c r="K241" s="34">
        <v>72.034936666700006</v>
      </c>
      <c r="L241" s="15">
        <v>400</v>
      </c>
      <c r="M241" s="12"/>
      <c r="N241" s="12"/>
      <c r="O241" s="24" t="s">
        <v>19</v>
      </c>
    </row>
    <row r="242" spans="1:16" ht="30" customHeight="1">
      <c r="A242" s="16" t="s">
        <v>16</v>
      </c>
      <c r="B242" s="34" t="s">
        <v>612</v>
      </c>
      <c r="C242" s="34" t="s">
        <v>557</v>
      </c>
      <c r="D242" s="31">
        <v>890.34978190878246</v>
      </c>
      <c r="E242" s="32">
        <v>547.57246058558519</v>
      </c>
      <c r="F242" s="31">
        <f t="shared" si="3"/>
        <v>342.77732132319727</v>
      </c>
      <c r="G242" s="33">
        <v>17</v>
      </c>
      <c r="H242" s="33">
        <v>0</v>
      </c>
      <c r="I242" s="15" t="s">
        <v>287</v>
      </c>
      <c r="J242" s="34">
        <v>40.813206666600003</v>
      </c>
      <c r="K242" s="34">
        <v>72.109205000000003</v>
      </c>
      <c r="L242" s="15">
        <v>100</v>
      </c>
      <c r="M242" s="12"/>
      <c r="N242" s="12"/>
      <c r="O242" s="24" t="s">
        <v>19</v>
      </c>
    </row>
    <row r="243" spans="1:16" ht="30" customHeight="1">
      <c r="A243" s="16" t="s">
        <v>16</v>
      </c>
      <c r="B243" s="34" t="s">
        <v>612</v>
      </c>
      <c r="C243" s="34" t="s">
        <v>558</v>
      </c>
      <c r="D243" s="31">
        <v>1385.3602219087823</v>
      </c>
      <c r="E243" s="32">
        <v>980.65246058558535</v>
      </c>
      <c r="F243" s="31">
        <f t="shared" si="3"/>
        <v>404.70776132319691</v>
      </c>
      <c r="G243" s="33">
        <v>42</v>
      </c>
      <c r="H243" s="33">
        <v>0</v>
      </c>
      <c r="I243" s="15" t="s">
        <v>280</v>
      </c>
      <c r="J243" s="34">
        <v>40.813206666600003</v>
      </c>
      <c r="K243" s="34">
        <v>72.109205000000003</v>
      </c>
      <c r="L243" s="15">
        <v>100</v>
      </c>
      <c r="M243" s="12"/>
      <c r="N243" s="12"/>
      <c r="O243" s="24" t="s">
        <v>19</v>
      </c>
    </row>
    <row r="244" spans="1:16" ht="30" customHeight="1">
      <c r="A244" s="16" t="s">
        <v>16</v>
      </c>
      <c r="B244" s="34" t="s">
        <v>612</v>
      </c>
      <c r="C244" s="34" t="s">
        <v>559</v>
      </c>
      <c r="D244" s="31">
        <v>1006.0899619087819</v>
      </c>
      <c r="E244" s="32">
        <v>648.83246058558518</v>
      </c>
      <c r="F244" s="31">
        <f t="shared" si="3"/>
        <v>357.25750132319672</v>
      </c>
      <c r="G244" s="33">
        <v>21</v>
      </c>
      <c r="H244" s="33">
        <v>1</v>
      </c>
      <c r="I244" s="15" t="s">
        <v>287</v>
      </c>
      <c r="J244" s="34">
        <v>40.813206666600003</v>
      </c>
      <c r="K244" s="34">
        <v>72.109205000000003</v>
      </c>
      <c r="L244" s="15">
        <v>25</v>
      </c>
      <c r="M244" s="12"/>
      <c r="N244" s="12"/>
      <c r="O244" s="24" t="s">
        <v>19</v>
      </c>
    </row>
    <row r="245" spans="1:16" ht="30" customHeight="1">
      <c r="A245" s="16" t="s">
        <v>16</v>
      </c>
      <c r="B245" s="34" t="s">
        <v>608</v>
      </c>
      <c r="C245" s="34" t="s">
        <v>560</v>
      </c>
      <c r="D245" s="31">
        <v>605.61324190878224</v>
      </c>
      <c r="E245" s="32">
        <v>298.45912725225185</v>
      </c>
      <c r="F245" s="31">
        <f t="shared" si="3"/>
        <v>307.1541146565304</v>
      </c>
      <c r="G245" s="33">
        <v>26</v>
      </c>
      <c r="H245" s="33">
        <v>3</v>
      </c>
      <c r="I245" s="15" t="s">
        <v>287</v>
      </c>
      <c r="J245" s="34">
        <v>40.887124999999997</v>
      </c>
      <c r="K245" s="34">
        <v>71.961399</v>
      </c>
      <c r="L245" s="15">
        <v>63</v>
      </c>
      <c r="M245" s="12"/>
      <c r="N245" s="12"/>
      <c r="O245" s="24" t="s">
        <v>19</v>
      </c>
    </row>
    <row r="246" spans="1:16" ht="30" customHeight="1">
      <c r="A246" s="16" t="s">
        <v>16</v>
      </c>
      <c r="B246" s="34" t="s">
        <v>609</v>
      </c>
      <c r="C246" s="34" t="s">
        <v>561</v>
      </c>
      <c r="D246" s="31">
        <v>633.07953190878231</v>
      </c>
      <c r="E246" s="32">
        <v>322.48912725225188</v>
      </c>
      <c r="F246" s="31">
        <f t="shared" si="3"/>
        <v>310.59040465653044</v>
      </c>
      <c r="G246" s="33">
        <v>92</v>
      </c>
      <c r="H246" s="33">
        <v>0</v>
      </c>
      <c r="I246" s="15" t="s">
        <v>288</v>
      </c>
      <c r="J246" s="34">
        <v>40.890337000000002</v>
      </c>
      <c r="K246" s="34">
        <v>72.009943000000007</v>
      </c>
      <c r="L246" s="15">
        <v>160</v>
      </c>
      <c r="M246" s="12"/>
      <c r="N246" s="12"/>
      <c r="O246" s="24" t="s">
        <v>19</v>
      </c>
      <c r="P246" s="28">
        <v>7</v>
      </c>
    </row>
    <row r="247" spans="1:16" ht="30" customHeight="1">
      <c r="A247" s="16" t="s">
        <v>16</v>
      </c>
      <c r="B247" s="34" t="s">
        <v>611</v>
      </c>
      <c r="C247" s="34" t="s">
        <v>562</v>
      </c>
      <c r="D247" s="31">
        <v>707.61837190878214</v>
      </c>
      <c r="E247" s="32">
        <v>387.70246058558519</v>
      </c>
      <c r="F247" s="31">
        <f t="shared" si="3"/>
        <v>319.91591132319695</v>
      </c>
      <c r="G247" s="33">
        <v>51</v>
      </c>
      <c r="H247" s="33">
        <v>0</v>
      </c>
      <c r="I247" s="15" t="s">
        <v>281</v>
      </c>
      <c r="J247" s="13"/>
      <c r="K247" s="13"/>
      <c r="L247" s="15">
        <v>63</v>
      </c>
      <c r="M247" s="12"/>
      <c r="N247" s="12"/>
      <c r="O247" s="24" t="s">
        <v>19</v>
      </c>
    </row>
    <row r="248" spans="1:16" ht="30" customHeight="1">
      <c r="A248" s="16" t="s">
        <v>16</v>
      </c>
      <c r="B248" s="34" t="s">
        <v>605</v>
      </c>
      <c r="C248" s="34" t="s">
        <v>343</v>
      </c>
      <c r="D248" s="31">
        <v>605.61324190878224</v>
      </c>
      <c r="E248" s="32">
        <v>298.45912725225185</v>
      </c>
      <c r="F248" s="31">
        <f t="shared" si="3"/>
        <v>307.1541146565304</v>
      </c>
      <c r="G248" s="33">
        <v>12</v>
      </c>
      <c r="H248" s="33">
        <v>1</v>
      </c>
      <c r="I248" s="15" t="s">
        <v>296</v>
      </c>
      <c r="J248" s="13"/>
      <c r="K248" s="13"/>
      <c r="L248" s="15">
        <v>160</v>
      </c>
      <c r="M248" s="12"/>
      <c r="N248" s="12"/>
      <c r="O248" s="24" t="s">
        <v>19</v>
      </c>
    </row>
    <row r="249" spans="1:16" ht="30" customHeight="1">
      <c r="A249" s="16" t="s">
        <v>16</v>
      </c>
      <c r="B249" s="34" t="s">
        <v>608</v>
      </c>
      <c r="C249" s="34" t="s">
        <v>563</v>
      </c>
      <c r="D249" s="31">
        <v>18006.858601908782</v>
      </c>
      <c r="E249" s="32">
        <v>15522.645793918919</v>
      </c>
      <c r="F249" s="31">
        <f t="shared" si="3"/>
        <v>2484.212807989863</v>
      </c>
      <c r="G249" s="33">
        <v>68</v>
      </c>
      <c r="H249" s="33">
        <v>1</v>
      </c>
      <c r="I249" s="15" t="s">
        <v>296</v>
      </c>
      <c r="J249" s="13"/>
      <c r="K249" s="13"/>
      <c r="L249" s="15">
        <v>63</v>
      </c>
      <c r="M249" s="12"/>
      <c r="N249" s="12"/>
      <c r="O249" s="24" t="s">
        <v>19</v>
      </c>
    </row>
    <row r="250" spans="1:16" ht="30" customHeight="1">
      <c r="A250" s="16" t="s">
        <v>16</v>
      </c>
      <c r="B250" s="34" t="s">
        <v>609</v>
      </c>
      <c r="C250" s="34" t="s">
        <v>564</v>
      </c>
      <c r="D250" s="31">
        <v>7299.0974419087825</v>
      </c>
      <c r="E250" s="32">
        <v>6154.5257939189187</v>
      </c>
      <c r="F250" s="31">
        <f t="shared" si="3"/>
        <v>1144.5716479898638</v>
      </c>
      <c r="G250" s="33">
        <v>31</v>
      </c>
      <c r="H250" s="33">
        <v>0</v>
      </c>
      <c r="I250" s="15" t="s">
        <v>296</v>
      </c>
      <c r="J250" s="13">
        <v>40.876370000000001</v>
      </c>
      <c r="K250" s="13">
        <v>71.934290000000004</v>
      </c>
      <c r="L250" s="15">
        <v>63</v>
      </c>
      <c r="M250" s="12"/>
      <c r="N250" s="12"/>
      <c r="O250" s="24" t="s">
        <v>19</v>
      </c>
    </row>
    <row r="251" spans="1:16" ht="30" customHeight="1">
      <c r="A251" s="16" t="s">
        <v>16</v>
      </c>
      <c r="B251" s="34" t="s">
        <v>610</v>
      </c>
      <c r="C251" s="34" t="s">
        <v>565</v>
      </c>
      <c r="D251" s="31">
        <v>3152.6592019087816</v>
      </c>
      <c r="E251" s="32">
        <v>2526.8457939189184</v>
      </c>
      <c r="F251" s="31">
        <f t="shared" si="3"/>
        <v>625.81340798986321</v>
      </c>
      <c r="G251" s="33">
        <v>22</v>
      </c>
      <c r="H251" s="33">
        <v>0</v>
      </c>
      <c r="I251" s="15" t="s">
        <v>296</v>
      </c>
      <c r="J251" s="13"/>
      <c r="K251" s="13"/>
      <c r="L251" s="15">
        <v>160</v>
      </c>
      <c r="M251" s="12"/>
      <c r="N251" s="12"/>
      <c r="O251" s="24" t="s">
        <v>19</v>
      </c>
    </row>
    <row r="252" spans="1:16" ht="30" customHeight="1">
      <c r="A252" s="16" t="s">
        <v>16</v>
      </c>
      <c r="B252" s="34" t="s">
        <v>610</v>
      </c>
      <c r="C252" s="34" t="s">
        <v>566</v>
      </c>
      <c r="D252" s="31">
        <v>3381.6478219087821</v>
      </c>
      <c r="E252" s="32">
        <v>2727.185793918919</v>
      </c>
      <c r="F252" s="31">
        <f t="shared" si="3"/>
        <v>654.46202798986315</v>
      </c>
      <c r="G252" s="33">
        <v>51</v>
      </c>
      <c r="H252" s="33">
        <v>2</v>
      </c>
      <c r="I252" s="15" t="s">
        <v>296</v>
      </c>
      <c r="J252" s="13"/>
      <c r="K252" s="13"/>
      <c r="L252" s="15">
        <v>63</v>
      </c>
      <c r="M252" s="12"/>
      <c r="N252" s="12"/>
      <c r="O252" s="24" t="s">
        <v>19</v>
      </c>
    </row>
    <row r="253" spans="1:16" ht="30" customHeight="1">
      <c r="A253" s="16" t="s">
        <v>16</v>
      </c>
      <c r="B253" s="34" t="s">
        <v>607</v>
      </c>
      <c r="C253" s="34" t="s">
        <v>567</v>
      </c>
      <c r="D253" s="31">
        <v>4403.9470219087807</v>
      </c>
      <c r="E253" s="32">
        <v>3621.5857939189177</v>
      </c>
      <c r="F253" s="31">
        <f t="shared" si="3"/>
        <v>782.36122798986298</v>
      </c>
      <c r="G253" s="33">
        <v>48</v>
      </c>
      <c r="H253" s="33">
        <v>0</v>
      </c>
      <c r="I253" s="15" t="s">
        <v>280</v>
      </c>
      <c r="J253" s="13"/>
      <c r="K253" s="13"/>
      <c r="L253" s="15">
        <v>250</v>
      </c>
      <c r="M253" s="12"/>
      <c r="N253" s="12"/>
      <c r="O253" s="24" t="s">
        <v>19</v>
      </c>
    </row>
    <row r="254" spans="1:16" ht="30" customHeight="1">
      <c r="A254" s="16" t="s">
        <v>16</v>
      </c>
      <c r="B254" s="34" t="s">
        <v>609</v>
      </c>
      <c r="C254" s="34" t="s">
        <v>568</v>
      </c>
      <c r="D254" s="31">
        <v>6992.4953119087832</v>
      </c>
      <c r="E254" s="32">
        <v>5886.2824605855867</v>
      </c>
      <c r="F254" s="31">
        <f t="shared" si="3"/>
        <v>1106.2128513231964</v>
      </c>
      <c r="G254" s="33">
        <v>77</v>
      </c>
      <c r="H254" s="33">
        <v>1</v>
      </c>
      <c r="I254" s="15" t="s">
        <v>293</v>
      </c>
      <c r="J254" s="13"/>
      <c r="K254" s="13"/>
      <c r="L254" s="15">
        <v>25</v>
      </c>
      <c r="M254" s="12"/>
      <c r="N254" s="12"/>
      <c r="O254" s="24" t="s">
        <v>19</v>
      </c>
    </row>
    <row r="255" spans="1:16" ht="30" customHeight="1">
      <c r="A255" s="16" t="s">
        <v>16</v>
      </c>
      <c r="B255" s="34" t="s">
        <v>608</v>
      </c>
      <c r="C255" s="34" t="s">
        <v>569</v>
      </c>
      <c r="D255" s="31">
        <v>4510.5089119087816</v>
      </c>
      <c r="E255" s="32">
        <v>3714.8157939189173</v>
      </c>
      <c r="F255" s="31">
        <f t="shared" si="3"/>
        <v>795.69311798986428</v>
      </c>
      <c r="G255" s="33">
        <v>52</v>
      </c>
      <c r="H255" s="33">
        <v>0</v>
      </c>
      <c r="I255" s="15" t="s">
        <v>297</v>
      </c>
      <c r="J255" s="13"/>
      <c r="K255" s="13"/>
      <c r="L255" s="15">
        <v>630</v>
      </c>
      <c r="M255" s="12"/>
      <c r="N255" s="12"/>
      <c r="O255" s="24" t="s">
        <v>19</v>
      </c>
    </row>
    <row r="256" spans="1:16" ht="30" customHeight="1">
      <c r="A256" s="16" t="s">
        <v>103</v>
      </c>
      <c r="B256" s="34" t="s">
        <v>609</v>
      </c>
      <c r="C256" s="34" t="s">
        <v>570</v>
      </c>
      <c r="D256" s="31">
        <v>3426.5943919087817</v>
      </c>
      <c r="E256" s="32">
        <v>2766.5091272522513</v>
      </c>
      <c r="F256" s="31">
        <f t="shared" si="3"/>
        <v>660.0852646565304</v>
      </c>
      <c r="G256" s="33">
        <v>51</v>
      </c>
      <c r="H256" s="33">
        <v>0</v>
      </c>
      <c r="I256" s="15" t="s">
        <v>297</v>
      </c>
      <c r="J256" s="13"/>
      <c r="K256" s="13"/>
      <c r="L256" s="15">
        <v>400</v>
      </c>
      <c r="M256" s="12"/>
      <c r="N256" s="12"/>
      <c r="O256" s="24" t="s">
        <v>19</v>
      </c>
    </row>
    <row r="257" spans="1:15" ht="30" customHeight="1">
      <c r="A257" s="16" t="s">
        <v>16</v>
      </c>
      <c r="B257" s="34" t="s">
        <v>608</v>
      </c>
      <c r="C257" s="34" t="s">
        <v>571</v>
      </c>
      <c r="D257" s="31">
        <v>5733.7665619087811</v>
      </c>
      <c r="E257" s="32">
        <v>4785.0324605855849</v>
      </c>
      <c r="F257" s="31">
        <f t="shared" si="3"/>
        <v>948.73410132319623</v>
      </c>
      <c r="G257" s="33">
        <v>16</v>
      </c>
      <c r="H257" s="33">
        <v>1</v>
      </c>
      <c r="I257" s="15" t="s">
        <v>276</v>
      </c>
      <c r="J257" s="13"/>
      <c r="K257" s="13"/>
      <c r="L257" s="15">
        <v>160</v>
      </c>
      <c r="M257" s="12"/>
      <c r="N257" s="12"/>
      <c r="O257" s="24" t="s">
        <v>19</v>
      </c>
    </row>
    <row r="258" spans="1:15" ht="30" customHeight="1">
      <c r="A258" s="16" t="s">
        <v>16</v>
      </c>
      <c r="B258" s="34" t="s">
        <v>605</v>
      </c>
      <c r="C258" s="34" t="s">
        <v>320</v>
      </c>
      <c r="D258" s="31">
        <v>1895.4125419087823</v>
      </c>
      <c r="E258" s="32">
        <v>1426.8924605855855</v>
      </c>
      <c r="F258" s="31">
        <f t="shared" si="3"/>
        <v>468.52008132319679</v>
      </c>
      <c r="G258" s="33">
        <v>33</v>
      </c>
      <c r="H258" s="33">
        <v>1</v>
      </c>
      <c r="I258" s="15" t="s">
        <v>296</v>
      </c>
      <c r="J258" s="13"/>
      <c r="K258" s="13"/>
      <c r="L258" s="15">
        <v>160</v>
      </c>
      <c r="M258" s="12"/>
      <c r="N258" s="12"/>
      <c r="O258" s="24" t="s">
        <v>19</v>
      </c>
    </row>
    <row r="259" spans="1:15" ht="30" customHeight="1">
      <c r="A259" s="16" t="s">
        <v>16</v>
      </c>
      <c r="B259" s="34" t="s">
        <v>611</v>
      </c>
      <c r="C259" s="34" t="s">
        <v>572</v>
      </c>
      <c r="D259" s="31">
        <v>608.12403190878206</v>
      </c>
      <c r="E259" s="32">
        <v>300.65579391891856</v>
      </c>
      <c r="F259" s="31">
        <f t="shared" si="3"/>
        <v>307.4682379898635</v>
      </c>
      <c r="G259" s="33">
        <v>35</v>
      </c>
      <c r="H259" s="33">
        <v>2</v>
      </c>
      <c r="I259" s="15" t="s">
        <v>296</v>
      </c>
      <c r="J259" s="13">
        <v>40.865291666700003</v>
      </c>
      <c r="K259" s="13">
        <v>71.961494999999999</v>
      </c>
      <c r="L259" s="15">
        <v>100</v>
      </c>
      <c r="M259" s="12"/>
      <c r="N259" s="12"/>
      <c r="O259" s="24" t="s">
        <v>19</v>
      </c>
    </row>
    <row r="260" spans="1:15" ht="30" customHeight="1">
      <c r="A260" s="16" t="s">
        <v>103</v>
      </c>
      <c r="B260" s="34" t="s">
        <v>609</v>
      </c>
      <c r="C260" s="34" t="s">
        <v>573</v>
      </c>
      <c r="D260" s="31">
        <v>2225.991001908782</v>
      </c>
      <c r="E260" s="32">
        <v>1716.112460585585</v>
      </c>
      <c r="F260" s="31">
        <f t="shared" si="3"/>
        <v>509.87854132319694</v>
      </c>
      <c r="G260" s="33">
        <v>32</v>
      </c>
      <c r="H260" s="33">
        <v>1</v>
      </c>
      <c r="I260" s="15" t="s">
        <v>289</v>
      </c>
      <c r="J260" s="13"/>
      <c r="K260" s="13"/>
      <c r="L260" s="15">
        <v>100</v>
      </c>
      <c r="M260" s="12"/>
      <c r="N260" s="12"/>
      <c r="O260" s="24" t="s">
        <v>19</v>
      </c>
    </row>
    <row r="261" spans="1:15" ht="30" customHeight="1">
      <c r="A261" s="16" t="s">
        <v>16</v>
      </c>
      <c r="B261" s="34" t="s">
        <v>610</v>
      </c>
      <c r="C261" s="34" t="s">
        <v>574</v>
      </c>
      <c r="D261" s="31">
        <v>5390.4665119087822</v>
      </c>
      <c r="E261" s="32">
        <v>4484.6824605855845</v>
      </c>
      <c r="F261" s="31">
        <f t="shared" ref="F261:F298" si="4">+D261-E261</f>
        <v>905.78405132319767</v>
      </c>
      <c r="G261" s="33">
        <v>64</v>
      </c>
      <c r="H261" s="33">
        <v>0</v>
      </c>
      <c r="I261" s="15" t="s">
        <v>293</v>
      </c>
      <c r="J261" s="13"/>
      <c r="K261" s="13"/>
      <c r="L261" s="15">
        <v>250</v>
      </c>
      <c r="M261" s="12"/>
      <c r="N261" s="12"/>
      <c r="O261" s="24" t="s">
        <v>19</v>
      </c>
    </row>
    <row r="262" spans="1:15" ht="30" customHeight="1">
      <c r="A262" s="16" t="s">
        <v>103</v>
      </c>
      <c r="B262" s="34" t="s">
        <v>611</v>
      </c>
      <c r="C262" s="34" t="s">
        <v>575</v>
      </c>
      <c r="D262" s="31">
        <v>605.61324190878224</v>
      </c>
      <c r="E262" s="32">
        <v>298.45912725225185</v>
      </c>
      <c r="F262" s="31">
        <f t="shared" si="4"/>
        <v>307.1541146565304</v>
      </c>
      <c r="G262" s="33">
        <v>44</v>
      </c>
      <c r="H262" s="33">
        <v>0</v>
      </c>
      <c r="I262" s="15" t="s">
        <v>293</v>
      </c>
      <c r="J262" s="13"/>
      <c r="K262" s="13"/>
      <c r="L262" s="15">
        <v>160</v>
      </c>
      <c r="M262" s="12"/>
      <c r="N262" s="12"/>
      <c r="O262" s="24" t="s">
        <v>19</v>
      </c>
    </row>
    <row r="263" spans="1:15" ht="30" customHeight="1">
      <c r="A263" s="16" t="s">
        <v>103</v>
      </c>
      <c r="B263" s="34" t="s">
        <v>608</v>
      </c>
      <c r="C263" s="34" t="s">
        <v>576</v>
      </c>
      <c r="D263" s="31">
        <v>107601.94611190878</v>
      </c>
      <c r="E263" s="32">
        <v>93908.549127252263</v>
      </c>
      <c r="F263" s="31">
        <f t="shared" si="4"/>
        <v>13693.396984656516</v>
      </c>
      <c r="G263" s="33">
        <v>71</v>
      </c>
      <c r="H263" s="33">
        <v>1</v>
      </c>
      <c r="I263" s="15" t="s">
        <v>292</v>
      </c>
      <c r="J263" s="13"/>
      <c r="K263" s="13"/>
      <c r="L263" s="15">
        <v>160</v>
      </c>
      <c r="M263" s="12"/>
      <c r="N263" s="12"/>
      <c r="O263" s="24" t="s">
        <v>19</v>
      </c>
    </row>
    <row r="264" spans="1:15" ht="30" customHeight="1">
      <c r="A264" s="16" t="s">
        <v>103</v>
      </c>
      <c r="B264" s="34" t="s">
        <v>605</v>
      </c>
      <c r="C264" s="34" t="s">
        <v>341</v>
      </c>
      <c r="D264" s="31">
        <v>4084.1737219087813</v>
      </c>
      <c r="E264" s="32">
        <v>3341.8191272522513</v>
      </c>
      <c r="F264" s="31">
        <f t="shared" si="4"/>
        <v>742.35459465653003</v>
      </c>
      <c r="G264" s="33">
        <v>22</v>
      </c>
      <c r="H264" s="33">
        <v>0</v>
      </c>
      <c r="I264" s="15" t="s">
        <v>292</v>
      </c>
      <c r="J264" s="13"/>
      <c r="K264" s="13"/>
      <c r="L264" s="15">
        <v>100</v>
      </c>
      <c r="M264" s="12"/>
      <c r="N264" s="12"/>
      <c r="O264" s="24" t="s">
        <v>19</v>
      </c>
    </row>
    <row r="265" spans="1:15" ht="30" customHeight="1">
      <c r="A265" s="16" t="s">
        <v>103</v>
      </c>
      <c r="B265" s="34" t="s">
        <v>605</v>
      </c>
      <c r="C265" s="34" t="s">
        <v>324</v>
      </c>
      <c r="D265" s="31">
        <v>3250.6790719087821</v>
      </c>
      <c r="E265" s="32">
        <v>2612.602460585586</v>
      </c>
      <c r="F265" s="31">
        <f t="shared" si="4"/>
        <v>638.07661132319618</v>
      </c>
      <c r="G265" s="33">
        <v>81</v>
      </c>
      <c r="H265" s="33">
        <v>0</v>
      </c>
      <c r="I265" s="15" t="s">
        <v>298</v>
      </c>
      <c r="J265" s="13">
        <v>40.858196666700003</v>
      </c>
      <c r="K265" s="13">
        <v>72.1313583333</v>
      </c>
      <c r="L265" s="15">
        <v>250</v>
      </c>
      <c r="M265" s="12"/>
      <c r="N265" s="12"/>
      <c r="O265" s="24" t="s">
        <v>19</v>
      </c>
    </row>
    <row r="266" spans="1:15" ht="30" customHeight="1">
      <c r="A266" s="16" t="s">
        <v>16</v>
      </c>
      <c r="B266" s="34" t="s">
        <v>609</v>
      </c>
      <c r="C266" s="34" t="s">
        <v>577</v>
      </c>
      <c r="D266" s="31">
        <v>608.63076190878223</v>
      </c>
      <c r="E266" s="32">
        <v>301.09912725225189</v>
      </c>
      <c r="F266" s="31">
        <f t="shared" si="4"/>
        <v>307.53163465653034</v>
      </c>
      <c r="G266" s="33">
        <v>8</v>
      </c>
      <c r="H266" s="33">
        <v>1</v>
      </c>
      <c r="I266" s="15" t="s">
        <v>290</v>
      </c>
      <c r="J266" s="13"/>
      <c r="K266" s="13"/>
      <c r="L266" s="15">
        <v>160</v>
      </c>
      <c r="M266" s="12"/>
      <c r="N266" s="12"/>
      <c r="O266" s="24" t="s">
        <v>19</v>
      </c>
    </row>
    <row r="267" spans="1:15" ht="30" customHeight="1">
      <c r="A267" s="16" t="s">
        <v>103</v>
      </c>
      <c r="B267" s="34" t="s">
        <v>613</v>
      </c>
      <c r="C267" s="34" t="s">
        <v>578</v>
      </c>
      <c r="D267" s="31">
        <v>2792.054131908782</v>
      </c>
      <c r="E267" s="32">
        <v>2211.3557939189186</v>
      </c>
      <c r="F267" s="31">
        <f t="shared" si="4"/>
        <v>580.69833798986338</v>
      </c>
      <c r="G267" s="33">
        <v>36</v>
      </c>
      <c r="H267" s="33">
        <v>0</v>
      </c>
      <c r="I267" s="15" t="s">
        <v>294</v>
      </c>
      <c r="J267" s="13"/>
      <c r="K267" s="13"/>
      <c r="L267" s="15">
        <v>160</v>
      </c>
      <c r="M267" s="12"/>
      <c r="N267" s="12"/>
      <c r="O267" s="24" t="s">
        <v>19</v>
      </c>
    </row>
    <row r="268" spans="1:15" ht="30" customHeight="1">
      <c r="A268" s="16" t="s">
        <v>103</v>
      </c>
      <c r="B268" s="34" t="s">
        <v>610</v>
      </c>
      <c r="C268" s="34" t="s">
        <v>579</v>
      </c>
      <c r="D268" s="31">
        <v>2814.1445119087821</v>
      </c>
      <c r="E268" s="32">
        <v>2230.682460585585</v>
      </c>
      <c r="F268" s="31">
        <f t="shared" si="4"/>
        <v>583.4620513231971</v>
      </c>
      <c r="G268" s="33">
        <v>29</v>
      </c>
      <c r="H268" s="33">
        <v>0</v>
      </c>
      <c r="I268" s="15" t="s">
        <v>299</v>
      </c>
      <c r="J268" s="13"/>
      <c r="K268" s="13"/>
      <c r="L268" s="15">
        <v>250</v>
      </c>
      <c r="M268" s="12"/>
      <c r="N268" s="12"/>
      <c r="O268" s="24" t="s">
        <v>19</v>
      </c>
    </row>
    <row r="269" spans="1:15" ht="30" customHeight="1">
      <c r="A269" s="16" t="s">
        <v>103</v>
      </c>
      <c r="B269" s="34" t="s">
        <v>612</v>
      </c>
      <c r="C269" s="34" t="s">
        <v>580</v>
      </c>
      <c r="D269" s="31">
        <v>2297.0589319087826</v>
      </c>
      <c r="E269" s="32">
        <v>1778.289127252252</v>
      </c>
      <c r="F269" s="31">
        <f t="shared" si="4"/>
        <v>518.7698046565306</v>
      </c>
      <c r="G269" s="33">
        <v>16</v>
      </c>
      <c r="H269" s="33">
        <v>0</v>
      </c>
      <c r="I269" s="15" t="s">
        <v>300</v>
      </c>
      <c r="J269" s="13">
        <v>40.883151666700002</v>
      </c>
      <c r="K269" s="13">
        <v>72.085181666699995</v>
      </c>
      <c r="L269" s="15">
        <v>160</v>
      </c>
      <c r="M269" s="12"/>
      <c r="N269" s="12"/>
      <c r="O269" s="24" t="s">
        <v>19</v>
      </c>
    </row>
    <row r="270" spans="1:15" ht="30" customHeight="1">
      <c r="A270" s="16" t="s">
        <v>103</v>
      </c>
      <c r="B270" s="34" t="s">
        <v>605</v>
      </c>
      <c r="C270" s="34" t="s">
        <v>323</v>
      </c>
      <c r="D270" s="31">
        <v>1453.1439319087822</v>
      </c>
      <c r="E270" s="32">
        <v>1039.9557939189183</v>
      </c>
      <c r="F270" s="31">
        <f t="shared" si="4"/>
        <v>413.18813798986389</v>
      </c>
      <c r="G270" s="33">
        <v>24</v>
      </c>
      <c r="H270" s="33">
        <v>0</v>
      </c>
      <c r="I270" s="15" t="s">
        <v>301</v>
      </c>
      <c r="J270" s="13"/>
      <c r="K270" s="13"/>
      <c r="L270" s="15">
        <v>63</v>
      </c>
      <c r="M270" s="12"/>
      <c r="N270" s="12"/>
      <c r="O270" s="24" t="s">
        <v>19</v>
      </c>
    </row>
    <row r="271" spans="1:15" ht="30" customHeight="1">
      <c r="A271" s="16" t="s">
        <v>103</v>
      </c>
      <c r="B271" s="34" t="s">
        <v>613</v>
      </c>
      <c r="C271" s="34" t="s">
        <v>581</v>
      </c>
      <c r="D271" s="31">
        <v>5540.2871419087815</v>
      </c>
      <c r="E271" s="32">
        <v>4615.7591272522513</v>
      </c>
      <c r="F271" s="31">
        <f t="shared" si="4"/>
        <v>924.5280146565301</v>
      </c>
      <c r="G271" s="33">
        <v>69</v>
      </c>
      <c r="H271" s="33">
        <v>0</v>
      </c>
      <c r="I271" s="15" t="s">
        <v>296</v>
      </c>
      <c r="J271" s="13"/>
      <c r="K271" s="13"/>
      <c r="L271" s="15">
        <v>400</v>
      </c>
      <c r="M271" s="12"/>
      <c r="N271" s="12"/>
      <c r="O271" s="24" t="s">
        <v>19</v>
      </c>
    </row>
    <row r="272" spans="1:15" ht="30" customHeight="1">
      <c r="A272" s="16" t="s">
        <v>16</v>
      </c>
      <c r="B272" s="34" t="s">
        <v>609</v>
      </c>
      <c r="C272" s="34" t="s">
        <v>582</v>
      </c>
      <c r="D272" s="31">
        <v>2112.9711619087825</v>
      </c>
      <c r="E272" s="32">
        <v>1617.2324605855854</v>
      </c>
      <c r="F272" s="31">
        <f t="shared" si="4"/>
        <v>495.73870132319712</v>
      </c>
      <c r="G272" s="33">
        <v>44</v>
      </c>
      <c r="H272" s="33">
        <v>0</v>
      </c>
      <c r="I272" s="15" t="s">
        <v>296</v>
      </c>
      <c r="J272" s="13"/>
      <c r="K272" s="13"/>
      <c r="L272" s="15">
        <v>400</v>
      </c>
      <c r="M272" s="12"/>
      <c r="N272" s="12"/>
      <c r="O272" s="24" t="s">
        <v>19</v>
      </c>
    </row>
    <row r="273" spans="1:15" ht="30" customHeight="1">
      <c r="A273" s="16" t="s">
        <v>16</v>
      </c>
      <c r="B273" s="34" t="s">
        <v>608</v>
      </c>
      <c r="C273" s="34" t="s">
        <v>583</v>
      </c>
      <c r="D273" s="31">
        <v>12187.517941908782</v>
      </c>
      <c r="E273" s="32">
        <v>10431.359127252252</v>
      </c>
      <c r="F273" s="31">
        <f t="shared" si="4"/>
        <v>1756.15881465653</v>
      </c>
      <c r="G273" s="33">
        <v>45</v>
      </c>
      <c r="H273" s="33">
        <v>0</v>
      </c>
      <c r="I273" s="15" t="s">
        <v>289</v>
      </c>
      <c r="J273" s="13">
        <v>40.890700000000002</v>
      </c>
      <c r="K273" s="13">
        <v>71.955235000000002</v>
      </c>
      <c r="L273" s="15">
        <v>40</v>
      </c>
      <c r="M273" s="12"/>
      <c r="N273" s="12"/>
      <c r="O273" s="24" t="s">
        <v>19</v>
      </c>
    </row>
    <row r="274" spans="1:15" ht="30" customHeight="1">
      <c r="A274" s="16" t="s">
        <v>16</v>
      </c>
      <c r="B274" s="34" t="s">
        <v>609</v>
      </c>
      <c r="C274" s="34" t="s">
        <v>584</v>
      </c>
      <c r="D274" s="31">
        <v>989.44788190878205</v>
      </c>
      <c r="E274" s="32">
        <v>634.27246058558501</v>
      </c>
      <c r="F274" s="31">
        <f t="shared" si="4"/>
        <v>355.17542132319704</v>
      </c>
      <c r="G274" s="33">
        <v>22</v>
      </c>
      <c r="H274" s="33">
        <v>1</v>
      </c>
      <c r="I274" s="15" t="s">
        <v>295</v>
      </c>
      <c r="J274" s="13">
        <v>40.883293333300003</v>
      </c>
      <c r="K274" s="13">
        <v>71.964291666700007</v>
      </c>
      <c r="L274" s="15">
        <v>63</v>
      </c>
      <c r="M274" s="12"/>
      <c r="N274" s="12"/>
      <c r="O274" s="24" t="s">
        <v>19</v>
      </c>
    </row>
    <row r="275" spans="1:15" ht="30" customHeight="1">
      <c r="A275" s="16" t="s">
        <v>16</v>
      </c>
      <c r="B275" s="34" t="s">
        <v>610</v>
      </c>
      <c r="C275" s="34" t="s">
        <v>585</v>
      </c>
      <c r="D275" s="31">
        <v>4485.3857719087819</v>
      </c>
      <c r="E275" s="32">
        <v>3692.8357939189177</v>
      </c>
      <c r="F275" s="31">
        <f t="shared" si="4"/>
        <v>792.54997798986415</v>
      </c>
      <c r="G275" s="33">
        <v>66</v>
      </c>
      <c r="H275" s="33">
        <v>0</v>
      </c>
      <c r="I275" s="15" t="s">
        <v>297</v>
      </c>
      <c r="J275" s="13">
        <v>40.875286666699999</v>
      </c>
      <c r="K275" s="13">
        <v>71.9537066667</v>
      </c>
      <c r="L275" s="15">
        <v>25</v>
      </c>
      <c r="M275" s="12"/>
      <c r="N275" s="12"/>
      <c r="O275" s="24" t="s">
        <v>19</v>
      </c>
    </row>
    <row r="276" spans="1:15" ht="30" customHeight="1">
      <c r="A276" s="16" t="s">
        <v>16</v>
      </c>
      <c r="B276" s="34" t="s">
        <v>607</v>
      </c>
      <c r="C276" s="34" t="s">
        <v>586</v>
      </c>
      <c r="D276" s="31">
        <v>2784.540811908782</v>
      </c>
      <c r="E276" s="32">
        <v>2204.7824605855853</v>
      </c>
      <c r="F276" s="31">
        <f t="shared" si="4"/>
        <v>579.75835132319662</v>
      </c>
      <c r="G276" s="33">
        <v>34</v>
      </c>
      <c r="H276" s="33">
        <v>0</v>
      </c>
      <c r="I276" s="15" t="s">
        <v>302</v>
      </c>
      <c r="J276" s="13"/>
      <c r="K276" s="13"/>
      <c r="L276" s="15">
        <v>160</v>
      </c>
      <c r="M276" s="12"/>
      <c r="N276" s="12"/>
      <c r="O276" s="24" t="s">
        <v>19</v>
      </c>
    </row>
    <row r="277" spans="1:15" ht="30" customHeight="1">
      <c r="A277" s="16" t="s">
        <v>16</v>
      </c>
      <c r="B277" s="34" t="s">
        <v>610</v>
      </c>
      <c r="C277" s="34" t="s">
        <v>587</v>
      </c>
      <c r="D277" s="31">
        <v>2505.4087819087822</v>
      </c>
      <c r="E277" s="32">
        <v>1960.5724605855855</v>
      </c>
      <c r="F277" s="31">
        <f t="shared" si="4"/>
        <v>544.83632132319667</v>
      </c>
      <c r="G277" s="33">
        <v>11</v>
      </c>
      <c r="H277" s="33">
        <v>0</v>
      </c>
      <c r="I277" s="15" t="s">
        <v>298</v>
      </c>
      <c r="J277" s="13"/>
      <c r="K277" s="13"/>
      <c r="L277" s="15">
        <v>60</v>
      </c>
      <c r="M277" s="12"/>
      <c r="N277" s="12"/>
      <c r="O277" s="24" t="s">
        <v>19</v>
      </c>
    </row>
    <row r="278" spans="1:15" ht="30" customHeight="1">
      <c r="A278" s="16" t="s">
        <v>103</v>
      </c>
      <c r="B278" s="34" t="s">
        <v>605</v>
      </c>
      <c r="C278" s="34" t="s">
        <v>312</v>
      </c>
      <c r="D278" s="31">
        <v>1709.8998319087821</v>
      </c>
      <c r="E278" s="32">
        <v>1264.589127252252</v>
      </c>
      <c r="F278" s="31">
        <f t="shared" si="4"/>
        <v>445.31070465653011</v>
      </c>
      <c r="G278" s="33">
        <v>13</v>
      </c>
      <c r="H278" s="33">
        <v>0</v>
      </c>
      <c r="I278" s="15" t="s">
        <v>303</v>
      </c>
      <c r="J278" s="13"/>
      <c r="K278" s="13"/>
      <c r="L278" s="15">
        <v>250</v>
      </c>
      <c r="M278" s="12"/>
      <c r="N278" s="12"/>
      <c r="O278" s="24" t="s">
        <v>19</v>
      </c>
    </row>
    <row r="279" spans="1:15" ht="30" customHeight="1">
      <c r="A279" s="16" t="s">
        <v>103</v>
      </c>
      <c r="B279" s="34" t="s">
        <v>611</v>
      </c>
      <c r="C279" s="34" t="s">
        <v>588</v>
      </c>
      <c r="D279" s="31">
        <v>8555.0753719087825</v>
      </c>
      <c r="E279" s="32">
        <v>7253.3691272522519</v>
      </c>
      <c r="F279" s="31">
        <f t="shared" si="4"/>
        <v>1301.7062446565305</v>
      </c>
      <c r="G279" s="33">
        <v>45</v>
      </c>
      <c r="H279" s="33">
        <v>0</v>
      </c>
      <c r="I279" s="15" t="s">
        <v>291</v>
      </c>
      <c r="J279" s="13">
        <v>40.870626666699998</v>
      </c>
      <c r="K279" s="13">
        <v>72.030681666700005</v>
      </c>
      <c r="L279" s="15">
        <v>40</v>
      </c>
      <c r="M279" s="12"/>
      <c r="N279" s="12"/>
      <c r="O279" s="24" t="s">
        <v>19</v>
      </c>
    </row>
    <row r="280" spans="1:15" ht="30" customHeight="1">
      <c r="A280" s="16" t="s">
        <v>103</v>
      </c>
      <c r="B280" s="34" t="s">
        <v>605</v>
      </c>
      <c r="C280" s="34" t="s">
        <v>327</v>
      </c>
      <c r="D280" s="31">
        <v>2248.0775719087828</v>
      </c>
      <c r="E280" s="32">
        <v>1735.4357939189188</v>
      </c>
      <c r="F280" s="31">
        <f t="shared" si="4"/>
        <v>512.64177798986407</v>
      </c>
      <c r="G280" s="33">
        <v>39</v>
      </c>
      <c r="H280" s="33">
        <v>2</v>
      </c>
      <c r="I280" s="15" t="s">
        <v>280</v>
      </c>
      <c r="J280" s="13"/>
      <c r="K280" s="13"/>
      <c r="L280" s="15">
        <v>250</v>
      </c>
      <c r="M280" s="12"/>
      <c r="N280" s="12"/>
      <c r="O280" s="24" t="s">
        <v>19</v>
      </c>
    </row>
    <row r="281" spans="1:15" ht="30" customHeight="1">
      <c r="A281" s="16" t="s">
        <v>16</v>
      </c>
      <c r="B281" s="34" t="s">
        <v>609</v>
      </c>
      <c r="C281" s="34" t="s">
        <v>589</v>
      </c>
      <c r="D281" s="31">
        <v>1865.1039919087823</v>
      </c>
      <c r="E281" s="32">
        <v>1400.3757939189184</v>
      </c>
      <c r="F281" s="31">
        <f t="shared" si="4"/>
        <v>464.72819798986393</v>
      </c>
      <c r="G281" s="33">
        <v>29</v>
      </c>
      <c r="H281" s="33">
        <v>0</v>
      </c>
      <c r="I281" s="15" t="s">
        <v>304</v>
      </c>
      <c r="J281" s="13"/>
      <c r="K281" s="13"/>
      <c r="L281" s="15">
        <v>63</v>
      </c>
      <c r="M281" s="12"/>
      <c r="N281" s="12"/>
      <c r="O281" s="24" t="s">
        <v>19</v>
      </c>
    </row>
    <row r="282" spans="1:15" ht="30" customHeight="1">
      <c r="A282" s="16" t="s">
        <v>16</v>
      </c>
      <c r="B282" s="34" t="s">
        <v>610</v>
      </c>
      <c r="C282" s="34" t="s">
        <v>590</v>
      </c>
      <c r="D282" s="31">
        <v>6288.0110719087825</v>
      </c>
      <c r="E282" s="32">
        <v>5269.9357939189185</v>
      </c>
      <c r="F282" s="31">
        <f t="shared" si="4"/>
        <v>1018.0752779898639</v>
      </c>
      <c r="G282" s="33">
        <v>65</v>
      </c>
      <c r="H282" s="33">
        <v>0</v>
      </c>
      <c r="I282" s="15" t="s">
        <v>276</v>
      </c>
      <c r="J282" s="13"/>
      <c r="K282" s="13"/>
      <c r="L282" s="15">
        <v>400</v>
      </c>
      <c r="M282" s="12"/>
      <c r="N282" s="12"/>
      <c r="O282" s="24" t="s">
        <v>19</v>
      </c>
    </row>
    <row r="283" spans="1:15" ht="30" customHeight="1">
      <c r="A283" s="16" t="s">
        <v>16</v>
      </c>
      <c r="B283" s="34" t="s">
        <v>611</v>
      </c>
      <c r="C283" s="34" t="s">
        <v>591</v>
      </c>
      <c r="D283" s="31">
        <v>3551.924341908782</v>
      </c>
      <c r="E283" s="32">
        <v>2876.1591272522523</v>
      </c>
      <c r="F283" s="31">
        <f t="shared" si="4"/>
        <v>675.76521465652968</v>
      </c>
      <c r="G283" s="33">
        <v>43</v>
      </c>
      <c r="H283" s="33">
        <v>2</v>
      </c>
      <c r="I283" s="15" t="s">
        <v>277</v>
      </c>
      <c r="J283" s="13"/>
      <c r="K283" s="13"/>
      <c r="L283" s="15">
        <v>25</v>
      </c>
      <c r="M283" s="12"/>
      <c r="N283" s="12"/>
      <c r="O283" s="24" t="s">
        <v>19</v>
      </c>
    </row>
    <row r="284" spans="1:15" ht="30" customHeight="1">
      <c r="A284" s="16" t="s">
        <v>16</v>
      </c>
      <c r="B284" s="34" t="s">
        <v>612</v>
      </c>
      <c r="C284" s="34" t="s">
        <v>592</v>
      </c>
      <c r="D284" s="31">
        <v>1915.0797619087823</v>
      </c>
      <c r="E284" s="32">
        <v>1444.0991272522517</v>
      </c>
      <c r="F284" s="31">
        <f t="shared" si="4"/>
        <v>470.98063465653058</v>
      </c>
      <c r="G284" s="33">
        <v>35</v>
      </c>
      <c r="H284" s="33">
        <v>0</v>
      </c>
      <c r="I284" s="15" t="s">
        <v>296</v>
      </c>
      <c r="J284" s="13"/>
      <c r="K284" s="13"/>
      <c r="L284" s="15">
        <v>25</v>
      </c>
      <c r="M284" s="12"/>
      <c r="N284" s="12"/>
      <c r="O284" s="24" t="s">
        <v>19</v>
      </c>
    </row>
    <row r="285" spans="1:15" ht="30" customHeight="1">
      <c r="A285" s="16" t="s">
        <v>16</v>
      </c>
      <c r="B285" s="34" t="s">
        <v>609</v>
      </c>
      <c r="C285" s="34" t="s">
        <v>593</v>
      </c>
      <c r="D285" s="31">
        <v>2209.8061219087817</v>
      </c>
      <c r="E285" s="32">
        <v>1701.9524605855852</v>
      </c>
      <c r="F285" s="31">
        <f t="shared" si="4"/>
        <v>507.85366132319655</v>
      </c>
      <c r="G285" s="33">
        <v>18</v>
      </c>
      <c r="H285" s="33">
        <v>1</v>
      </c>
      <c r="I285" s="15" t="s">
        <v>276</v>
      </c>
      <c r="J285" s="13">
        <v>40.882366666700001</v>
      </c>
      <c r="K285" s="13">
        <v>72.011693333300002</v>
      </c>
      <c r="L285" s="15">
        <v>63</v>
      </c>
      <c r="M285" s="12"/>
      <c r="N285" s="12"/>
      <c r="O285" s="24" t="s">
        <v>19</v>
      </c>
    </row>
    <row r="286" spans="1:15" ht="30" customHeight="1">
      <c r="A286" s="16" t="s">
        <v>103</v>
      </c>
      <c r="B286" s="34" t="s">
        <v>613</v>
      </c>
      <c r="C286" s="34" t="s">
        <v>594</v>
      </c>
      <c r="D286" s="31">
        <v>8492.4694519087825</v>
      </c>
      <c r="E286" s="32">
        <v>7198.5957939189184</v>
      </c>
      <c r="F286" s="31">
        <f t="shared" si="4"/>
        <v>1293.8736579898641</v>
      </c>
      <c r="G286" s="33">
        <v>160</v>
      </c>
      <c r="H286" s="33">
        <v>2</v>
      </c>
      <c r="I286" s="15" t="s">
        <v>305</v>
      </c>
      <c r="J286" s="13"/>
      <c r="K286" s="13"/>
      <c r="L286" s="15">
        <v>100</v>
      </c>
      <c r="M286" s="12"/>
      <c r="N286" s="12"/>
      <c r="O286" s="24" t="s">
        <v>19</v>
      </c>
    </row>
    <row r="287" spans="1:15" ht="30" customHeight="1">
      <c r="A287" s="16" t="s">
        <v>16</v>
      </c>
      <c r="B287" s="34" t="s">
        <v>609</v>
      </c>
      <c r="C287" s="34" t="s">
        <v>82</v>
      </c>
      <c r="D287" s="31">
        <v>1872.9564019087823</v>
      </c>
      <c r="E287" s="32">
        <v>1407.2457939189187</v>
      </c>
      <c r="F287" s="31">
        <f t="shared" si="4"/>
        <v>465.71060798986355</v>
      </c>
      <c r="G287" s="33">
        <v>24</v>
      </c>
      <c r="H287" s="33">
        <v>0</v>
      </c>
      <c r="I287" s="15" t="s">
        <v>306</v>
      </c>
      <c r="J287" s="13"/>
      <c r="K287" s="13"/>
      <c r="L287" s="15">
        <v>100</v>
      </c>
      <c r="M287" s="12"/>
      <c r="N287" s="12"/>
      <c r="O287" s="24" t="s">
        <v>19</v>
      </c>
    </row>
    <row r="288" spans="1:15" ht="30" customHeight="1">
      <c r="A288" s="16" t="s">
        <v>16</v>
      </c>
      <c r="B288" s="34" t="s">
        <v>611</v>
      </c>
      <c r="C288" s="34" t="s">
        <v>595</v>
      </c>
      <c r="D288" s="31">
        <v>3628.852051908782</v>
      </c>
      <c r="E288" s="32">
        <v>2943.4624605855847</v>
      </c>
      <c r="F288" s="31">
        <f t="shared" si="4"/>
        <v>685.38959132319724</v>
      </c>
      <c r="G288" s="33">
        <v>36</v>
      </c>
      <c r="H288" s="33">
        <v>0</v>
      </c>
      <c r="I288" s="15" t="s">
        <v>302</v>
      </c>
      <c r="J288" s="13"/>
      <c r="K288" s="13"/>
      <c r="L288" s="15">
        <v>100</v>
      </c>
      <c r="M288" s="12"/>
      <c r="N288" s="12"/>
      <c r="O288" s="24" t="s">
        <v>19</v>
      </c>
    </row>
    <row r="289" spans="1:15" ht="30" customHeight="1">
      <c r="A289" s="16" t="s">
        <v>16</v>
      </c>
      <c r="B289" s="34" t="s">
        <v>611</v>
      </c>
      <c r="C289" s="34" t="s">
        <v>596</v>
      </c>
      <c r="D289" s="31">
        <v>3059.2113319087825</v>
      </c>
      <c r="E289" s="32">
        <v>2445.0891272522522</v>
      </c>
      <c r="F289" s="31">
        <f t="shared" si="4"/>
        <v>614.12220465653036</v>
      </c>
      <c r="G289" s="33">
        <v>43</v>
      </c>
      <c r="H289" s="33">
        <v>1</v>
      </c>
      <c r="I289" s="15" t="s">
        <v>286</v>
      </c>
      <c r="J289" s="13"/>
      <c r="K289" s="13"/>
      <c r="L289" s="15">
        <v>63</v>
      </c>
      <c r="M289" s="12"/>
      <c r="N289" s="12"/>
      <c r="O289" s="24" t="s">
        <v>19</v>
      </c>
    </row>
    <row r="290" spans="1:15" ht="30" customHeight="1">
      <c r="A290" s="16" t="s">
        <v>16</v>
      </c>
      <c r="B290" s="34" t="s">
        <v>611</v>
      </c>
      <c r="C290" s="34" t="s">
        <v>597</v>
      </c>
      <c r="D290" s="31">
        <v>3898.7334019087816</v>
      </c>
      <c r="E290" s="32">
        <v>3179.5791272522515</v>
      </c>
      <c r="F290" s="31">
        <f t="shared" si="4"/>
        <v>719.15427465653011</v>
      </c>
      <c r="G290" s="33">
        <v>56</v>
      </c>
      <c r="H290" s="33">
        <v>0</v>
      </c>
      <c r="I290" s="15" t="s">
        <v>281</v>
      </c>
      <c r="J290" s="13"/>
      <c r="K290" s="13"/>
      <c r="L290" s="15">
        <v>160</v>
      </c>
      <c r="M290" s="12"/>
      <c r="N290" s="12"/>
      <c r="O290" s="24" t="s">
        <v>19</v>
      </c>
    </row>
    <row r="291" spans="1:15" ht="30" customHeight="1">
      <c r="A291" s="16" t="s">
        <v>16</v>
      </c>
      <c r="B291" s="34" t="s">
        <v>610</v>
      </c>
      <c r="C291" s="34" t="s">
        <v>598</v>
      </c>
      <c r="D291" s="31">
        <v>6933.6879619087813</v>
      </c>
      <c r="E291" s="32">
        <v>5834.832460585586</v>
      </c>
      <c r="F291" s="31">
        <f t="shared" si="4"/>
        <v>1098.8555013231953</v>
      </c>
      <c r="G291" s="33">
        <v>91</v>
      </c>
      <c r="H291" s="33">
        <v>0</v>
      </c>
      <c r="I291" s="15" t="s">
        <v>281</v>
      </c>
      <c r="J291" s="13">
        <v>40.881914999999999</v>
      </c>
      <c r="K291" s="13">
        <v>71.997399999999999</v>
      </c>
      <c r="L291" s="15">
        <v>100</v>
      </c>
      <c r="M291" s="12"/>
      <c r="N291" s="12"/>
      <c r="O291" s="24" t="s">
        <v>19</v>
      </c>
    </row>
    <row r="292" spans="1:15" ht="30" customHeight="1">
      <c r="A292" s="16" t="s">
        <v>16</v>
      </c>
      <c r="B292" s="34" t="s">
        <v>613</v>
      </c>
      <c r="C292" s="34" t="s">
        <v>599</v>
      </c>
      <c r="D292" s="31">
        <v>2227.0844719087818</v>
      </c>
      <c r="E292" s="32">
        <v>1717.0691272522517</v>
      </c>
      <c r="F292" s="31">
        <f t="shared" si="4"/>
        <v>510.01534465653003</v>
      </c>
      <c r="G292" s="33">
        <v>26</v>
      </c>
      <c r="H292" s="33">
        <v>0</v>
      </c>
      <c r="I292" s="15" t="s">
        <v>276</v>
      </c>
      <c r="J292" s="13"/>
      <c r="K292" s="13"/>
      <c r="L292" s="15">
        <v>160</v>
      </c>
      <c r="M292" s="12"/>
      <c r="N292" s="12"/>
      <c r="O292" s="24" t="s">
        <v>19</v>
      </c>
    </row>
    <row r="293" spans="1:15" ht="30" customHeight="1">
      <c r="A293" s="16" t="s">
        <v>103</v>
      </c>
      <c r="B293" s="34" t="s">
        <v>612</v>
      </c>
      <c r="C293" s="34" t="s">
        <v>600</v>
      </c>
      <c r="D293" s="31">
        <v>4058.1704719087816</v>
      </c>
      <c r="E293" s="32">
        <v>3319.0691272522513</v>
      </c>
      <c r="F293" s="31">
        <f t="shared" si="4"/>
        <v>739.10134465653027</v>
      </c>
      <c r="G293" s="33">
        <v>29</v>
      </c>
      <c r="H293" s="33">
        <v>0</v>
      </c>
      <c r="I293" s="15" t="s">
        <v>296</v>
      </c>
      <c r="J293" s="13">
        <v>40.837551666700001</v>
      </c>
      <c r="K293" s="13">
        <v>72.172751666699995</v>
      </c>
      <c r="L293" s="15">
        <v>100</v>
      </c>
      <c r="M293" s="12"/>
      <c r="N293" s="12"/>
      <c r="O293" s="24" t="s">
        <v>19</v>
      </c>
    </row>
    <row r="294" spans="1:15" ht="30" customHeight="1">
      <c r="A294" s="16" t="s">
        <v>103</v>
      </c>
      <c r="B294" s="34" t="s">
        <v>609</v>
      </c>
      <c r="C294" s="34" t="s">
        <v>601</v>
      </c>
      <c r="D294" s="31">
        <v>1612.7295919087821</v>
      </c>
      <c r="E294" s="32">
        <v>1179.5757939189186</v>
      </c>
      <c r="F294" s="31">
        <f t="shared" si="4"/>
        <v>433.15379798986351</v>
      </c>
      <c r="G294" s="33">
        <v>27</v>
      </c>
      <c r="H294" s="33">
        <v>0</v>
      </c>
      <c r="I294" s="15" t="s">
        <v>307</v>
      </c>
      <c r="J294" s="13">
        <v>40.883151666700002</v>
      </c>
      <c r="K294" s="13">
        <v>72.085181666699995</v>
      </c>
      <c r="L294" s="15">
        <v>63</v>
      </c>
      <c r="M294" s="12"/>
      <c r="N294" s="12"/>
      <c r="O294" s="24" t="s">
        <v>19</v>
      </c>
    </row>
    <row r="295" spans="1:15" ht="30" customHeight="1">
      <c r="A295" s="16" t="s">
        <v>16</v>
      </c>
      <c r="B295" s="34" t="s">
        <v>611</v>
      </c>
      <c r="C295" s="34" t="s">
        <v>602</v>
      </c>
      <c r="D295" s="31">
        <v>1407.4696519087822</v>
      </c>
      <c r="E295" s="32">
        <v>999.99579391891859</v>
      </c>
      <c r="F295" s="31">
        <f t="shared" si="4"/>
        <v>407.47385798986363</v>
      </c>
      <c r="G295" s="33">
        <v>16</v>
      </c>
      <c r="H295" s="33">
        <v>0</v>
      </c>
      <c r="I295" s="15" t="s">
        <v>291</v>
      </c>
      <c r="J295" s="13">
        <v>40.883535000000002</v>
      </c>
      <c r="K295" s="13">
        <v>71.979993333300001</v>
      </c>
      <c r="L295" s="15">
        <v>100</v>
      </c>
      <c r="M295" s="12"/>
      <c r="N295" s="12"/>
      <c r="O295" s="24" t="s">
        <v>19</v>
      </c>
    </row>
    <row r="296" spans="1:15" ht="30" customHeight="1">
      <c r="A296" s="16" t="s">
        <v>103</v>
      </c>
      <c r="B296" s="34" t="s">
        <v>606</v>
      </c>
      <c r="C296" s="34" t="s">
        <v>603</v>
      </c>
      <c r="D296" s="31">
        <v>6754.1379019087826</v>
      </c>
      <c r="E296" s="32">
        <v>5677.7457939189189</v>
      </c>
      <c r="F296" s="31">
        <f t="shared" si="4"/>
        <v>1076.3921079898637</v>
      </c>
      <c r="G296" s="33">
        <v>138</v>
      </c>
      <c r="H296" s="33">
        <v>10</v>
      </c>
      <c r="I296" s="15" t="s">
        <v>277</v>
      </c>
      <c r="J296" s="13">
        <v>40.858853333299997</v>
      </c>
      <c r="K296" s="13">
        <v>72.0770083333</v>
      </c>
      <c r="L296" s="15">
        <v>100</v>
      </c>
      <c r="M296" s="12"/>
      <c r="N296" s="12"/>
      <c r="O296" s="24" t="s">
        <v>19</v>
      </c>
    </row>
    <row r="297" spans="1:15" ht="30" customHeight="1">
      <c r="A297" s="16" t="s">
        <v>192</v>
      </c>
      <c r="B297" s="34" t="s">
        <v>606</v>
      </c>
      <c r="C297" s="34" t="s">
        <v>604</v>
      </c>
      <c r="D297" s="31">
        <v>993.6</v>
      </c>
      <c r="E297" s="32">
        <v>638</v>
      </c>
      <c r="F297" s="31">
        <f t="shared" si="4"/>
        <v>355.6</v>
      </c>
      <c r="G297" s="33">
        <v>4</v>
      </c>
      <c r="H297" s="33">
        <v>0</v>
      </c>
      <c r="I297" s="15" t="s">
        <v>308</v>
      </c>
      <c r="J297" s="13">
        <v>40.833135628299999</v>
      </c>
      <c r="K297" s="13">
        <v>72.203557438199994</v>
      </c>
      <c r="L297" s="15">
        <v>630</v>
      </c>
      <c r="M297" s="12"/>
      <c r="N297" s="12"/>
      <c r="O297" s="24" t="s">
        <v>19</v>
      </c>
    </row>
    <row r="298" spans="1:15" ht="30" customHeight="1">
      <c r="A298" s="16" t="s">
        <v>103</v>
      </c>
      <c r="B298" s="34" t="s">
        <v>605</v>
      </c>
      <c r="C298" s="34" t="s">
        <v>335</v>
      </c>
      <c r="D298" s="31">
        <v>918.34947190878245</v>
      </c>
      <c r="E298" s="32">
        <v>572.06912725225197</v>
      </c>
      <c r="F298" s="31">
        <f t="shared" si="4"/>
        <v>346.28034465653047</v>
      </c>
      <c r="G298" s="33">
        <v>21</v>
      </c>
      <c r="H298" s="33">
        <v>0</v>
      </c>
      <c r="I298" s="15" t="s">
        <v>309</v>
      </c>
      <c r="J298" s="13">
        <v>40.8940533333</v>
      </c>
      <c r="K298" s="13">
        <v>71.926556666699994</v>
      </c>
      <c r="L298" s="15">
        <v>40</v>
      </c>
      <c r="M298" s="12"/>
      <c r="N298" s="12"/>
      <c r="O298" s="24" t="s">
        <v>19</v>
      </c>
    </row>
    <row r="299" spans="1:15" ht="30" customHeight="1">
      <c r="A299" s="2"/>
      <c r="B299" s="2"/>
      <c r="C299" s="2"/>
      <c r="D299" s="35"/>
      <c r="E299" s="35"/>
      <c r="F299" s="35"/>
      <c r="G299" s="2"/>
      <c r="H299" s="2"/>
      <c r="I299" s="2"/>
      <c r="J299" s="11"/>
      <c r="K299" s="11"/>
      <c r="L299" s="9"/>
      <c r="M299" s="2"/>
      <c r="N299" s="2"/>
      <c r="O299" s="2"/>
    </row>
    <row r="300" spans="1:15" ht="30" customHeight="1">
      <c r="A300" s="2"/>
      <c r="B300" s="2"/>
      <c r="C300" s="2"/>
      <c r="D300" s="2"/>
      <c r="E300" s="2"/>
      <c r="F300" s="2"/>
      <c r="G300" s="2"/>
      <c r="H300" s="2"/>
      <c r="I300" s="2"/>
      <c r="J300" s="11"/>
      <c r="K300" s="11"/>
      <c r="L300" s="9"/>
      <c r="M300" s="2"/>
      <c r="N300" s="2"/>
      <c r="O300" s="2"/>
    </row>
    <row r="301" spans="1:15" ht="30" customHeight="1">
      <c r="A301" s="2"/>
      <c r="B301" s="2"/>
      <c r="C301" s="2"/>
      <c r="D301" s="2"/>
      <c r="E301" s="2"/>
      <c r="F301" s="2"/>
      <c r="G301" s="2"/>
      <c r="H301" s="2"/>
      <c r="I301" s="2"/>
      <c r="J301" s="11"/>
      <c r="K301" s="11"/>
      <c r="L301" s="9"/>
      <c r="M301" s="2"/>
      <c r="N301" s="2"/>
      <c r="O301" s="2"/>
    </row>
    <row r="302" spans="1:15" ht="30" customHeight="1">
      <c r="A302" s="2"/>
      <c r="B302" s="2"/>
      <c r="C302" s="2"/>
      <c r="D302" s="2"/>
      <c r="E302" s="2"/>
      <c r="F302" s="2"/>
      <c r="G302" s="2"/>
      <c r="H302" s="2"/>
      <c r="I302" s="2"/>
      <c r="J302" s="11"/>
      <c r="K302" s="11"/>
      <c r="L302" s="9"/>
      <c r="M302" s="2"/>
      <c r="N302" s="2"/>
      <c r="O302" s="2"/>
    </row>
    <row r="303" spans="1:15" ht="30" customHeight="1">
      <c r="A303" s="2"/>
      <c r="B303" s="2"/>
      <c r="C303" s="2"/>
      <c r="D303" s="2"/>
      <c r="E303" s="2"/>
      <c r="F303" s="2"/>
      <c r="G303" s="2"/>
      <c r="H303" s="2"/>
      <c r="I303" s="2"/>
      <c r="J303" s="11"/>
      <c r="K303" s="11"/>
      <c r="L303" s="9"/>
      <c r="M303" s="2"/>
      <c r="N303" s="2"/>
      <c r="O303" s="2"/>
    </row>
    <row r="304" spans="1:15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11"/>
      <c r="K304" s="11"/>
      <c r="L304" s="9"/>
      <c r="M304" s="2"/>
      <c r="N304" s="2"/>
      <c r="O304" s="2"/>
    </row>
    <row r="305" spans="1:15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11"/>
      <c r="K305" s="11"/>
      <c r="L305" s="9"/>
      <c r="M305" s="2"/>
      <c r="N305" s="2"/>
      <c r="O305" s="2"/>
    </row>
    <row r="306" spans="1:15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11"/>
      <c r="K306" s="11"/>
      <c r="L306" s="9"/>
      <c r="M306" s="2"/>
      <c r="N306" s="2"/>
      <c r="O306" s="2"/>
    </row>
    <row r="307" spans="1:15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11"/>
      <c r="K307" s="11"/>
      <c r="L307" s="9"/>
      <c r="M307" s="2"/>
      <c r="N307" s="2"/>
      <c r="O307" s="2"/>
    </row>
    <row r="308" spans="1:15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11"/>
      <c r="K308" s="11"/>
      <c r="L308" s="9"/>
      <c r="M308" s="2"/>
      <c r="N308" s="2"/>
      <c r="O308" s="2"/>
    </row>
    <row r="309" spans="1:15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11"/>
      <c r="K309" s="11"/>
      <c r="L309" s="9"/>
      <c r="M309" s="2"/>
      <c r="N309" s="2"/>
      <c r="O309" s="2"/>
    </row>
    <row r="310" spans="1:15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11"/>
      <c r="K310" s="11"/>
      <c r="L310" s="9"/>
      <c r="M310" s="2"/>
      <c r="N310" s="2"/>
      <c r="O310" s="2"/>
    </row>
    <row r="311" spans="1:15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11"/>
      <c r="K311" s="11"/>
      <c r="L311" s="9"/>
      <c r="M311" s="2"/>
      <c r="N311" s="2"/>
      <c r="O311" s="2"/>
    </row>
    <row r="312" spans="1:15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11"/>
      <c r="K312" s="11"/>
      <c r="L312" s="9"/>
      <c r="M312" s="2"/>
      <c r="N312" s="2"/>
      <c r="O312" s="2"/>
    </row>
    <row r="313" spans="1:15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11"/>
      <c r="K313" s="11"/>
      <c r="L313" s="9"/>
      <c r="M313" s="2"/>
      <c r="N313" s="2"/>
      <c r="O313" s="2"/>
    </row>
    <row r="314" spans="1:15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11"/>
      <c r="K314" s="11"/>
      <c r="L314" s="9"/>
      <c r="M314" s="2"/>
      <c r="N314" s="2"/>
      <c r="O314" s="2"/>
    </row>
    <row r="315" spans="1:15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11"/>
      <c r="K315" s="11"/>
      <c r="L315" s="9"/>
      <c r="M315" s="2"/>
      <c r="N315" s="2"/>
      <c r="O315" s="2"/>
    </row>
    <row r="316" spans="1:15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11"/>
      <c r="K316" s="11"/>
      <c r="L316" s="9"/>
      <c r="M316" s="2"/>
      <c r="N316" s="2"/>
      <c r="O316" s="2"/>
    </row>
    <row r="317" spans="1:15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11"/>
      <c r="K317" s="11"/>
      <c r="L317" s="9"/>
      <c r="M317" s="2"/>
      <c r="N317" s="2"/>
      <c r="O317" s="2"/>
    </row>
    <row r="318" spans="1:15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11"/>
      <c r="K318" s="11"/>
      <c r="L318" s="9"/>
      <c r="M318" s="2"/>
      <c r="N318" s="2"/>
      <c r="O318" s="2"/>
    </row>
    <row r="319" spans="1:15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11"/>
      <c r="K319" s="11"/>
      <c r="L319" s="9"/>
      <c r="M319" s="2"/>
      <c r="N319" s="2"/>
      <c r="O319" s="2"/>
    </row>
    <row r="320" spans="1:15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11"/>
      <c r="K320" s="11"/>
      <c r="L320" s="9"/>
      <c r="M320" s="2"/>
      <c r="N320" s="2"/>
      <c r="O320" s="2"/>
    </row>
    <row r="321" spans="1:15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11"/>
      <c r="K321" s="11"/>
      <c r="L321" s="9"/>
      <c r="M321" s="2"/>
      <c r="N321" s="2"/>
      <c r="O321" s="2"/>
    </row>
    <row r="322" spans="1:15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11"/>
      <c r="K322" s="11"/>
      <c r="L322" s="9"/>
      <c r="M322" s="2"/>
      <c r="N322" s="2"/>
      <c r="O322" s="2"/>
    </row>
    <row r="323" spans="1:15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11"/>
      <c r="K323" s="11"/>
      <c r="L323" s="9"/>
      <c r="M323" s="2"/>
      <c r="N323" s="2"/>
      <c r="O323" s="2"/>
    </row>
    <row r="324" spans="1:15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11"/>
      <c r="K324" s="11"/>
      <c r="L324" s="9"/>
      <c r="M324" s="2"/>
      <c r="N324" s="2"/>
      <c r="O324" s="2"/>
    </row>
    <row r="325" spans="1:15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11"/>
      <c r="K325" s="11"/>
      <c r="L325" s="9"/>
      <c r="M325" s="2"/>
      <c r="N325" s="2"/>
      <c r="O325" s="2"/>
    </row>
    <row r="326" spans="1:15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11"/>
      <c r="K326" s="11"/>
      <c r="L326" s="9"/>
      <c r="M326" s="2"/>
      <c r="N326" s="2"/>
      <c r="O326" s="2"/>
    </row>
    <row r="327" spans="1:15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11"/>
      <c r="K327" s="11"/>
      <c r="L327" s="9"/>
      <c r="M327" s="2"/>
      <c r="N327" s="2"/>
      <c r="O327" s="2"/>
    </row>
    <row r="328" spans="1:15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11"/>
      <c r="K328" s="11"/>
      <c r="L328" s="9"/>
      <c r="M328" s="2"/>
      <c r="N328" s="2"/>
      <c r="O328" s="2"/>
    </row>
    <row r="329" spans="1:15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11"/>
      <c r="K329" s="11"/>
      <c r="L329" s="9"/>
      <c r="M329" s="2"/>
      <c r="N329" s="2"/>
      <c r="O329" s="2"/>
    </row>
    <row r="330" spans="1:15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11"/>
      <c r="K330" s="11"/>
      <c r="L330" s="9"/>
      <c r="M330" s="2"/>
      <c r="N330" s="2"/>
      <c r="O330" s="2"/>
    </row>
    <row r="331" spans="1:15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11"/>
      <c r="K331" s="11"/>
      <c r="L331" s="9"/>
      <c r="M331" s="2"/>
      <c r="N331" s="2"/>
      <c r="O331" s="2"/>
    </row>
    <row r="332" spans="1:15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11"/>
      <c r="K332" s="11"/>
      <c r="L332" s="9"/>
      <c r="M332" s="2"/>
      <c r="N332" s="2"/>
      <c r="O332" s="2"/>
    </row>
    <row r="333" spans="1:15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11"/>
      <c r="K333" s="11"/>
      <c r="L333" s="9"/>
      <c r="M333" s="2"/>
      <c r="N333" s="2"/>
      <c r="O333" s="2"/>
    </row>
    <row r="334" spans="1:15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11"/>
      <c r="K334" s="11"/>
      <c r="L334" s="9"/>
      <c r="M334" s="2"/>
      <c r="N334" s="2"/>
      <c r="O334" s="2"/>
    </row>
    <row r="335" spans="1:15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11"/>
      <c r="K335" s="11"/>
      <c r="L335" s="9"/>
      <c r="M335" s="2"/>
      <c r="N335" s="2"/>
      <c r="O335" s="2"/>
    </row>
    <row r="336" spans="1:15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11"/>
      <c r="K336" s="11"/>
      <c r="L336" s="9"/>
      <c r="M336" s="2"/>
      <c r="N336" s="2"/>
      <c r="O336" s="2"/>
    </row>
    <row r="337" spans="1:15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11"/>
      <c r="K337" s="11"/>
      <c r="L337" s="9"/>
      <c r="M337" s="2"/>
      <c r="N337" s="2"/>
      <c r="O337" s="2"/>
    </row>
    <row r="338" spans="1:15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11"/>
      <c r="K338" s="11"/>
      <c r="L338" s="9"/>
      <c r="M338" s="2"/>
      <c r="N338" s="2"/>
      <c r="O338" s="2"/>
    </row>
    <row r="339" spans="1:15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11"/>
      <c r="K339" s="11"/>
      <c r="L339" s="9"/>
      <c r="M339" s="2"/>
      <c r="N339" s="2"/>
      <c r="O339" s="2"/>
    </row>
    <row r="340" spans="1:15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11"/>
      <c r="K340" s="11"/>
      <c r="L340" s="9"/>
      <c r="M340" s="2"/>
      <c r="N340" s="2"/>
      <c r="O340" s="2"/>
    </row>
    <row r="341" spans="1:15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11"/>
      <c r="K341" s="11"/>
      <c r="L341" s="9"/>
      <c r="M341" s="2"/>
      <c r="N341" s="2"/>
      <c r="O341" s="2"/>
    </row>
    <row r="342" spans="1:15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11"/>
      <c r="K342" s="11"/>
      <c r="L342" s="9"/>
      <c r="M342" s="2"/>
      <c r="N342" s="2"/>
      <c r="O342" s="2"/>
    </row>
    <row r="343" spans="1:15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11"/>
      <c r="K343" s="11"/>
      <c r="L343" s="9"/>
      <c r="M343" s="2"/>
      <c r="N343" s="2"/>
      <c r="O343" s="2"/>
    </row>
    <row r="344" spans="1:15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11"/>
      <c r="K344" s="11"/>
      <c r="L344" s="9"/>
      <c r="M344" s="2"/>
      <c r="N344" s="2"/>
      <c r="O344" s="2"/>
    </row>
    <row r="345" spans="1:15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11"/>
      <c r="K345" s="11"/>
      <c r="L345" s="9"/>
      <c r="M345" s="2"/>
      <c r="N345" s="2"/>
      <c r="O345" s="2"/>
    </row>
    <row r="346" spans="1:15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11"/>
      <c r="K346" s="11"/>
      <c r="L346" s="9"/>
      <c r="M346" s="2"/>
      <c r="N346" s="2"/>
      <c r="O346" s="2"/>
    </row>
    <row r="347" spans="1:15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11"/>
      <c r="K347" s="11"/>
      <c r="L347" s="9"/>
      <c r="M347" s="2"/>
      <c r="N347" s="2"/>
      <c r="O347" s="2"/>
    </row>
    <row r="348" spans="1:15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11"/>
      <c r="K348" s="11"/>
      <c r="L348" s="9"/>
      <c r="M348" s="2"/>
      <c r="N348" s="2"/>
      <c r="O348" s="2"/>
    </row>
    <row r="349" spans="1:15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11"/>
      <c r="K349" s="11"/>
      <c r="L349" s="9"/>
      <c r="M349" s="2"/>
      <c r="N349" s="2"/>
      <c r="O349" s="2"/>
    </row>
    <row r="350" spans="1:15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11"/>
      <c r="K350" s="11"/>
      <c r="L350" s="9"/>
      <c r="M350" s="2"/>
      <c r="N350" s="2"/>
      <c r="O350" s="2"/>
    </row>
    <row r="351" spans="1:15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11"/>
      <c r="K351" s="11"/>
      <c r="L351" s="9"/>
      <c r="M351" s="2"/>
      <c r="N351" s="2"/>
      <c r="O351" s="2"/>
    </row>
    <row r="352" spans="1:15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11"/>
      <c r="K352" s="11"/>
      <c r="L352" s="9"/>
      <c r="M352" s="2"/>
      <c r="N352" s="2"/>
      <c r="O352" s="2"/>
    </row>
    <row r="353" spans="1:15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11"/>
      <c r="K353" s="11"/>
      <c r="L353" s="9"/>
      <c r="M353" s="2"/>
      <c r="N353" s="2"/>
      <c r="O353" s="2"/>
    </row>
    <row r="354" spans="1:15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11"/>
      <c r="K354" s="11"/>
      <c r="L354" s="9"/>
      <c r="M354" s="2"/>
      <c r="N354" s="2"/>
      <c r="O354" s="2"/>
    </row>
    <row r="355" spans="1:15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11"/>
      <c r="K355" s="11"/>
      <c r="L355" s="9"/>
      <c r="M355" s="2"/>
      <c r="N355" s="2"/>
      <c r="O355" s="2"/>
    </row>
    <row r="356" spans="1:15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11"/>
      <c r="K356" s="11"/>
      <c r="L356" s="9"/>
      <c r="M356" s="2"/>
      <c r="N356" s="2"/>
      <c r="O356" s="2"/>
    </row>
    <row r="357" spans="1:15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11"/>
      <c r="K357" s="11"/>
      <c r="L357" s="9"/>
      <c r="M357" s="2"/>
      <c r="N357" s="2"/>
      <c r="O357" s="2"/>
    </row>
    <row r="358" spans="1:15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11"/>
      <c r="K358" s="11"/>
      <c r="L358" s="9"/>
      <c r="M358" s="2"/>
      <c r="N358" s="2"/>
      <c r="O358" s="2"/>
    </row>
    <row r="359" spans="1:15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11"/>
      <c r="K359" s="11"/>
      <c r="L359" s="9"/>
      <c r="M359" s="2"/>
      <c r="N359" s="2"/>
      <c r="O359" s="2"/>
    </row>
    <row r="360" spans="1:15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11"/>
      <c r="K360" s="11"/>
      <c r="L360" s="9"/>
      <c r="M360" s="2"/>
      <c r="N360" s="2"/>
      <c r="O360" s="2"/>
    </row>
    <row r="361" spans="1:15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11"/>
      <c r="K361" s="11"/>
      <c r="L361" s="9"/>
      <c r="M361" s="2"/>
      <c r="N361" s="2"/>
      <c r="O361" s="2"/>
    </row>
    <row r="362" spans="1:15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11"/>
      <c r="K362" s="11"/>
      <c r="L362" s="9"/>
      <c r="M362" s="2"/>
      <c r="N362" s="2"/>
      <c r="O362" s="2"/>
    </row>
    <row r="363" spans="1:15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11"/>
      <c r="K363" s="11"/>
      <c r="L363" s="9"/>
      <c r="M363" s="2"/>
      <c r="N363" s="2"/>
      <c r="O363" s="2"/>
    </row>
    <row r="364" spans="1:15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11"/>
      <c r="K364" s="11"/>
      <c r="L364" s="9"/>
      <c r="M364" s="2"/>
      <c r="N364" s="2"/>
      <c r="O364" s="2"/>
    </row>
    <row r="365" spans="1:15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11"/>
      <c r="K365" s="11"/>
      <c r="L365" s="9"/>
      <c r="M365" s="2"/>
      <c r="N365" s="2"/>
      <c r="O365" s="2"/>
    </row>
    <row r="366" spans="1:15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11"/>
      <c r="K366" s="11"/>
      <c r="L366" s="9"/>
      <c r="M366" s="2"/>
      <c r="N366" s="2"/>
      <c r="O366" s="2"/>
    </row>
    <row r="367" spans="1:15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11"/>
      <c r="K367" s="11"/>
      <c r="L367" s="9"/>
      <c r="M367" s="2"/>
      <c r="N367" s="2"/>
      <c r="O367" s="2"/>
    </row>
    <row r="368" spans="1:15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11"/>
      <c r="K368" s="11"/>
      <c r="L368" s="9"/>
      <c r="M368" s="2"/>
      <c r="N368" s="2"/>
      <c r="O368" s="2"/>
    </row>
    <row r="369" spans="1:15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11"/>
      <c r="K369" s="11"/>
      <c r="L369" s="9"/>
      <c r="M369" s="2"/>
      <c r="N369" s="2"/>
      <c r="O369" s="2"/>
    </row>
    <row r="370" spans="1:15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11"/>
      <c r="K370" s="11"/>
      <c r="L370" s="9"/>
      <c r="M370" s="2"/>
      <c r="N370" s="2"/>
      <c r="O370" s="2"/>
    </row>
    <row r="371" spans="1:15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11"/>
      <c r="K371" s="11"/>
      <c r="L371" s="9"/>
      <c r="M371" s="2"/>
      <c r="N371" s="2"/>
      <c r="O371" s="2"/>
    </row>
    <row r="372" spans="1:15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11"/>
      <c r="K372" s="11"/>
      <c r="L372" s="9"/>
      <c r="M372" s="2"/>
      <c r="N372" s="2"/>
      <c r="O372" s="2"/>
    </row>
    <row r="373" spans="1:15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11"/>
      <c r="K373" s="11"/>
      <c r="L373" s="9"/>
      <c r="M373" s="2"/>
      <c r="N373" s="2"/>
      <c r="O373" s="2"/>
    </row>
    <row r="374" spans="1:15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11"/>
      <c r="K374" s="11"/>
      <c r="L374" s="9"/>
      <c r="M374" s="2"/>
      <c r="N374" s="2"/>
      <c r="O374" s="2"/>
    </row>
    <row r="375" spans="1:15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11"/>
      <c r="K375" s="11"/>
      <c r="L375" s="9"/>
      <c r="M375" s="2"/>
      <c r="N375" s="2"/>
      <c r="O375" s="2"/>
    </row>
    <row r="376" spans="1:15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11"/>
      <c r="K376" s="11"/>
      <c r="L376" s="9"/>
      <c r="M376" s="2"/>
      <c r="N376" s="2"/>
      <c r="O376" s="2"/>
    </row>
    <row r="377" spans="1:15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11"/>
      <c r="K377" s="11"/>
      <c r="L377" s="9"/>
      <c r="M377" s="2"/>
      <c r="N377" s="2"/>
      <c r="O377" s="2"/>
    </row>
    <row r="378" spans="1:15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11"/>
      <c r="K378" s="11"/>
      <c r="L378" s="9"/>
      <c r="M378" s="2"/>
      <c r="N378" s="2"/>
      <c r="O378" s="2"/>
    </row>
    <row r="379" spans="1:15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11"/>
      <c r="K379" s="11"/>
      <c r="L379" s="9"/>
      <c r="M379" s="2"/>
      <c r="N379" s="2"/>
      <c r="O379" s="2"/>
    </row>
    <row r="380" spans="1:15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11"/>
      <c r="K380" s="11"/>
      <c r="L380" s="9"/>
      <c r="M380" s="2"/>
      <c r="N380" s="2"/>
      <c r="O380" s="2"/>
    </row>
    <row r="381" spans="1:15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11"/>
      <c r="K381" s="11"/>
      <c r="L381" s="9"/>
      <c r="M381" s="2"/>
      <c r="N381" s="2"/>
      <c r="O381" s="2"/>
    </row>
    <row r="382" spans="1:15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11"/>
      <c r="K382" s="11"/>
      <c r="L382" s="9"/>
      <c r="M382" s="2"/>
      <c r="N382" s="2"/>
      <c r="O382" s="2"/>
    </row>
    <row r="383" spans="1:15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11"/>
      <c r="K383" s="11"/>
      <c r="L383" s="9"/>
      <c r="M383" s="2"/>
      <c r="N383" s="2"/>
      <c r="O383" s="2"/>
    </row>
    <row r="384" spans="1:15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11"/>
      <c r="K384" s="11"/>
      <c r="L384" s="9"/>
      <c r="M384" s="2"/>
      <c r="N384" s="2"/>
      <c r="O384" s="2"/>
    </row>
    <row r="385" spans="1:15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11"/>
      <c r="K385" s="11"/>
      <c r="L385" s="9"/>
      <c r="M385" s="2"/>
      <c r="N385" s="2"/>
      <c r="O385" s="2"/>
    </row>
    <row r="386" spans="1:15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11"/>
      <c r="K386" s="11"/>
      <c r="L386" s="9"/>
      <c r="M386" s="2"/>
      <c r="N386" s="2"/>
      <c r="O386" s="2"/>
    </row>
    <row r="387" spans="1:15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11"/>
      <c r="K387" s="11"/>
      <c r="L387" s="9"/>
      <c r="M387" s="2"/>
      <c r="N387" s="2"/>
      <c r="O387" s="2"/>
    </row>
    <row r="388" spans="1:15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11"/>
      <c r="K388" s="11"/>
      <c r="L388" s="9"/>
      <c r="M388" s="2"/>
      <c r="N388" s="2"/>
      <c r="O388" s="2"/>
    </row>
    <row r="389" spans="1:15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11"/>
      <c r="K389" s="11"/>
      <c r="L389" s="9"/>
      <c r="M389" s="2"/>
      <c r="N389" s="2"/>
      <c r="O389" s="2"/>
    </row>
    <row r="390" spans="1:15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11"/>
      <c r="K390" s="11"/>
      <c r="L390" s="9"/>
      <c r="M390" s="2"/>
      <c r="N390" s="2"/>
      <c r="O390" s="2"/>
    </row>
    <row r="391" spans="1:15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11"/>
      <c r="K391" s="11"/>
      <c r="L391" s="9"/>
      <c r="M391" s="2"/>
      <c r="N391" s="2"/>
      <c r="O391" s="2"/>
    </row>
    <row r="392" spans="1:15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11"/>
      <c r="K392" s="11"/>
      <c r="L392" s="9"/>
      <c r="M392" s="2"/>
      <c r="N392" s="2"/>
      <c r="O392" s="2"/>
    </row>
    <row r="393" spans="1:15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11"/>
      <c r="K393" s="11"/>
      <c r="L393" s="9"/>
      <c r="M393" s="2"/>
      <c r="N393" s="2"/>
      <c r="O393" s="2"/>
    </row>
    <row r="394" spans="1:15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11"/>
      <c r="K394" s="11"/>
      <c r="L394" s="9"/>
      <c r="M394" s="2"/>
      <c r="N394" s="2"/>
      <c r="O394" s="2"/>
    </row>
    <row r="395" spans="1:15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11"/>
      <c r="K395" s="11"/>
      <c r="L395" s="9"/>
      <c r="M395" s="2"/>
      <c r="N395" s="2"/>
      <c r="O395" s="2"/>
    </row>
    <row r="396" spans="1:15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11"/>
      <c r="K396" s="11"/>
      <c r="L396" s="9"/>
      <c r="M396" s="2"/>
      <c r="N396" s="2"/>
      <c r="O396" s="2"/>
    </row>
    <row r="397" spans="1:15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11"/>
      <c r="K397" s="11"/>
      <c r="L397" s="9"/>
      <c r="M397" s="2"/>
      <c r="N397" s="2"/>
      <c r="O397" s="2"/>
    </row>
    <row r="398" spans="1:15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11"/>
      <c r="K398" s="11"/>
      <c r="L398" s="9"/>
      <c r="M398" s="2"/>
      <c r="N398" s="2"/>
      <c r="O398" s="2"/>
    </row>
    <row r="399" spans="1:15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11"/>
      <c r="K399" s="11"/>
      <c r="L399" s="9"/>
      <c r="M399" s="2"/>
      <c r="N399" s="2"/>
      <c r="O399" s="2"/>
    </row>
    <row r="400" spans="1:15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11"/>
      <c r="K400" s="11"/>
      <c r="L400" s="9"/>
      <c r="M400" s="2"/>
      <c r="N400" s="2"/>
      <c r="O400" s="2"/>
    </row>
    <row r="401" spans="1:15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11"/>
      <c r="K401" s="11"/>
      <c r="L401" s="9"/>
      <c r="M401" s="2"/>
      <c r="N401" s="2"/>
      <c r="O401" s="2"/>
    </row>
    <row r="402" spans="1:15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11"/>
      <c r="K402" s="11"/>
      <c r="L402" s="9"/>
      <c r="M402" s="2"/>
      <c r="N402" s="2"/>
      <c r="O402" s="2"/>
    </row>
    <row r="403" spans="1:15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11"/>
      <c r="K403" s="11"/>
      <c r="L403" s="9"/>
      <c r="M403" s="2"/>
      <c r="N403" s="2"/>
      <c r="O403" s="2"/>
    </row>
    <row r="404" spans="1:15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11"/>
      <c r="K404" s="11"/>
      <c r="L404" s="9"/>
      <c r="M404" s="2"/>
      <c r="N404" s="2"/>
      <c r="O404" s="2"/>
    </row>
    <row r="405" spans="1:15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11"/>
      <c r="K405" s="11"/>
      <c r="L405" s="9"/>
      <c r="M405" s="2"/>
      <c r="N405" s="2"/>
      <c r="O405" s="2"/>
    </row>
    <row r="406" spans="1:15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11"/>
      <c r="K406" s="11"/>
      <c r="L406" s="9"/>
      <c r="M406" s="2"/>
      <c r="N406" s="2"/>
      <c r="O406" s="2"/>
    </row>
    <row r="407" spans="1:15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11"/>
      <c r="K407" s="11"/>
      <c r="L407" s="9"/>
      <c r="M407" s="2"/>
      <c r="N407" s="2"/>
      <c r="O407" s="2"/>
    </row>
    <row r="408" spans="1:15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11"/>
      <c r="K408" s="11"/>
      <c r="L408" s="9"/>
      <c r="M408" s="2"/>
      <c r="N408" s="2"/>
      <c r="O408" s="2"/>
    </row>
    <row r="409" spans="1:15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11"/>
      <c r="K409" s="11"/>
      <c r="L409" s="9"/>
      <c r="M409" s="2"/>
      <c r="N409" s="2"/>
      <c r="O409" s="2"/>
    </row>
    <row r="410" spans="1:15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11"/>
      <c r="K410" s="11"/>
      <c r="L410" s="9"/>
      <c r="M410" s="2"/>
      <c r="N410" s="2"/>
      <c r="O410" s="2"/>
    </row>
    <row r="411" spans="1:15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11"/>
      <c r="K411" s="11"/>
      <c r="L411" s="9"/>
      <c r="M411" s="2"/>
      <c r="N411" s="2"/>
      <c r="O411" s="2"/>
    </row>
    <row r="412" spans="1:15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11"/>
      <c r="K412" s="11"/>
      <c r="L412" s="9"/>
      <c r="M412" s="2"/>
      <c r="N412" s="2"/>
      <c r="O412" s="2"/>
    </row>
    <row r="413" spans="1:15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11"/>
      <c r="K413" s="11"/>
      <c r="L413" s="9"/>
      <c r="M413" s="2"/>
      <c r="N413" s="2"/>
      <c r="O413" s="2"/>
    </row>
    <row r="414" spans="1:15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11"/>
      <c r="K414" s="11"/>
      <c r="L414" s="9"/>
      <c r="M414" s="2"/>
      <c r="N414" s="2"/>
      <c r="O414" s="2"/>
    </row>
    <row r="415" spans="1:15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11"/>
      <c r="K415" s="11"/>
      <c r="L415" s="9"/>
      <c r="M415" s="2"/>
      <c r="N415" s="2"/>
      <c r="O415" s="2"/>
    </row>
    <row r="416" spans="1:15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11"/>
      <c r="K416" s="11"/>
      <c r="L416" s="9"/>
      <c r="M416" s="2"/>
      <c r="N416" s="2"/>
      <c r="O416" s="2"/>
    </row>
    <row r="417" spans="1:15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11"/>
      <c r="K417" s="11"/>
      <c r="L417" s="9"/>
      <c r="M417" s="2"/>
      <c r="N417" s="2"/>
      <c r="O417" s="2"/>
    </row>
    <row r="418" spans="1:15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11"/>
      <c r="K418" s="11"/>
      <c r="L418" s="9"/>
      <c r="M418" s="2"/>
      <c r="N418" s="2"/>
      <c r="O418" s="2"/>
    </row>
    <row r="419" spans="1:15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11"/>
      <c r="K419" s="11"/>
      <c r="L419" s="9"/>
      <c r="M419" s="2"/>
      <c r="N419" s="2"/>
      <c r="O419" s="2"/>
    </row>
    <row r="420" spans="1:15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11"/>
      <c r="K420" s="11"/>
      <c r="L420" s="9"/>
      <c r="M420" s="2"/>
      <c r="N420" s="2"/>
      <c r="O420" s="2"/>
    </row>
    <row r="421" spans="1:15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11"/>
      <c r="K421" s="11"/>
      <c r="L421" s="9"/>
      <c r="M421" s="2"/>
      <c r="N421" s="2"/>
      <c r="O421" s="2"/>
    </row>
    <row r="422" spans="1:15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11"/>
      <c r="K422" s="11"/>
      <c r="L422" s="9"/>
      <c r="M422" s="2"/>
      <c r="N422" s="2"/>
      <c r="O422" s="2"/>
    </row>
    <row r="423" spans="1:15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11"/>
      <c r="K423" s="11"/>
      <c r="L423" s="9"/>
      <c r="M423" s="2"/>
      <c r="N423" s="2"/>
      <c r="O423" s="2"/>
    </row>
    <row r="424" spans="1:15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11"/>
      <c r="K424" s="11"/>
      <c r="L424" s="9"/>
      <c r="M424" s="2"/>
      <c r="N424" s="2"/>
      <c r="O424" s="2"/>
    </row>
    <row r="425" spans="1:15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11"/>
      <c r="K425" s="11"/>
      <c r="L425" s="9"/>
      <c r="M425" s="2"/>
      <c r="N425" s="2"/>
      <c r="O425" s="2"/>
    </row>
    <row r="426" spans="1:15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11"/>
      <c r="K426" s="11"/>
      <c r="L426" s="9"/>
      <c r="M426" s="2"/>
      <c r="N426" s="2"/>
      <c r="O426" s="2"/>
    </row>
    <row r="427" spans="1:15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11"/>
      <c r="K427" s="11"/>
      <c r="L427" s="9"/>
      <c r="M427" s="2"/>
      <c r="N427" s="2"/>
      <c r="O427" s="2"/>
    </row>
    <row r="428" spans="1:15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11"/>
      <c r="K428" s="11"/>
      <c r="L428" s="9"/>
      <c r="M428" s="2"/>
      <c r="N428" s="2"/>
      <c r="O428" s="2"/>
    </row>
    <row r="429" spans="1:15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11"/>
      <c r="K429" s="11"/>
      <c r="L429" s="9"/>
      <c r="M429" s="2"/>
      <c r="N429" s="2"/>
      <c r="O429" s="2"/>
    </row>
    <row r="430" spans="1:15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11"/>
      <c r="K430" s="11"/>
      <c r="L430" s="9"/>
      <c r="M430" s="2"/>
      <c r="N430" s="2"/>
      <c r="O430" s="2"/>
    </row>
    <row r="431" spans="1:15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11"/>
      <c r="K431" s="11"/>
      <c r="L431" s="9"/>
      <c r="M431" s="2"/>
      <c r="N431" s="2"/>
      <c r="O431" s="2"/>
    </row>
    <row r="432" spans="1:15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11"/>
      <c r="K432" s="11"/>
      <c r="L432" s="9"/>
      <c r="M432" s="2"/>
      <c r="N432" s="2"/>
      <c r="O432" s="2"/>
    </row>
    <row r="433" spans="1:15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11"/>
      <c r="K433" s="11"/>
      <c r="L433" s="9"/>
      <c r="M433" s="2"/>
      <c r="N433" s="2"/>
      <c r="O433" s="2"/>
    </row>
    <row r="434" spans="1:15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11"/>
      <c r="K434" s="11"/>
      <c r="L434" s="9"/>
      <c r="M434" s="2"/>
      <c r="N434" s="2"/>
      <c r="O434" s="2"/>
    </row>
    <row r="435" spans="1:15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11"/>
      <c r="K435" s="11"/>
      <c r="L435" s="9"/>
      <c r="M435" s="2"/>
      <c r="N435" s="2"/>
      <c r="O435" s="2"/>
    </row>
    <row r="436" spans="1:15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11"/>
      <c r="K436" s="11"/>
      <c r="L436" s="9"/>
      <c r="M436" s="2"/>
      <c r="N436" s="2"/>
      <c r="O436" s="2"/>
    </row>
    <row r="437" spans="1:15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11"/>
      <c r="K437" s="11"/>
      <c r="L437" s="9"/>
      <c r="M437" s="2"/>
      <c r="N437" s="2"/>
      <c r="O437" s="2"/>
    </row>
    <row r="438" spans="1:15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11"/>
      <c r="K438" s="11"/>
      <c r="L438" s="9"/>
      <c r="M438" s="2"/>
      <c r="N438" s="2"/>
      <c r="O438" s="2"/>
    </row>
    <row r="439" spans="1:15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11"/>
      <c r="K439" s="11"/>
      <c r="L439" s="9"/>
      <c r="M439" s="2"/>
      <c r="N439" s="2"/>
      <c r="O439" s="2"/>
    </row>
    <row r="440" spans="1:15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11"/>
      <c r="K440" s="11"/>
      <c r="L440" s="9"/>
      <c r="M440" s="2"/>
      <c r="N440" s="2"/>
      <c r="O440" s="2"/>
    </row>
    <row r="441" spans="1:15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11"/>
      <c r="K441" s="11"/>
      <c r="L441" s="9"/>
      <c r="M441" s="2"/>
      <c r="N441" s="2"/>
      <c r="O441" s="2"/>
    </row>
    <row r="442" spans="1:15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11"/>
      <c r="K442" s="11"/>
      <c r="L442" s="9"/>
      <c r="M442" s="2"/>
      <c r="N442" s="2"/>
      <c r="O442" s="2"/>
    </row>
    <row r="443" spans="1:15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11"/>
      <c r="K443" s="11"/>
      <c r="L443" s="9"/>
      <c r="M443" s="2"/>
      <c r="N443" s="2"/>
      <c r="O443" s="2"/>
    </row>
    <row r="444" spans="1:15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11"/>
      <c r="K444" s="11"/>
      <c r="L444" s="9"/>
      <c r="M444" s="2"/>
      <c r="N444" s="2"/>
      <c r="O444" s="2"/>
    </row>
    <row r="445" spans="1:15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11"/>
      <c r="K445" s="11"/>
      <c r="L445" s="9"/>
      <c r="M445" s="2"/>
      <c r="N445" s="2"/>
      <c r="O445" s="2"/>
    </row>
    <row r="446" spans="1:15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11"/>
      <c r="K446" s="11"/>
      <c r="L446" s="9"/>
      <c r="M446" s="2"/>
      <c r="N446" s="2"/>
      <c r="O446" s="2"/>
    </row>
    <row r="447" spans="1:15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11"/>
      <c r="K447" s="11"/>
      <c r="L447" s="9"/>
      <c r="M447" s="2"/>
      <c r="N447" s="2"/>
      <c r="O447" s="2"/>
    </row>
    <row r="448" spans="1:15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11"/>
      <c r="K448" s="11"/>
      <c r="L448" s="9"/>
      <c r="M448" s="2"/>
      <c r="N448" s="2"/>
      <c r="O448" s="2"/>
    </row>
    <row r="449" spans="1:15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11"/>
      <c r="K449" s="11"/>
      <c r="L449" s="9"/>
      <c r="M449" s="2"/>
      <c r="N449" s="2"/>
      <c r="O449" s="2"/>
    </row>
    <row r="450" spans="1:15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11"/>
      <c r="K450" s="11"/>
      <c r="L450" s="9"/>
      <c r="M450" s="2"/>
      <c r="N450" s="2"/>
      <c r="O450" s="2"/>
    </row>
    <row r="451" spans="1:15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11"/>
      <c r="K451" s="11"/>
      <c r="L451" s="9"/>
      <c r="M451" s="2"/>
      <c r="N451" s="2"/>
      <c r="O451" s="2"/>
    </row>
    <row r="452" spans="1:15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11"/>
      <c r="K452" s="11"/>
      <c r="L452" s="9"/>
      <c r="M452" s="2"/>
      <c r="N452" s="2"/>
      <c r="O452" s="2"/>
    </row>
    <row r="453" spans="1:15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11"/>
      <c r="K453" s="11"/>
      <c r="L453" s="9"/>
      <c r="M453" s="2"/>
      <c r="N453" s="2"/>
      <c r="O453" s="2"/>
    </row>
    <row r="454" spans="1:15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11"/>
      <c r="K454" s="11"/>
      <c r="L454" s="9"/>
      <c r="M454" s="2"/>
      <c r="N454" s="2"/>
      <c r="O454" s="2"/>
    </row>
    <row r="455" spans="1:15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11"/>
      <c r="K455" s="11"/>
      <c r="L455" s="9"/>
      <c r="M455" s="2"/>
      <c r="N455" s="2"/>
      <c r="O455" s="2"/>
    </row>
    <row r="456" spans="1:15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11"/>
      <c r="K456" s="11"/>
      <c r="L456" s="9"/>
      <c r="M456" s="2"/>
      <c r="N456" s="2"/>
      <c r="O456" s="2"/>
    </row>
    <row r="457" spans="1:15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11"/>
      <c r="K457" s="11"/>
      <c r="L457" s="9"/>
      <c r="M457" s="2"/>
      <c r="N457" s="2"/>
      <c r="O457" s="2"/>
    </row>
    <row r="458" spans="1:15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11"/>
      <c r="K458" s="11"/>
      <c r="L458" s="9"/>
      <c r="M458" s="2"/>
      <c r="N458" s="2"/>
      <c r="O458" s="2"/>
    </row>
    <row r="459" spans="1:15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11"/>
      <c r="K459" s="11"/>
      <c r="L459" s="9"/>
      <c r="M459" s="2"/>
      <c r="N459" s="2"/>
      <c r="O459" s="2"/>
    </row>
    <row r="460" spans="1:15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11"/>
      <c r="K460" s="11"/>
      <c r="L460" s="9"/>
      <c r="M460" s="2"/>
      <c r="N460" s="2"/>
      <c r="O460" s="2"/>
    </row>
    <row r="461" spans="1:15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11"/>
      <c r="K461" s="11"/>
      <c r="L461" s="9"/>
      <c r="M461" s="2"/>
      <c r="N461" s="2"/>
      <c r="O461" s="2"/>
    </row>
    <row r="462" spans="1:15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11"/>
      <c r="K462" s="11"/>
      <c r="L462" s="9"/>
      <c r="M462" s="2"/>
      <c r="N462" s="2"/>
      <c r="O462" s="2"/>
    </row>
    <row r="463" spans="1:15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11"/>
      <c r="K463" s="11"/>
      <c r="L463" s="9"/>
      <c r="M463" s="2"/>
      <c r="N463" s="2"/>
      <c r="O463" s="2"/>
    </row>
    <row r="464" spans="1:15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11"/>
      <c r="K464" s="11"/>
      <c r="L464" s="9"/>
      <c r="M464" s="2"/>
      <c r="N464" s="2"/>
      <c r="O464" s="2"/>
    </row>
    <row r="465" spans="1:15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11"/>
      <c r="K465" s="11"/>
      <c r="L465" s="9"/>
      <c r="M465" s="2"/>
      <c r="N465" s="2"/>
      <c r="O465" s="2"/>
    </row>
    <row r="466" spans="1:15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11"/>
      <c r="K466" s="11"/>
      <c r="L466" s="9"/>
      <c r="M466" s="2"/>
      <c r="N466" s="2"/>
      <c r="O466" s="2"/>
    </row>
    <row r="467" spans="1:15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11"/>
      <c r="K467" s="11"/>
      <c r="L467" s="9"/>
      <c r="M467" s="2"/>
      <c r="N467" s="2"/>
      <c r="O467" s="2"/>
    </row>
    <row r="468" spans="1:15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11"/>
      <c r="K468" s="11"/>
      <c r="L468" s="9"/>
      <c r="M468" s="2"/>
      <c r="N468" s="2"/>
      <c r="O468" s="2"/>
    </row>
    <row r="469" spans="1:15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11"/>
      <c r="K469" s="11"/>
      <c r="L469" s="9"/>
      <c r="M469" s="2"/>
      <c r="N469" s="2"/>
      <c r="O469" s="2"/>
    </row>
    <row r="470" spans="1:15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11"/>
      <c r="K470" s="11"/>
      <c r="L470" s="9"/>
      <c r="M470" s="2"/>
      <c r="N470" s="2"/>
      <c r="O470" s="2"/>
    </row>
    <row r="471" spans="1:15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11"/>
      <c r="K471" s="11"/>
      <c r="L471" s="9"/>
      <c r="M471" s="2"/>
      <c r="N471" s="2"/>
      <c r="O471" s="2"/>
    </row>
    <row r="472" spans="1:15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11"/>
      <c r="K472" s="11"/>
      <c r="L472" s="9"/>
      <c r="M472" s="2"/>
      <c r="N472" s="2"/>
      <c r="O472" s="2"/>
    </row>
    <row r="473" spans="1:15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11"/>
      <c r="K473" s="11"/>
      <c r="L473" s="9"/>
      <c r="M473" s="2"/>
      <c r="N473" s="2"/>
      <c r="O473" s="2"/>
    </row>
    <row r="474" spans="1:15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11"/>
      <c r="K474" s="11"/>
      <c r="L474" s="9"/>
      <c r="M474" s="2"/>
      <c r="N474" s="2"/>
      <c r="O474" s="2"/>
    </row>
    <row r="475" spans="1:15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11"/>
      <c r="K475" s="11"/>
      <c r="L475" s="9"/>
      <c r="M475" s="2"/>
      <c r="N475" s="2"/>
      <c r="O475" s="2"/>
    </row>
    <row r="476" spans="1:15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11"/>
      <c r="K476" s="11"/>
      <c r="L476" s="9"/>
      <c r="M476" s="2"/>
      <c r="N476" s="2"/>
      <c r="O476" s="2"/>
    </row>
    <row r="477" spans="1:15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11"/>
      <c r="K477" s="11"/>
      <c r="L477" s="9"/>
      <c r="M477" s="2"/>
      <c r="N477" s="2"/>
      <c r="O477" s="2"/>
    </row>
    <row r="478" spans="1:15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11"/>
      <c r="K478" s="11"/>
      <c r="L478" s="9"/>
      <c r="M478" s="2"/>
      <c r="N478" s="2"/>
      <c r="O478" s="2"/>
    </row>
    <row r="479" spans="1:15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11"/>
      <c r="K479" s="11"/>
      <c r="L479" s="9"/>
      <c r="M479" s="2"/>
      <c r="N479" s="2"/>
      <c r="O479" s="2"/>
    </row>
    <row r="480" spans="1:15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11"/>
      <c r="K480" s="11"/>
      <c r="L480" s="9"/>
      <c r="M480" s="2"/>
      <c r="N480" s="2"/>
      <c r="O480" s="2"/>
    </row>
    <row r="481" spans="1:15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11"/>
      <c r="K481" s="11"/>
      <c r="L481" s="9"/>
      <c r="M481" s="2"/>
      <c r="N481" s="2"/>
      <c r="O481" s="2"/>
    </row>
    <row r="482" spans="1:15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11"/>
      <c r="K482" s="11"/>
      <c r="L482" s="9"/>
      <c r="M482" s="2"/>
      <c r="N482" s="2"/>
      <c r="O482" s="2"/>
    </row>
    <row r="483" spans="1:15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11"/>
      <c r="K483" s="11"/>
      <c r="L483" s="9"/>
      <c r="M483" s="2"/>
      <c r="N483" s="2"/>
      <c r="O483" s="2"/>
    </row>
    <row r="484" spans="1:15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11"/>
      <c r="K484" s="11"/>
      <c r="L484" s="9"/>
      <c r="M484" s="2"/>
      <c r="N484" s="2"/>
      <c r="O484" s="2"/>
    </row>
    <row r="485" spans="1:15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11"/>
      <c r="K485" s="11"/>
      <c r="L485" s="9"/>
      <c r="M485" s="2"/>
      <c r="N485" s="2"/>
      <c r="O485" s="2"/>
    </row>
    <row r="486" spans="1:15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11"/>
      <c r="K486" s="11"/>
      <c r="L486" s="9"/>
      <c r="M486" s="2"/>
      <c r="N486" s="2"/>
      <c r="O486" s="2"/>
    </row>
    <row r="487" spans="1:15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11"/>
      <c r="K487" s="11"/>
      <c r="L487" s="9"/>
      <c r="M487" s="2"/>
      <c r="N487" s="2"/>
      <c r="O487" s="2"/>
    </row>
    <row r="488" spans="1:15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11"/>
      <c r="K488" s="11"/>
      <c r="L488" s="9"/>
      <c r="M488" s="2"/>
      <c r="N488" s="2"/>
      <c r="O488" s="2"/>
    </row>
    <row r="489" spans="1:15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11"/>
      <c r="K489" s="11"/>
      <c r="L489" s="9"/>
      <c r="M489" s="2"/>
      <c r="N489" s="2"/>
      <c r="O489" s="2"/>
    </row>
    <row r="490" spans="1:15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11"/>
      <c r="K490" s="11"/>
      <c r="L490" s="9"/>
      <c r="M490" s="2"/>
      <c r="N490" s="2"/>
      <c r="O490" s="2"/>
    </row>
    <row r="491" spans="1:15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11"/>
      <c r="K491" s="11"/>
      <c r="L491" s="9"/>
      <c r="M491" s="2"/>
      <c r="N491" s="2"/>
      <c r="O491" s="2"/>
    </row>
    <row r="492" spans="1:15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11"/>
      <c r="K492" s="11"/>
      <c r="L492" s="9"/>
      <c r="M492" s="2"/>
      <c r="N492" s="2"/>
      <c r="O492" s="2"/>
    </row>
    <row r="493" spans="1:15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11"/>
      <c r="K493" s="11"/>
      <c r="L493" s="9"/>
      <c r="M493" s="2"/>
      <c r="N493" s="2"/>
      <c r="O493" s="2"/>
    </row>
    <row r="494" spans="1:15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11"/>
      <c r="K494" s="11"/>
      <c r="L494" s="9"/>
      <c r="M494" s="2"/>
      <c r="N494" s="2"/>
      <c r="O494" s="2"/>
    </row>
    <row r="495" spans="1:15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11"/>
      <c r="K495" s="11"/>
      <c r="L495" s="9"/>
      <c r="M495" s="2"/>
      <c r="N495" s="2"/>
      <c r="O495" s="2"/>
    </row>
    <row r="496" spans="1:15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11"/>
      <c r="K496" s="11"/>
      <c r="L496" s="9"/>
      <c r="M496" s="2"/>
      <c r="N496" s="2"/>
      <c r="O496" s="2"/>
    </row>
    <row r="497" spans="1:15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11"/>
      <c r="K497" s="11"/>
      <c r="L497" s="9"/>
      <c r="M497" s="2"/>
      <c r="N497" s="2"/>
      <c r="O497" s="2"/>
    </row>
    <row r="498" spans="1:15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11"/>
      <c r="K498" s="11"/>
      <c r="L498" s="9"/>
      <c r="M498" s="2"/>
      <c r="N498" s="2"/>
      <c r="O498" s="2"/>
    </row>
    <row r="499" spans="1:15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11"/>
      <c r="K499" s="11"/>
      <c r="L499" s="9"/>
      <c r="M499" s="2"/>
      <c r="N499" s="2"/>
      <c r="O499" s="2"/>
    </row>
    <row r="500" spans="1:15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11"/>
      <c r="K500" s="11"/>
      <c r="L500" s="9"/>
      <c r="M500" s="2"/>
      <c r="N500" s="2"/>
      <c r="O500" s="2"/>
    </row>
    <row r="501" spans="1:15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11"/>
      <c r="K501" s="11"/>
      <c r="L501" s="9"/>
      <c r="M501" s="2"/>
      <c r="N501" s="2"/>
      <c r="O501" s="2"/>
    </row>
    <row r="502" spans="1:15" ht="30" customHeight="1">
      <c r="A502" s="2"/>
      <c r="B502" s="2"/>
      <c r="C502" s="2"/>
      <c r="D502" s="2"/>
      <c r="E502" s="2"/>
      <c r="F502" s="2"/>
      <c r="G502" s="2"/>
      <c r="H502" s="2"/>
      <c r="I502" s="2"/>
      <c r="J502" s="11"/>
      <c r="K502" s="11"/>
      <c r="L502" s="9"/>
      <c r="M502" s="2"/>
      <c r="N502" s="2"/>
      <c r="O502" s="2"/>
    </row>
    <row r="503" spans="1:15" ht="30" customHeight="1">
      <c r="A503" s="2"/>
      <c r="B503" s="2"/>
      <c r="C503" s="2"/>
      <c r="D503" s="2"/>
      <c r="E503" s="2"/>
      <c r="F503" s="2"/>
      <c r="G503" s="2"/>
      <c r="H503" s="2"/>
      <c r="I503" s="2"/>
      <c r="J503" s="11"/>
      <c r="K503" s="11"/>
      <c r="L503" s="9"/>
      <c r="M503" s="2"/>
      <c r="N503" s="2"/>
      <c r="O503" s="2"/>
    </row>
    <row r="504" spans="1:15" ht="30" customHeight="1">
      <c r="A504" s="2"/>
      <c r="B504" s="2"/>
      <c r="C504" s="2"/>
      <c r="D504" s="2"/>
      <c r="E504" s="2"/>
      <c r="F504" s="2"/>
      <c r="G504" s="2"/>
      <c r="H504" s="2"/>
      <c r="I504" s="2"/>
      <c r="J504" s="11"/>
      <c r="K504" s="11"/>
      <c r="L504" s="9"/>
      <c r="M504" s="2"/>
      <c r="N504" s="2"/>
      <c r="O504" s="2"/>
    </row>
    <row r="505" spans="1:15" ht="30" customHeight="1">
      <c r="A505" s="2"/>
      <c r="B505" s="2"/>
      <c r="C505" s="2"/>
      <c r="D505" s="2"/>
      <c r="E505" s="2"/>
      <c r="F505" s="2"/>
      <c r="G505" s="2"/>
      <c r="H505" s="2"/>
      <c r="I505" s="2"/>
      <c r="J505" s="11"/>
      <c r="K505" s="11"/>
      <c r="L505" s="9"/>
      <c r="M505" s="2"/>
      <c r="N505" s="2"/>
      <c r="O505" s="2"/>
    </row>
    <row r="506" spans="1:15" ht="30" customHeight="1">
      <c r="A506" s="2"/>
      <c r="B506" s="2"/>
      <c r="C506" s="2"/>
      <c r="D506" s="2"/>
      <c r="E506" s="2"/>
      <c r="F506" s="2"/>
      <c r="G506" s="2"/>
      <c r="H506" s="2"/>
      <c r="I506" s="2"/>
      <c r="J506" s="11"/>
      <c r="K506" s="11"/>
      <c r="L506" s="9"/>
      <c r="M506" s="2"/>
      <c r="N506" s="2"/>
      <c r="O506" s="2"/>
    </row>
    <row r="507" spans="1:15" ht="30" customHeight="1">
      <c r="A507" s="2"/>
      <c r="B507" s="2"/>
      <c r="C507" s="2"/>
      <c r="D507" s="2"/>
      <c r="E507" s="2"/>
      <c r="F507" s="2"/>
      <c r="G507" s="2"/>
      <c r="H507" s="2"/>
      <c r="I507" s="2"/>
      <c r="J507" s="11"/>
      <c r="K507" s="11"/>
      <c r="L507" s="9"/>
      <c r="M507" s="2"/>
      <c r="N507" s="2"/>
      <c r="O507" s="2"/>
    </row>
    <row r="508" spans="1:15" ht="30" customHeight="1">
      <c r="A508" s="2"/>
      <c r="B508" s="2"/>
      <c r="C508" s="2"/>
      <c r="D508" s="2"/>
      <c r="E508" s="2"/>
      <c r="F508" s="2"/>
      <c r="G508" s="2"/>
      <c r="H508" s="2"/>
      <c r="I508" s="2"/>
      <c r="J508" s="11"/>
      <c r="K508" s="11"/>
      <c r="L508" s="9"/>
      <c r="M508" s="2"/>
      <c r="N508" s="2"/>
      <c r="O508" s="2"/>
    </row>
    <row r="509" spans="1:15" ht="30" customHeight="1">
      <c r="A509" s="2"/>
      <c r="B509" s="2"/>
      <c r="C509" s="2"/>
      <c r="D509" s="2"/>
      <c r="E509" s="2"/>
      <c r="F509" s="2"/>
      <c r="G509" s="2"/>
      <c r="H509" s="2"/>
      <c r="I509" s="2"/>
      <c r="J509" s="11"/>
      <c r="K509" s="11"/>
      <c r="L509" s="9"/>
      <c r="M509" s="2"/>
      <c r="N509" s="2"/>
      <c r="O509" s="2"/>
    </row>
    <row r="510" spans="1:15" ht="30" customHeight="1">
      <c r="A510" s="2"/>
      <c r="B510" s="2"/>
      <c r="C510" s="2"/>
      <c r="D510" s="2"/>
      <c r="E510" s="2"/>
      <c r="F510" s="2"/>
      <c r="G510" s="2"/>
      <c r="H510" s="2"/>
      <c r="I510" s="2"/>
      <c r="J510" s="11"/>
      <c r="K510" s="11"/>
      <c r="L510" s="9"/>
      <c r="M510" s="2"/>
      <c r="N510" s="2"/>
      <c r="O510" s="2"/>
    </row>
    <row r="511" spans="1:15" ht="30" customHeight="1">
      <c r="A511" s="2"/>
      <c r="B511" s="2"/>
      <c r="C511" s="2"/>
      <c r="D511" s="2"/>
      <c r="E511" s="2"/>
      <c r="F511" s="2"/>
      <c r="G511" s="2"/>
      <c r="H511" s="2"/>
      <c r="I511" s="2"/>
      <c r="J511" s="11"/>
      <c r="K511" s="11"/>
      <c r="L511" s="9"/>
      <c r="M511" s="2"/>
      <c r="N511" s="2"/>
      <c r="O511" s="2"/>
    </row>
    <row r="512" spans="1:15" ht="30" customHeight="1">
      <c r="A512" s="2"/>
      <c r="B512" s="2"/>
      <c r="C512" s="2"/>
      <c r="D512" s="2"/>
      <c r="E512" s="2"/>
      <c r="F512" s="2"/>
      <c r="G512" s="2"/>
      <c r="H512" s="2"/>
      <c r="I512" s="2"/>
      <c r="J512" s="11"/>
      <c r="K512" s="11"/>
      <c r="L512" s="9"/>
      <c r="M512" s="2"/>
      <c r="N512" s="2"/>
      <c r="O512" s="2"/>
    </row>
    <row r="513" spans="1:15" ht="30" customHeight="1">
      <c r="A513" s="2"/>
      <c r="B513" s="2"/>
      <c r="C513" s="2"/>
      <c r="D513" s="2"/>
      <c r="E513" s="2"/>
      <c r="F513" s="2"/>
      <c r="G513" s="2"/>
      <c r="H513" s="2"/>
      <c r="I513" s="2"/>
      <c r="J513" s="11"/>
      <c r="K513" s="11"/>
      <c r="L513" s="9"/>
      <c r="M513" s="2"/>
      <c r="N513" s="2"/>
      <c r="O513" s="2"/>
    </row>
    <row r="514" spans="1:15" ht="30" customHeight="1">
      <c r="A514" s="2"/>
      <c r="B514" s="2"/>
      <c r="C514" s="2"/>
      <c r="D514" s="2"/>
      <c r="E514" s="2"/>
      <c r="F514" s="2"/>
      <c r="G514" s="2"/>
      <c r="H514" s="2"/>
      <c r="I514" s="2"/>
      <c r="J514" s="11"/>
      <c r="K514" s="11"/>
      <c r="L514" s="9"/>
      <c r="M514" s="2"/>
      <c r="N514" s="2"/>
      <c r="O514" s="2"/>
    </row>
    <row r="515" spans="1:15" ht="30" customHeight="1">
      <c r="A515" s="2"/>
      <c r="B515" s="2"/>
      <c r="C515" s="2"/>
      <c r="D515" s="2"/>
      <c r="E515" s="2"/>
      <c r="F515" s="2"/>
      <c r="G515" s="2"/>
      <c r="H515" s="2"/>
      <c r="I515" s="2"/>
      <c r="J515" s="11"/>
      <c r="K515" s="11"/>
      <c r="L515" s="9"/>
      <c r="M515" s="2"/>
      <c r="N515" s="2"/>
      <c r="O515" s="2"/>
    </row>
    <row r="516" spans="1:15" ht="30" customHeight="1">
      <c r="A516" s="2"/>
      <c r="B516" s="2"/>
      <c r="C516" s="2"/>
      <c r="D516" s="2"/>
      <c r="E516" s="2"/>
      <c r="F516" s="2"/>
      <c r="G516" s="2"/>
      <c r="H516" s="2"/>
      <c r="I516" s="2"/>
      <c r="J516" s="11"/>
      <c r="K516" s="11"/>
      <c r="L516" s="9"/>
      <c r="M516" s="2"/>
      <c r="N516" s="2"/>
      <c r="O516" s="2"/>
    </row>
    <row r="517" spans="1:15" ht="30" customHeight="1">
      <c r="A517" s="2"/>
      <c r="B517" s="2"/>
      <c r="C517" s="2"/>
      <c r="D517" s="2"/>
      <c r="E517" s="2"/>
      <c r="F517" s="2"/>
      <c r="G517" s="2"/>
      <c r="H517" s="2"/>
      <c r="I517" s="2"/>
      <c r="J517" s="11"/>
      <c r="K517" s="11"/>
      <c r="L517" s="9"/>
      <c r="M517" s="2"/>
      <c r="N517" s="2"/>
      <c r="O517" s="2"/>
    </row>
    <row r="518" spans="1:15" ht="30" customHeight="1">
      <c r="A518" s="2"/>
      <c r="B518" s="2"/>
      <c r="C518" s="2"/>
      <c r="D518" s="2"/>
      <c r="E518" s="2"/>
      <c r="F518" s="2"/>
      <c r="G518" s="2"/>
      <c r="H518" s="2"/>
      <c r="I518" s="2"/>
      <c r="J518" s="11"/>
      <c r="K518" s="11"/>
      <c r="L518" s="9"/>
      <c r="M518" s="2"/>
      <c r="N518" s="2"/>
      <c r="O518" s="2"/>
    </row>
    <row r="519" spans="1:15" ht="30" customHeight="1">
      <c r="A519" s="2"/>
      <c r="B519" s="2"/>
      <c r="C519" s="2"/>
      <c r="D519" s="2"/>
      <c r="E519" s="2"/>
      <c r="F519" s="2"/>
      <c r="G519" s="2"/>
      <c r="H519" s="2"/>
      <c r="I519" s="2"/>
      <c r="J519" s="11"/>
      <c r="K519" s="11"/>
      <c r="L519" s="9"/>
      <c r="M519" s="2"/>
      <c r="N519" s="2"/>
      <c r="O519" s="2"/>
    </row>
    <row r="520" spans="1:15" ht="30" customHeight="1">
      <c r="A520" s="2"/>
      <c r="B520" s="2"/>
      <c r="C520" s="2"/>
      <c r="D520" s="2"/>
      <c r="E520" s="2"/>
      <c r="F520" s="2"/>
      <c r="G520" s="2"/>
      <c r="H520" s="2"/>
      <c r="I520" s="2"/>
      <c r="J520" s="11"/>
      <c r="K520" s="11"/>
      <c r="L520" s="9"/>
      <c r="M520" s="2"/>
      <c r="N520" s="2"/>
      <c r="O520" s="2"/>
    </row>
    <row r="521" spans="1:15" ht="30" customHeight="1">
      <c r="A521" s="2"/>
      <c r="B521" s="2"/>
      <c r="C521" s="2"/>
      <c r="D521" s="2"/>
      <c r="E521" s="2"/>
      <c r="F521" s="2"/>
      <c r="G521" s="2"/>
      <c r="H521" s="2"/>
      <c r="I521" s="2"/>
      <c r="J521" s="11"/>
      <c r="K521" s="11"/>
      <c r="L521" s="9"/>
      <c r="M521" s="2"/>
      <c r="N521" s="2"/>
      <c r="O521" s="2"/>
    </row>
    <row r="522" spans="1:15" ht="30" customHeight="1">
      <c r="A522" s="2"/>
      <c r="B522" s="2"/>
      <c r="C522" s="2"/>
      <c r="D522" s="2"/>
      <c r="E522" s="2"/>
      <c r="F522" s="2"/>
      <c r="G522" s="2"/>
      <c r="H522" s="2"/>
      <c r="I522" s="2"/>
      <c r="J522" s="11"/>
      <c r="K522" s="11"/>
      <c r="L522" s="9"/>
      <c r="M522" s="2"/>
      <c r="N522" s="2"/>
      <c r="O522" s="2"/>
    </row>
    <row r="523" spans="1:15" ht="30" customHeight="1">
      <c r="A523" s="2"/>
      <c r="B523" s="2"/>
      <c r="C523" s="2"/>
      <c r="D523" s="2"/>
      <c r="E523" s="2"/>
      <c r="F523" s="2"/>
      <c r="G523" s="2"/>
      <c r="H523" s="2"/>
      <c r="I523" s="2"/>
      <c r="J523" s="11"/>
      <c r="K523" s="11"/>
      <c r="L523" s="9"/>
      <c r="M523" s="2"/>
      <c r="N523" s="2"/>
      <c r="O523" s="2"/>
    </row>
    <row r="524" spans="1:15" ht="30" customHeight="1">
      <c r="A524" s="2"/>
      <c r="B524" s="2"/>
      <c r="C524" s="2"/>
      <c r="D524" s="2"/>
      <c r="E524" s="2"/>
      <c r="F524" s="2"/>
      <c r="G524" s="2"/>
      <c r="H524" s="2"/>
      <c r="I524" s="2"/>
      <c r="J524" s="11"/>
      <c r="K524" s="11"/>
      <c r="L524" s="9"/>
      <c r="M524" s="2"/>
      <c r="N524" s="2"/>
      <c r="O524" s="2"/>
    </row>
    <row r="525" spans="1:15" ht="30" customHeight="1">
      <c r="A525" s="2"/>
      <c r="B525" s="2"/>
      <c r="C525" s="2"/>
      <c r="D525" s="2"/>
      <c r="E525" s="2"/>
      <c r="F525" s="2"/>
      <c r="G525" s="2"/>
      <c r="H525" s="2"/>
      <c r="I525" s="2"/>
      <c r="J525" s="11"/>
      <c r="K525" s="11"/>
      <c r="L525" s="9"/>
      <c r="M525" s="2"/>
      <c r="N525" s="2"/>
      <c r="O525" s="2"/>
    </row>
    <row r="526" spans="1:15" ht="30" customHeight="1">
      <c r="A526" s="2"/>
      <c r="B526" s="2"/>
      <c r="C526" s="2"/>
      <c r="D526" s="2"/>
      <c r="E526" s="2"/>
      <c r="F526" s="2"/>
      <c r="G526" s="2"/>
      <c r="H526" s="2"/>
      <c r="I526" s="2"/>
      <c r="J526" s="11"/>
      <c r="K526" s="11"/>
      <c r="L526" s="9"/>
      <c r="M526" s="2"/>
      <c r="N526" s="2"/>
      <c r="O526" s="2"/>
    </row>
    <row r="527" spans="1:15" ht="30" customHeight="1">
      <c r="A527" s="2"/>
      <c r="B527" s="2"/>
      <c r="C527" s="2"/>
      <c r="D527" s="2"/>
      <c r="E527" s="2"/>
      <c r="F527" s="2"/>
      <c r="G527" s="2"/>
      <c r="H527" s="2"/>
      <c r="I527" s="2"/>
      <c r="J527" s="11"/>
      <c r="K527" s="11"/>
      <c r="L527" s="9"/>
      <c r="M527" s="2"/>
      <c r="N527" s="2"/>
      <c r="O527" s="2"/>
    </row>
    <row r="528" spans="1:15" ht="30" customHeight="1">
      <c r="A528" s="2"/>
      <c r="B528" s="2"/>
      <c r="C528" s="2"/>
      <c r="D528" s="2"/>
      <c r="E528" s="2"/>
      <c r="F528" s="2"/>
      <c r="G528" s="2"/>
      <c r="H528" s="2"/>
      <c r="I528" s="2"/>
      <c r="J528" s="11"/>
      <c r="K528" s="11"/>
      <c r="L528" s="9"/>
      <c r="M528" s="2"/>
      <c r="N528" s="2"/>
      <c r="O528" s="2"/>
    </row>
    <row r="529" spans="1:15" ht="30" customHeight="1">
      <c r="A529" s="2"/>
      <c r="B529" s="2"/>
      <c r="C529" s="2"/>
      <c r="D529" s="2"/>
      <c r="E529" s="2"/>
      <c r="F529" s="2"/>
      <c r="G529" s="2"/>
      <c r="H529" s="2"/>
      <c r="I529" s="2"/>
      <c r="J529" s="11"/>
      <c r="K529" s="11"/>
      <c r="L529" s="9"/>
      <c r="M529" s="2"/>
      <c r="N529" s="2"/>
      <c r="O529" s="2"/>
    </row>
    <row r="530" spans="1:15" ht="30" customHeight="1">
      <c r="A530" s="2"/>
      <c r="B530" s="2"/>
      <c r="C530" s="2"/>
      <c r="D530" s="2"/>
      <c r="E530" s="2"/>
      <c r="F530" s="2"/>
      <c r="G530" s="2"/>
      <c r="H530" s="2"/>
      <c r="I530" s="2"/>
      <c r="J530" s="11"/>
      <c r="K530" s="11"/>
      <c r="L530" s="9"/>
      <c r="M530" s="2"/>
      <c r="N530" s="2"/>
      <c r="O530" s="2"/>
    </row>
    <row r="531" spans="1:15" ht="30" customHeight="1">
      <c r="A531" s="2"/>
      <c r="B531" s="2"/>
      <c r="C531" s="2"/>
      <c r="D531" s="2"/>
      <c r="E531" s="2"/>
      <c r="F531" s="2"/>
      <c r="G531" s="2"/>
      <c r="H531" s="2"/>
      <c r="I531" s="2"/>
      <c r="J531" s="11"/>
      <c r="K531" s="11"/>
      <c r="L531" s="9"/>
      <c r="M531" s="2"/>
      <c r="N531" s="2"/>
      <c r="O531" s="2"/>
    </row>
    <row r="532" spans="1:15" ht="30" customHeight="1">
      <c r="A532" s="2"/>
      <c r="B532" s="2"/>
      <c r="C532" s="2"/>
      <c r="D532" s="2"/>
      <c r="E532" s="2"/>
      <c r="F532" s="2"/>
      <c r="G532" s="2"/>
      <c r="H532" s="2"/>
      <c r="I532" s="2"/>
      <c r="J532" s="11"/>
      <c r="K532" s="11"/>
      <c r="L532" s="9"/>
      <c r="M532" s="2"/>
      <c r="N532" s="2"/>
      <c r="O532" s="2"/>
    </row>
    <row r="533" spans="1:15" ht="30" customHeight="1">
      <c r="A533" s="2"/>
      <c r="B533" s="2"/>
      <c r="C533" s="2"/>
      <c r="D533" s="2"/>
      <c r="E533" s="2"/>
      <c r="F533" s="2"/>
      <c r="G533" s="2"/>
      <c r="H533" s="2"/>
      <c r="I533" s="2"/>
      <c r="J533" s="11"/>
      <c r="K533" s="11"/>
      <c r="L533" s="9"/>
      <c r="M533" s="2"/>
      <c r="N533" s="2"/>
      <c r="O533" s="2"/>
    </row>
    <row r="534" spans="1:15" ht="30" customHeight="1">
      <c r="A534" s="2"/>
      <c r="B534" s="2"/>
      <c r="C534" s="2"/>
      <c r="D534" s="2"/>
      <c r="E534" s="2"/>
      <c r="F534" s="2"/>
      <c r="G534" s="2"/>
      <c r="H534" s="2"/>
      <c r="I534" s="2"/>
      <c r="J534" s="11"/>
      <c r="K534" s="11"/>
      <c r="L534" s="9"/>
      <c r="M534" s="2"/>
      <c r="N534" s="2"/>
      <c r="O534" s="2"/>
    </row>
    <row r="535" spans="1:15" ht="30" customHeight="1">
      <c r="A535" s="2"/>
      <c r="B535" s="2"/>
      <c r="C535" s="2"/>
      <c r="D535" s="2"/>
      <c r="E535" s="2"/>
      <c r="F535" s="2"/>
      <c r="G535" s="2"/>
      <c r="H535" s="2"/>
      <c r="I535" s="2"/>
      <c r="J535" s="11"/>
      <c r="K535" s="11"/>
      <c r="L535" s="9"/>
      <c r="M535" s="2"/>
      <c r="N535" s="2"/>
      <c r="O535" s="2"/>
    </row>
    <row r="536" spans="1:15" ht="30" customHeight="1">
      <c r="A536" s="2"/>
      <c r="B536" s="2"/>
      <c r="C536" s="2"/>
      <c r="D536" s="2"/>
      <c r="E536" s="2"/>
      <c r="F536" s="2"/>
      <c r="G536" s="2"/>
      <c r="H536" s="2"/>
      <c r="I536" s="2"/>
      <c r="J536" s="11"/>
      <c r="K536" s="11"/>
      <c r="L536" s="9"/>
      <c r="M536" s="2"/>
      <c r="N536" s="2"/>
      <c r="O536" s="2"/>
    </row>
    <row r="537" spans="1:15" ht="30" customHeight="1">
      <c r="A537" s="2"/>
      <c r="B537" s="2"/>
      <c r="C537" s="2"/>
      <c r="D537" s="2"/>
      <c r="E537" s="2"/>
      <c r="F537" s="2"/>
      <c r="G537" s="2"/>
      <c r="H537" s="2"/>
      <c r="I537" s="2"/>
      <c r="J537" s="11"/>
      <c r="K537" s="11"/>
      <c r="L537" s="9"/>
      <c r="M537" s="2"/>
      <c r="N537" s="2"/>
      <c r="O537" s="2"/>
    </row>
    <row r="538" spans="1:15" ht="30" customHeight="1">
      <c r="A538" s="2"/>
      <c r="B538" s="2"/>
      <c r="C538" s="2"/>
      <c r="D538" s="2"/>
      <c r="E538" s="2"/>
      <c r="F538" s="2"/>
      <c r="G538" s="2"/>
      <c r="H538" s="2"/>
      <c r="I538" s="2"/>
      <c r="J538" s="11"/>
      <c r="K538" s="11"/>
      <c r="L538" s="9"/>
      <c r="M538" s="2"/>
      <c r="N538" s="2"/>
      <c r="O538" s="2"/>
    </row>
    <row r="539" spans="1:15" ht="30" customHeight="1">
      <c r="A539" s="2"/>
      <c r="B539" s="2"/>
      <c r="C539" s="2"/>
      <c r="D539" s="2"/>
      <c r="E539" s="2"/>
      <c r="F539" s="2"/>
      <c r="G539" s="2"/>
      <c r="H539" s="2"/>
      <c r="I539" s="2"/>
      <c r="J539" s="11"/>
      <c r="K539" s="11"/>
      <c r="L539" s="9"/>
      <c r="M539" s="2"/>
      <c r="N539" s="2"/>
      <c r="O539" s="2"/>
    </row>
    <row r="540" spans="1:15" ht="30" customHeight="1">
      <c r="A540" s="2"/>
      <c r="B540" s="2"/>
      <c r="C540" s="2"/>
      <c r="D540" s="2"/>
      <c r="E540" s="2"/>
      <c r="F540" s="2"/>
      <c r="G540" s="2"/>
      <c r="H540" s="2"/>
      <c r="I540" s="2"/>
      <c r="J540" s="11"/>
      <c r="K540" s="11"/>
      <c r="L540" s="9"/>
      <c r="M540" s="2"/>
      <c r="N540" s="2"/>
      <c r="O540" s="2"/>
    </row>
    <row r="541" spans="1:15" ht="30" customHeight="1">
      <c r="A541" s="2"/>
      <c r="B541" s="2"/>
      <c r="C541" s="2"/>
      <c r="D541" s="2"/>
      <c r="E541" s="2"/>
      <c r="F541" s="2"/>
      <c r="G541" s="2"/>
      <c r="H541" s="2"/>
      <c r="I541" s="2"/>
      <c r="J541" s="11"/>
      <c r="K541" s="11"/>
      <c r="L541" s="9"/>
      <c r="M541" s="2"/>
      <c r="N541" s="2"/>
      <c r="O541" s="2"/>
    </row>
    <row r="542" spans="1:15" ht="30" customHeight="1">
      <c r="A542" s="2"/>
      <c r="B542" s="2"/>
      <c r="C542" s="2"/>
      <c r="D542" s="2"/>
      <c r="E542" s="2"/>
      <c r="F542" s="2"/>
      <c r="G542" s="2"/>
      <c r="H542" s="2"/>
      <c r="I542" s="2"/>
      <c r="J542" s="11"/>
      <c r="K542" s="11"/>
      <c r="L542" s="9"/>
      <c r="M542" s="2"/>
      <c r="N542" s="2"/>
      <c r="O542" s="2"/>
    </row>
    <row r="543" spans="1:15" ht="30" customHeight="1">
      <c r="A543" s="2"/>
      <c r="B543" s="2"/>
      <c r="C543" s="2"/>
      <c r="D543" s="2"/>
      <c r="E543" s="2"/>
      <c r="F543" s="2"/>
      <c r="G543" s="2"/>
      <c r="H543" s="2"/>
      <c r="I543" s="2"/>
      <c r="J543" s="11"/>
      <c r="K543" s="11"/>
      <c r="L543" s="9"/>
      <c r="M543" s="2"/>
      <c r="N543" s="2"/>
      <c r="O543" s="2"/>
    </row>
    <row r="544" spans="1:15" ht="30" customHeight="1">
      <c r="A544" s="2"/>
      <c r="B544" s="2"/>
      <c r="C544" s="2"/>
      <c r="D544" s="2"/>
      <c r="E544" s="2"/>
      <c r="F544" s="2"/>
      <c r="G544" s="2"/>
      <c r="H544" s="2"/>
      <c r="I544" s="2"/>
      <c r="J544" s="11"/>
      <c r="K544" s="11"/>
      <c r="L544" s="9"/>
      <c r="M544" s="2"/>
      <c r="N544" s="2"/>
      <c r="O544" s="2"/>
    </row>
    <row r="545" spans="1:15" ht="30" customHeight="1">
      <c r="A545" s="2"/>
      <c r="B545" s="2"/>
      <c r="C545" s="2"/>
      <c r="D545" s="2"/>
      <c r="E545" s="2"/>
      <c r="F545" s="2"/>
      <c r="G545" s="2"/>
      <c r="H545" s="2"/>
      <c r="I545" s="2"/>
      <c r="J545" s="11"/>
      <c r="K545" s="11"/>
      <c r="L545" s="9"/>
      <c r="M545" s="2"/>
      <c r="N545" s="2"/>
      <c r="O545" s="2"/>
    </row>
    <row r="546" spans="1:15" ht="30" customHeight="1">
      <c r="A546" s="2"/>
      <c r="B546" s="2"/>
      <c r="C546" s="2"/>
      <c r="D546" s="2"/>
      <c r="E546" s="2"/>
      <c r="F546" s="2"/>
      <c r="G546" s="2"/>
      <c r="H546" s="2"/>
      <c r="I546" s="2"/>
      <c r="J546" s="11"/>
      <c r="K546" s="11"/>
      <c r="L546" s="9"/>
      <c r="M546" s="2"/>
      <c r="N546" s="2"/>
      <c r="O546" s="2"/>
    </row>
    <row r="547" spans="1:15" ht="30" customHeight="1">
      <c r="A547" s="2"/>
      <c r="B547" s="2"/>
      <c r="C547" s="2"/>
      <c r="D547" s="2"/>
      <c r="E547" s="2"/>
      <c r="F547" s="2"/>
      <c r="G547" s="2"/>
      <c r="H547" s="2"/>
      <c r="I547" s="2"/>
      <c r="J547" s="11"/>
      <c r="K547" s="11"/>
      <c r="L547" s="9"/>
      <c r="M547" s="2"/>
      <c r="N547" s="2"/>
      <c r="O547" s="2"/>
    </row>
    <row r="548" spans="1:15" ht="30" customHeight="1">
      <c r="A548" s="2"/>
      <c r="B548" s="2"/>
      <c r="C548" s="2"/>
      <c r="D548" s="2"/>
      <c r="E548" s="2"/>
      <c r="F548" s="2"/>
      <c r="G548" s="2"/>
      <c r="H548" s="2"/>
      <c r="I548" s="2"/>
      <c r="J548" s="11"/>
      <c r="K548" s="11"/>
      <c r="L548" s="9"/>
      <c r="M548" s="2"/>
      <c r="N548" s="2"/>
      <c r="O548" s="2"/>
    </row>
    <row r="549" spans="1:15" ht="30" customHeight="1">
      <c r="A549" s="2"/>
      <c r="B549" s="2"/>
      <c r="C549" s="2"/>
      <c r="D549" s="2"/>
      <c r="E549" s="2"/>
      <c r="F549" s="2"/>
      <c r="G549" s="2"/>
      <c r="H549" s="2"/>
      <c r="I549" s="2"/>
      <c r="J549" s="11"/>
      <c r="K549" s="11"/>
      <c r="L549" s="9"/>
      <c r="M549" s="2"/>
      <c r="N549" s="2"/>
      <c r="O549" s="2"/>
    </row>
    <row r="550" spans="1:15" ht="30" customHeight="1">
      <c r="A550" s="2"/>
      <c r="B550" s="2"/>
      <c r="C550" s="2"/>
      <c r="D550" s="2"/>
      <c r="E550" s="2"/>
      <c r="F550" s="2"/>
      <c r="G550" s="2"/>
      <c r="H550" s="2"/>
      <c r="I550" s="2"/>
      <c r="J550" s="11"/>
      <c r="K550" s="11"/>
      <c r="L550" s="9"/>
      <c r="M550" s="2"/>
      <c r="N550" s="2"/>
      <c r="O550" s="2"/>
    </row>
    <row r="551" spans="1:15" ht="30" customHeight="1">
      <c r="A551" s="2"/>
      <c r="B551" s="2"/>
      <c r="C551" s="2"/>
      <c r="D551" s="2"/>
      <c r="E551" s="2"/>
      <c r="F551" s="2"/>
      <c r="G551" s="2"/>
      <c r="H551" s="2"/>
      <c r="I551" s="2"/>
      <c r="J551" s="11"/>
      <c r="K551" s="11"/>
      <c r="L551" s="9"/>
      <c r="M551" s="2"/>
      <c r="N551" s="2"/>
      <c r="O551" s="2"/>
    </row>
    <row r="552" spans="1:15" ht="30" customHeight="1">
      <c r="A552" s="2"/>
      <c r="B552" s="2"/>
      <c r="C552" s="2"/>
      <c r="D552" s="2"/>
      <c r="E552" s="2"/>
      <c r="F552" s="2"/>
      <c r="G552" s="2"/>
      <c r="H552" s="2"/>
      <c r="I552" s="2"/>
      <c r="J552" s="11"/>
      <c r="K552" s="11"/>
      <c r="L552" s="9"/>
      <c r="M552" s="2"/>
      <c r="N552" s="2"/>
      <c r="O552" s="2"/>
    </row>
    <row r="553" spans="1:15" ht="30" customHeight="1">
      <c r="A553" s="2"/>
      <c r="B553" s="2"/>
      <c r="C553" s="2"/>
      <c r="D553" s="2"/>
      <c r="E553" s="2"/>
      <c r="F553" s="2"/>
      <c r="G553" s="2"/>
      <c r="H553" s="2"/>
      <c r="I553" s="2"/>
      <c r="J553" s="11"/>
      <c r="K553" s="11"/>
      <c r="L553" s="9"/>
      <c r="M553" s="2"/>
      <c r="N553" s="2"/>
      <c r="O553" s="2"/>
    </row>
    <row r="554" spans="1:15" ht="30" customHeight="1">
      <c r="A554" s="2"/>
      <c r="B554" s="2"/>
      <c r="C554" s="2"/>
      <c r="D554" s="2"/>
      <c r="E554" s="2"/>
      <c r="F554" s="2"/>
      <c r="G554" s="2"/>
      <c r="H554" s="2"/>
      <c r="I554" s="2"/>
      <c r="J554" s="11"/>
      <c r="K554" s="11"/>
      <c r="L554" s="9"/>
      <c r="M554" s="2"/>
      <c r="N554" s="2"/>
      <c r="O554" s="2"/>
    </row>
    <row r="555" spans="1:15" ht="30" customHeight="1">
      <c r="A555" s="2"/>
      <c r="B555" s="2"/>
      <c r="C555" s="2"/>
      <c r="D555" s="2"/>
      <c r="E555" s="2"/>
      <c r="F555" s="2"/>
      <c r="G555" s="2"/>
      <c r="H555" s="2"/>
      <c r="I555" s="2"/>
      <c r="J555" s="11"/>
      <c r="K555" s="11"/>
      <c r="L555" s="9"/>
      <c r="M555" s="2"/>
      <c r="N555" s="2"/>
      <c r="O555" s="2"/>
    </row>
    <row r="556" spans="1:15" ht="30" customHeight="1">
      <c r="A556" s="2"/>
      <c r="B556" s="2"/>
      <c r="C556" s="2"/>
      <c r="D556" s="2"/>
      <c r="E556" s="2"/>
      <c r="F556" s="2"/>
      <c r="G556" s="2"/>
      <c r="H556" s="2"/>
      <c r="I556" s="2"/>
      <c r="J556" s="11"/>
      <c r="K556" s="11"/>
      <c r="L556" s="9"/>
      <c r="M556" s="2"/>
      <c r="N556" s="2"/>
      <c r="O556" s="2"/>
    </row>
    <row r="557" spans="1:15" ht="30" customHeight="1">
      <c r="A557" s="2"/>
      <c r="B557" s="2"/>
      <c r="C557" s="2"/>
      <c r="D557" s="2"/>
      <c r="E557" s="2"/>
      <c r="F557" s="2"/>
      <c r="G557" s="2"/>
      <c r="H557" s="2"/>
      <c r="I557" s="2"/>
      <c r="J557" s="11"/>
      <c r="K557" s="11"/>
      <c r="L557" s="9"/>
      <c r="M557" s="2"/>
      <c r="N557" s="2"/>
      <c r="O557" s="2"/>
    </row>
    <row r="558" spans="1:15" ht="30" customHeight="1">
      <c r="A558" s="2"/>
      <c r="B558" s="2"/>
      <c r="C558" s="2"/>
      <c r="D558" s="2"/>
      <c r="E558" s="2"/>
      <c r="F558" s="2"/>
      <c r="G558" s="2"/>
      <c r="H558" s="2"/>
      <c r="I558" s="2"/>
      <c r="J558" s="11"/>
      <c r="K558" s="11"/>
      <c r="L558" s="9"/>
      <c r="M558" s="2"/>
      <c r="N558" s="2"/>
      <c r="O558" s="2"/>
    </row>
    <row r="559" spans="1:15" ht="30" customHeight="1">
      <c r="A559" s="2"/>
      <c r="B559" s="2"/>
      <c r="C559" s="2"/>
      <c r="D559" s="2"/>
      <c r="E559" s="2"/>
      <c r="F559" s="2"/>
      <c r="G559" s="2"/>
      <c r="H559" s="2"/>
      <c r="I559" s="2"/>
      <c r="J559" s="11"/>
      <c r="K559" s="11"/>
      <c r="L559" s="9"/>
      <c r="M559" s="2"/>
      <c r="N559" s="2"/>
      <c r="O559" s="2"/>
    </row>
    <row r="560" spans="1:15" ht="30" customHeight="1">
      <c r="A560" s="2"/>
      <c r="B560" s="2"/>
      <c r="C560" s="2"/>
      <c r="D560" s="2"/>
      <c r="E560" s="2"/>
      <c r="F560" s="2"/>
      <c r="G560" s="2"/>
      <c r="H560" s="2"/>
      <c r="I560" s="2"/>
      <c r="J560" s="11"/>
      <c r="K560" s="11"/>
      <c r="L560" s="9"/>
      <c r="M560" s="2"/>
      <c r="N560" s="2"/>
      <c r="O560" s="2"/>
    </row>
    <row r="561" spans="1:15" ht="30" customHeight="1">
      <c r="A561" s="2"/>
      <c r="B561" s="2"/>
      <c r="C561" s="2"/>
      <c r="D561" s="2"/>
      <c r="E561" s="2"/>
      <c r="F561" s="2"/>
      <c r="G561" s="2"/>
      <c r="H561" s="2"/>
      <c r="I561" s="2"/>
      <c r="J561" s="11"/>
      <c r="K561" s="11"/>
      <c r="L561" s="9"/>
      <c r="M561" s="2"/>
      <c r="N561" s="2"/>
      <c r="O561" s="2"/>
    </row>
    <row r="562" spans="1:15" ht="30" customHeight="1">
      <c r="A562" s="2"/>
      <c r="B562" s="2"/>
      <c r="C562" s="2"/>
      <c r="D562" s="2"/>
      <c r="E562" s="2"/>
      <c r="F562" s="2"/>
      <c r="G562" s="2"/>
      <c r="H562" s="2"/>
      <c r="I562" s="2"/>
      <c r="J562" s="11"/>
      <c r="K562" s="11"/>
      <c r="L562" s="9"/>
      <c r="M562" s="2"/>
      <c r="N562" s="2"/>
      <c r="O562" s="2"/>
    </row>
    <row r="563" spans="1:15" ht="30" customHeight="1">
      <c r="A563" s="2"/>
      <c r="B563" s="2"/>
      <c r="C563" s="2"/>
      <c r="D563" s="2"/>
      <c r="E563" s="2"/>
      <c r="F563" s="2"/>
      <c r="G563" s="2"/>
      <c r="H563" s="2"/>
      <c r="I563" s="2"/>
      <c r="J563" s="11"/>
      <c r="K563" s="11"/>
      <c r="L563" s="9"/>
      <c r="M563" s="2"/>
      <c r="N563" s="2"/>
      <c r="O563" s="2"/>
    </row>
    <row r="564" spans="1:15" ht="30" customHeight="1">
      <c r="A564" s="2"/>
      <c r="B564" s="2"/>
      <c r="C564" s="2"/>
      <c r="D564" s="2"/>
      <c r="E564" s="2"/>
      <c r="F564" s="2"/>
      <c r="G564" s="2"/>
      <c r="H564" s="2"/>
      <c r="I564" s="2"/>
      <c r="J564" s="11"/>
      <c r="K564" s="11"/>
      <c r="L564" s="9"/>
      <c r="M564" s="2"/>
      <c r="N564" s="2"/>
      <c r="O564" s="2"/>
    </row>
    <row r="565" spans="1:15" ht="30" customHeight="1">
      <c r="A565" s="2"/>
      <c r="B565" s="2"/>
      <c r="C565" s="2"/>
      <c r="D565" s="2"/>
      <c r="E565" s="2"/>
      <c r="F565" s="2"/>
      <c r="G565" s="2"/>
      <c r="H565" s="2"/>
      <c r="I565" s="2"/>
      <c r="J565" s="11"/>
      <c r="K565" s="11"/>
      <c r="L565" s="9"/>
      <c r="M565" s="2"/>
      <c r="N565" s="2"/>
      <c r="O565" s="2"/>
    </row>
    <row r="566" spans="1:15" ht="30" customHeight="1">
      <c r="A566" s="2"/>
      <c r="B566" s="2"/>
      <c r="C566" s="2"/>
      <c r="D566" s="2"/>
      <c r="E566" s="2"/>
      <c r="F566" s="2"/>
      <c r="G566" s="2"/>
      <c r="H566" s="2"/>
      <c r="I566" s="2"/>
      <c r="J566" s="11"/>
      <c r="K566" s="11"/>
      <c r="L566" s="9"/>
      <c r="M566" s="2"/>
      <c r="N566" s="2"/>
      <c r="O566" s="2"/>
    </row>
    <row r="567" spans="1:15" ht="30" customHeight="1">
      <c r="A567" s="2"/>
      <c r="B567" s="2"/>
      <c r="C567" s="2"/>
      <c r="D567" s="2"/>
      <c r="E567" s="2"/>
      <c r="F567" s="2"/>
      <c r="G567" s="2"/>
      <c r="H567" s="2"/>
      <c r="I567" s="2"/>
      <c r="J567" s="11"/>
      <c r="K567" s="11"/>
      <c r="L567" s="9"/>
      <c r="M567" s="2"/>
      <c r="N567" s="2"/>
      <c r="O567" s="2"/>
    </row>
    <row r="568" spans="1:15" ht="30" customHeight="1">
      <c r="A568" s="2"/>
      <c r="B568" s="2"/>
      <c r="C568" s="2"/>
      <c r="D568" s="2"/>
      <c r="E568" s="2"/>
      <c r="F568" s="2"/>
      <c r="G568" s="2"/>
      <c r="H568" s="2"/>
      <c r="I568" s="2"/>
      <c r="J568" s="11"/>
      <c r="K568" s="11"/>
      <c r="L568" s="9"/>
      <c r="M568" s="2"/>
      <c r="N568" s="2"/>
      <c r="O568" s="2"/>
    </row>
    <row r="569" spans="1:15" ht="30" customHeight="1">
      <c r="A569" s="2"/>
      <c r="B569" s="2"/>
      <c r="C569" s="2"/>
      <c r="D569" s="2"/>
      <c r="E569" s="2"/>
      <c r="F569" s="2"/>
      <c r="G569" s="2"/>
      <c r="H569" s="2"/>
      <c r="I569" s="2"/>
      <c r="J569" s="11"/>
      <c r="K569" s="11"/>
      <c r="L569" s="9"/>
      <c r="M569" s="2"/>
      <c r="N569" s="2"/>
      <c r="O569" s="2"/>
    </row>
    <row r="570" spans="1:15" ht="30" customHeight="1">
      <c r="A570" s="2"/>
      <c r="B570" s="2"/>
      <c r="C570" s="2"/>
      <c r="D570" s="2"/>
      <c r="E570" s="2"/>
      <c r="F570" s="2"/>
      <c r="G570" s="2"/>
      <c r="H570" s="2"/>
      <c r="I570" s="2"/>
      <c r="J570" s="11"/>
      <c r="K570" s="11"/>
      <c r="L570" s="9"/>
      <c r="M570" s="2"/>
      <c r="N570" s="2"/>
      <c r="O570" s="2"/>
    </row>
    <row r="571" spans="1:15" ht="30" customHeight="1">
      <c r="A571" s="2"/>
      <c r="B571" s="2"/>
      <c r="C571" s="2"/>
      <c r="D571" s="2"/>
      <c r="E571" s="2"/>
      <c r="F571" s="2"/>
      <c r="G571" s="2"/>
      <c r="H571" s="2"/>
      <c r="I571" s="2"/>
      <c r="J571" s="11"/>
      <c r="K571" s="11"/>
      <c r="L571" s="9"/>
      <c r="M571" s="2"/>
      <c r="N571" s="2"/>
      <c r="O571" s="2"/>
    </row>
    <row r="572" spans="1:15" ht="30" customHeight="1">
      <c r="A572" s="2"/>
      <c r="B572" s="2"/>
      <c r="C572" s="2"/>
      <c r="D572" s="2"/>
      <c r="E572" s="2"/>
      <c r="F572" s="2"/>
      <c r="G572" s="2"/>
      <c r="H572" s="2"/>
      <c r="I572" s="2"/>
      <c r="J572" s="11"/>
      <c r="K572" s="11"/>
      <c r="L572" s="9"/>
      <c r="M572" s="2"/>
      <c r="N572" s="2"/>
      <c r="O572" s="2"/>
    </row>
    <row r="573" spans="1:15" ht="30" customHeight="1">
      <c r="A573" s="2"/>
      <c r="B573" s="2"/>
      <c r="C573" s="2"/>
      <c r="D573" s="2"/>
      <c r="E573" s="2"/>
      <c r="F573" s="2"/>
      <c r="G573" s="2"/>
      <c r="H573" s="2"/>
      <c r="I573" s="2"/>
      <c r="J573" s="11"/>
      <c r="K573" s="11"/>
      <c r="L573" s="9"/>
      <c r="M573" s="2"/>
      <c r="N573" s="2"/>
      <c r="O573" s="2"/>
    </row>
    <row r="574" spans="1:15" ht="30" customHeight="1">
      <c r="A574" s="2"/>
      <c r="B574" s="2"/>
      <c r="C574" s="2"/>
      <c r="D574" s="2"/>
      <c r="E574" s="2"/>
      <c r="F574" s="2"/>
      <c r="G574" s="2"/>
      <c r="H574" s="2"/>
      <c r="I574" s="2"/>
      <c r="J574" s="11"/>
      <c r="K574" s="11"/>
      <c r="L574" s="9"/>
      <c r="M574" s="2"/>
      <c r="N574" s="2"/>
      <c r="O574" s="2"/>
    </row>
    <row r="575" spans="1:15" ht="30" customHeight="1">
      <c r="A575" s="2"/>
      <c r="B575" s="2"/>
      <c r="C575" s="2"/>
      <c r="D575" s="2"/>
      <c r="E575" s="2"/>
      <c r="F575" s="2"/>
      <c r="G575" s="2"/>
      <c r="H575" s="2"/>
      <c r="I575" s="2"/>
      <c r="J575" s="11"/>
      <c r="K575" s="11"/>
      <c r="L575" s="9"/>
      <c r="M575" s="2"/>
      <c r="N575" s="2"/>
      <c r="O575" s="2"/>
    </row>
    <row r="576" spans="1:15" ht="30" customHeight="1">
      <c r="A576" s="2"/>
      <c r="B576" s="2"/>
      <c r="C576" s="2"/>
      <c r="D576" s="2"/>
      <c r="E576" s="2"/>
      <c r="F576" s="2"/>
      <c r="G576" s="2"/>
      <c r="H576" s="2"/>
      <c r="I576" s="2"/>
      <c r="J576" s="11"/>
      <c r="K576" s="11"/>
      <c r="L576" s="9"/>
      <c r="M576" s="2"/>
      <c r="N576" s="2"/>
      <c r="O576" s="2"/>
    </row>
    <row r="577" spans="1:15" ht="30" customHeight="1">
      <c r="A577" s="2"/>
      <c r="B577" s="2"/>
      <c r="C577" s="2"/>
      <c r="D577" s="2"/>
      <c r="E577" s="2"/>
      <c r="F577" s="2"/>
      <c r="G577" s="2"/>
      <c r="H577" s="2"/>
      <c r="I577" s="2"/>
      <c r="J577" s="11"/>
      <c r="K577" s="11"/>
      <c r="L577" s="9"/>
      <c r="M577" s="2"/>
      <c r="N577" s="2"/>
      <c r="O577" s="2"/>
    </row>
    <row r="578" spans="1:15" ht="30" customHeight="1">
      <c r="A578" s="2"/>
      <c r="B578" s="2"/>
      <c r="C578" s="2"/>
      <c r="D578" s="2"/>
      <c r="E578" s="2"/>
      <c r="F578" s="2"/>
      <c r="G578" s="2"/>
      <c r="H578" s="2"/>
      <c r="I578" s="2"/>
      <c r="J578" s="11"/>
      <c r="K578" s="11"/>
      <c r="L578" s="9"/>
      <c r="M578" s="2"/>
      <c r="N578" s="2"/>
      <c r="O578" s="2"/>
    </row>
    <row r="579" spans="1:15" ht="30" customHeight="1">
      <c r="A579" s="2"/>
      <c r="B579" s="2"/>
      <c r="C579" s="2"/>
      <c r="D579" s="2"/>
      <c r="E579" s="2"/>
      <c r="F579" s="2"/>
      <c r="G579" s="2"/>
      <c r="H579" s="2"/>
      <c r="I579" s="2"/>
      <c r="J579" s="11"/>
      <c r="K579" s="11"/>
      <c r="L579" s="9"/>
      <c r="M579" s="2"/>
      <c r="N579" s="2"/>
      <c r="O579" s="2"/>
    </row>
    <row r="580" spans="1:15" ht="30" customHeight="1">
      <c r="A580" s="2"/>
      <c r="B580" s="2"/>
      <c r="C580" s="2"/>
      <c r="D580" s="2"/>
      <c r="E580" s="2"/>
      <c r="F580" s="2"/>
      <c r="G580" s="2"/>
      <c r="H580" s="2"/>
      <c r="I580" s="2"/>
      <c r="J580" s="11"/>
      <c r="K580" s="11"/>
      <c r="L580" s="9"/>
      <c r="M580" s="2"/>
      <c r="N580" s="2"/>
      <c r="O580" s="2"/>
    </row>
    <row r="581" spans="1:15" ht="30" customHeight="1">
      <c r="A581" s="2"/>
      <c r="B581" s="2"/>
      <c r="C581" s="2"/>
      <c r="D581" s="2"/>
      <c r="E581" s="2"/>
      <c r="F581" s="2"/>
      <c r="G581" s="2"/>
      <c r="H581" s="2"/>
      <c r="I581" s="2"/>
      <c r="J581" s="11"/>
      <c r="K581" s="11"/>
      <c r="L581" s="9"/>
      <c r="M581" s="2"/>
      <c r="N581" s="2"/>
      <c r="O581" s="2"/>
    </row>
    <row r="582" spans="1:15" ht="30" customHeight="1">
      <c r="A582" s="2"/>
      <c r="B582" s="2"/>
      <c r="C582" s="2"/>
      <c r="D582" s="2"/>
      <c r="E582" s="2"/>
      <c r="F582" s="2"/>
      <c r="G582" s="2"/>
      <c r="H582" s="2"/>
      <c r="I582" s="2"/>
      <c r="J582" s="11"/>
      <c r="K582" s="11"/>
      <c r="L582" s="9"/>
      <c r="M582" s="2"/>
      <c r="N582" s="2"/>
      <c r="O582" s="2"/>
    </row>
    <row r="583" spans="1:15" ht="30" customHeight="1">
      <c r="A583" s="2"/>
      <c r="B583" s="2"/>
      <c r="C583" s="2"/>
      <c r="D583" s="2"/>
      <c r="E583" s="2"/>
      <c r="F583" s="2"/>
      <c r="G583" s="2"/>
      <c r="H583" s="2"/>
      <c r="I583" s="2"/>
      <c r="J583" s="11"/>
      <c r="K583" s="11"/>
      <c r="L583" s="9"/>
      <c r="M583" s="2"/>
      <c r="N583" s="2"/>
      <c r="O583" s="2"/>
    </row>
    <row r="584" spans="1:15" ht="30" customHeight="1">
      <c r="A584" s="2"/>
      <c r="B584" s="2"/>
      <c r="C584" s="2"/>
      <c r="D584" s="2"/>
      <c r="E584" s="2"/>
      <c r="F584" s="2"/>
      <c r="G584" s="2"/>
      <c r="H584" s="2"/>
      <c r="I584" s="2"/>
      <c r="J584" s="11"/>
      <c r="K584" s="11"/>
      <c r="L584" s="9"/>
      <c r="M584" s="2"/>
      <c r="N584" s="2"/>
      <c r="O584" s="2"/>
    </row>
    <row r="585" spans="1:15" ht="30" customHeight="1">
      <c r="A585" s="2"/>
      <c r="B585" s="2"/>
      <c r="C585" s="2"/>
      <c r="D585" s="2"/>
      <c r="E585" s="2"/>
      <c r="F585" s="2"/>
      <c r="G585" s="2"/>
      <c r="H585" s="2"/>
      <c r="I585" s="2"/>
      <c r="J585" s="11"/>
      <c r="K585" s="11"/>
      <c r="L585" s="9"/>
      <c r="M585" s="2"/>
      <c r="N585" s="2"/>
      <c r="O585" s="2"/>
    </row>
    <row r="586" spans="1:15" ht="30" customHeight="1">
      <c r="A586" s="2"/>
      <c r="B586" s="2"/>
      <c r="C586" s="2"/>
      <c r="D586" s="2"/>
      <c r="E586" s="2"/>
      <c r="F586" s="2"/>
      <c r="G586" s="2"/>
      <c r="H586" s="2"/>
      <c r="I586" s="2"/>
      <c r="J586" s="11"/>
      <c r="K586" s="11"/>
      <c r="L586" s="9"/>
      <c r="M586" s="2"/>
      <c r="N586" s="2"/>
      <c r="O586" s="2"/>
    </row>
  </sheetData>
  <autoFilter ref="A2:O298" xr:uid="{48C3EA1C-1E31-4450-8B8A-792657D07DD1}"/>
  <mergeCells count="1">
    <mergeCell ref="A1:O1"/>
  </mergeCells>
  <conditionalFormatting sqref="C1:C1048576">
    <cfRule type="duplicateValues" dxfId="0" priority="1"/>
  </conditionalFormatting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7 oy</vt:lpstr>
      <vt:lpstr>Avgust</vt:lpstr>
      <vt:lpstr>Sentabr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i7</cp:lastModifiedBy>
  <dcterms:created xsi:type="dcterms:W3CDTF">2026-09-14T12:31:58Z</dcterms:created>
  <dcterms:modified xsi:type="dcterms:W3CDTF">2026-09-17T12:45:59Z</dcterms:modified>
</cp:coreProperties>
</file>