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Akmaljon MUOVIN\ПЛАТФОРМА КУНЛИК\Shablon\"/>
    </mc:Choice>
  </mc:AlternateContent>
  <xr:revisionPtr revIDLastSave="0" documentId="13_ncr:1_{8FC2693D-74A2-40B3-816B-68400699F83D}" xr6:coauthVersionLast="45" xr6:coauthVersionMax="45" xr10:uidLastSave="{00000000-0000-0000-0000-000000000000}"/>
  <bookViews>
    <workbookView xWindow="-120" yWindow="-120" windowWidth="29040" windowHeight="15840" activeTab="4" xr2:uid="{00000000-000D-0000-FFFF-FFFF00000000}"/>
  </bookViews>
  <sheets>
    <sheet name="012026" sheetId="5" r:id="rId1"/>
    <sheet name="022026" sheetId="6" r:id="rId2"/>
    <sheet name="032026" sheetId="7" r:id="rId3"/>
    <sheet name="042026" sheetId="8" r:id="rId4"/>
    <sheet name="052026" sheetId="9" r:id="rId5"/>
    <sheet name="062026" sheetId="10" r:id="rId6"/>
    <sheet name="072026" sheetId="11" r:id="rId7"/>
    <sheet name="082026" sheetId="12" r:id="rId8"/>
  </sheets>
  <definedNames>
    <definedName name="_xlnm._FilterDatabase" localSheetId="0" hidden="1">'012026'!$A$2:$M$298</definedName>
    <definedName name="_xlnm._FilterDatabase" localSheetId="1" hidden="1">'022026'!$A$2:$M$301</definedName>
    <definedName name="_xlnm._FilterDatabase" localSheetId="2" hidden="1">'032026'!$A$2:$M$301</definedName>
    <definedName name="_xlnm._FilterDatabase" localSheetId="3" hidden="1">'042026'!$A$2:$M$301</definedName>
    <definedName name="_xlnm._FilterDatabase" localSheetId="4" hidden="1">'052026'!$A$2:$M$301</definedName>
    <definedName name="_xlnm._FilterDatabase" localSheetId="5" hidden="1">'062026'!$A$2:$M$301</definedName>
    <definedName name="_xlnm._FilterDatabase" localSheetId="6" hidden="1">'072026'!$A$2:$M$301</definedName>
    <definedName name="_xlnm._FilterDatabase" localSheetId="7" hidden="1">'082026'!$A$2:$N$362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62" i="5" l="1"/>
  <c r="G362" i="5" s="1"/>
  <c r="F361" i="5"/>
  <c r="G361" i="5" s="1"/>
  <c r="F360" i="5"/>
  <c r="G360" i="5" s="1"/>
  <c r="F359" i="5"/>
  <c r="G359" i="5" s="1"/>
  <c r="F358" i="5"/>
  <c r="G358" i="5" s="1"/>
  <c r="F357" i="5"/>
  <c r="F356" i="5"/>
  <c r="F355" i="5"/>
  <c r="G355" i="5" s="1"/>
  <c r="F354" i="5"/>
  <c r="G354" i="5" s="1"/>
  <c r="F353" i="5"/>
  <c r="G353" i="5" s="1"/>
  <c r="F352" i="5"/>
  <c r="G352" i="5" s="1"/>
  <c r="F351" i="5"/>
  <c r="G351" i="5" s="1"/>
  <c r="F350" i="5"/>
  <c r="G350" i="5" s="1"/>
  <c r="F349" i="5"/>
  <c r="G349" i="5" s="1"/>
  <c r="F348" i="5"/>
  <c r="G348" i="5" s="1"/>
  <c r="F347" i="5"/>
  <c r="G347" i="5" s="1"/>
  <c r="F346" i="5"/>
  <c r="G346" i="5" s="1"/>
  <c r="F345" i="5"/>
  <c r="G345" i="5" s="1"/>
  <c r="F344" i="5"/>
  <c r="G344" i="5" s="1"/>
  <c r="F343" i="5"/>
  <c r="G343" i="5" s="1"/>
  <c r="F342" i="5"/>
  <c r="G342" i="5" s="1"/>
  <c r="F341" i="5"/>
  <c r="G341" i="5" s="1"/>
  <c r="F340" i="5"/>
  <c r="G340" i="5" s="1"/>
  <c r="F339" i="5"/>
  <c r="G339" i="5" s="1"/>
  <c r="F338" i="5"/>
  <c r="G338" i="5" s="1"/>
  <c r="F337" i="5"/>
  <c r="G337" i="5" s="1"/>
  <c r="F336" i="5"/>
  <c r="F334" i="5"/>
  <c r="F333" i="5"/>
  <c r="G333" i="5" s="1"/>
  <c r="F332" i="5"/>
  <c r="G332" i="5" s="1"/>
  <c r="F331" i="5"/>
  <c r="G331" i="5" s="1"/>
  <c r="F330" i="5"/>
  <c r="G330" i="5" s="1"/>
  <c r="F329" i="5"/>
  <c r="G329" i="5" s="1"/>
  <c r="F328" i="5"/>
  <c r="G328" i="5" s="1"/>
  <c r="F327" i="5"/>
  <c r="G327" i="5" s="1"/>
  <c r="F326" i="5"/>
  <c r="G326" i="5" s="1"/>
  <c r="F325" i="5"/>
  <c r="G325" i="5" s="1"/>
  <c r="F324" i="5"/>
  <c r="G324" i="5" s="1"/>
  <c r="F323" i="5"/>
  <c r="G323" i="5" s="1"/>
  <c r="F322" i="5"/>
  <c r="G322" i="5" s="1"/>
  <c r="F321" i="5"/>
  <c r="G321" i="5" s="1"/>
  <c r="F320" i="5"/>
  <c r="G320" i="5" s="1"/>
  <c r="F319" i="5"/>
  <c r="G319" i="5" s="1"/>
  <c r="F318" i="5"/>
  <c r="G318" i="5" s="1"/>
  <c r="F317" i="5"/>
  <c r="G317" i="5" s="1"/>
  <c r="F316" i="5"/>
  <c r="G316" i="5" s="1"/>
  <c r="F315" i="5"/>
  <c r="G315" i="5" s="1"/>
  <c r="F314" i="5"/>
  <c r="G314" i="5" s="1"/>
  <c r="F313" i="5"/>
  <c r="F312" i="5"/>
  <c r="G312" i="5" s="1"/>
  <c r="F311" i="5"/>
  <c r="G311" i="5" s="1"/>
  <c r="F310" i="5"/>
  <c r="G310" i="5" s="1"/>
  <c r="F309" i="5"/>
  <c r="G309" i="5" s="1"/>
  <c r="G308" i="5"/>
  <c r="F308" i="5"/>
  <c r="F307" i="5"/>
  <c r="G307" i="5" s="1"/>
  <c r="G306" i="5"/>
  <c r="F306" i="5"/>
  <c r="F305" i="5"/>
  <c r="G305" i="5" s="1"/>
  <c r="G304" i="5"/>
  <c r="F304" i="5"/>
  <c r="F303" i="5"/>
  <c r="G303" i="5" s="1"/>
  <c r="G302" i="5"/>
  <c r="F302" i="5"/>
  <c r="F301" i="5"/>
  <c r="F300" i="5"/>
  <c r="G300" i="5" s="1"/>
  <c r="F299" i="5"/>
  <c r="G299" i="5" s="1"/>
  <c r="F362" i="6"/>
  <c r="G362" i="6" s="1"/>
  <c r="F361" i="6"/>
  <c r="G361" i="6" s="1"/>
  <c r="F360" i="6"/>
  <c r="G360" i="6" s="1"/>
  <c r="F359" i="6"/>
  <c r="G359" i="6" s="1"/>
  <c r="F358" i="6"/>
  <c r="G358" i="6" s="1"/>
  <c r="F357" i="6"/>
  <c r="F356" i="6"/>
  <c r="F355" i="6"/>
  <c r="G355" i="6" s="1"/>
  <c r="F354" i="6"/>
  <c r="G354" i="6" s="1"/>
  <c r="F353" i="6"/>
  <c r="G353" i="6" s="1"/>
  <c r="F352" i="6"/>
  <c r="G352" i="6" s="1"/>
  <c r="F351" i="6"/>
  <c r="G351" i="6" s="1"/>
  <c r="F350" i="6"/>
  <c r="G350" i="6" s="1"/>
  <c r="F349" i="6"/>
  <c r="G349" i="6" s="1"/>
  <c r="F348" i="6"/>
  <c r="G348" i="6" s="1"/>
  <c r="F347" i="6"/>
  <c r="G347" i="6" s="1"/>
  <c r="F346" i="6"/>
  <c r="G346" i="6" s="1"/>
  <c r="F345" i="6"/>
  <c r="G345" i="6" s="1"/>
  <c r="F344" i="6"/>
  <c r="G344" i="6" s="1"/>
  <c r="F343" i="6"/>
  <c r="G343" i="6" s="1"/>
  <c r="F342" i="6"/>
  <c r="G342" i="6" s="1"/>
  <c r="F341" i="6"/>
  <c r="G341" i="6" s="1"/>
  <c r="F340" i="6"/>
  <c r="G340" i="6" s="1"/>
  <c r="F339" i="6"/>
  <c r="G339" i="6" s="1"/>
  <c r="F338" i="6"/>
  <c r="G338" i="6" s="1"/>
  <c r="F337" i="6"/>
  <c r="G337" i="6" s="1"/>
  <c r="F336" i="6"/>
  <c r="F334" i="6"/>
  <c r="F333" i="6"/>
  <c r="G333" i="6" s="1"/>
  <c r="F332" i="6"/>
  <c r="G332" i="6" s="1"/>
  <c r="F331" i="6"/>
  <c r="G331" i="6" s="1"/>
  <c r="F330" i="6"/>
  <c r="G330" i="6" s="1"/>
  <c r="F329" i="6"/>
  <c r="G329" i="6" s="1"/>
  <c r="F328" i="6"/>
  <c r="G328" i="6" s="1"/>
  <c r="F327" i="6"/>
  <c r="G327" i="6" s="1"/>
  <c r="F326" i="6"/>
  <c r="G326" i="6" s="1"/>
  <c r="F325" i="6"/>
  <c r="G325" i="6" s="1"/>
  <c r="F324" i="6"/>
  <c r="G324" i="6" s="1"/>
  <c r="F323" i="6"/>
  <c r="G323" i="6" s="1"/>
  <c r="F322" i="6"/>
  <c r="G322" i="6" s="1"/>
  <c r="F321" i="6"/>
  <c r="G321" i="6" s="1"/>
  <c r="F320" i="6"/>
  <c r="G320" i="6" s="1"/>
  <c r="F319" i="6"/>
  <c r="G319" i="6" s="1"/>
  <c r="F318" i="6"/>
  <c r="G318" i="6" s="1"/>
  <c r="F317" i="6"/>
  <c r="G317" i="6" s="1"/>
  <c r="F316" i="6"/>
  <c r="G316" i="6" s="1"/>
  <c r="F315" i="6"/>
  <c r="G315" i="6" s="1"/>
  <c r="F314" i="6"/>
  <c r="G314" i="6" s="1"/>
  <c r="F313" i="6"/>
  <c r="F312" i="6"/>
  <c r="G312" i="6" s="1"/>
  <c r="F311" i="6"/>
  <c r="G311" i="6" s="1"/>
  <c r="F310" i="6"/>
  <c r="G310" i="6" s="1"/>
  <c r="F309" i="6"/>
  <c r="G309" i="6" s="1"/>
  <c r="F308" i="6"/>
  <c r="G308" i="6" s="1"/>
  <c r="F307" i="6"/>
  <c r="G307" i="6" s="1"/>
  <c r="F306" i="6"/>
  <c r="G306" i="6" s="1"/>
  <c r="G305" i="6"/>
  <c r="F305" i="6"/>
  <c r="F304" i="6"/>
  <c r="G304" i="6" s="1"/>
  <c r="F303" i="6"/>
  <c r="G303" i="6" s="1"/>
  <c r="F302" i="6"/>
  <c r="G302" i="6" s="1"/>
  <c r="F301" i="6"/>
  <c r="F300" i="6"/>
  <c r="G300" i="6" s="1"/>
  <c r="F299" i="6"/>
  <c r="G299" i="6" s="1"/>
  <c r="F362" i="7"/>
  <c r="G362" i="7" s="1"/>
  <c r="F361" i="7"/>
  <c r="G361" i="7" s="1"/>
  <c r="F360" i="7"/>
  <c r="G360" i="7" s="1"/>
  <c r="F359" i="7"/>
  <c r="G359" i="7" s="1"/>
  <c r="F358" i="7"/>
  <c r="G358" i="7" s="1"/>
  <c r="F357" i="7"/>
  <c r="F356" i="7"/>
  <c r="F355" i="7"/>
  <c r="G355" i="7" s="1"/>
  <c r="F354" i="7"/>
  <c r="G354" i="7" s="1"/>
  <c r="F353" i="7"/>
  <c r="G353" i="7" s="1"/>
  <c r="F352" i="7"/>
  <c r="G352" i="7" s="1"/>
  <c r="F351" i="7"/>
  <c r="G351" i="7" s="1"/>
  <c r="F350" i="7"/>
  <c r="G350" i="7" s="1"/>
  <c r="F349" i="7"/>
  <c r="G349" i="7" s="1"/>
  <c r="F348" i="7"/>
  <c r="G348" i="7" s="1"/>
  <c r="F347" i="7"/>
  <c r="G347" i="7" s="1"/>
  <c r="F346" i="7"/>
  <c r="G346" i="7" s="1"/>
  <c r="F345" i="7"/>
  <c r="G345" i="7" s="1"/>
  <c r="F344" i="7"/>
  <c r="G344" i="7" s="1"/>
  <c r="F343" i="7"/>
  <c r="G343" i="7" s="1"/>
  <c r="F342" i="7"/>
  <c r="G342" i="7" s="1"/>
  <c r="F341" i="7"/>
  <c r="G341" i="7" s="1"/>
  <c r="F340" i="7"/>
  <c r="G340" i="7" s="1"/>
  <c r="F339" i="7"/>
  <c r="G339" i="7" s="1"/>
  <c r="F338" i="7"/>
  <c r="G338" i="7" s="1"/>
  <c r="F337" i="7"/>
  <c r="G337" i="7" s="1"/>
  <c r="F336" i="7"/>
  <c r="F334" i="7"/>
  <c r="F333" i="7"/>
  <c r="G333" i="7" s="1"/>
  <c r="F332" i="7"/>
  <c r="G332" i="7" s="1"/>
  <c r="F331" i="7"/>
  <c r="G331" i="7" s="1"/>
  <c r="F330" i="7"/>
  <c r="G330" i="7" s="1"/>
  <c r="F329" i="7"/>
  <c r="G329" i="7" s="1"/>
  <c r="F328" i="7"/>
  <c r="G328" i="7" s="1"/>
  <c r="F327" i="7"/>
  <c r="G327" i="7" s="1"/>
  <c r="F326" i="7"/>
  <c r="G326" i="7" s="1"/>
  <c r="F325" i="7"/>
  <c r="G325" i="7" s="1"/>
  <c r="F324" i="7"/>
  <c r="G324" i="7" s="1"/>
  <c r="F323" i="7"/>
  <c r="G323" i="7" s="1"/>
  <c r="F322" i="7"/>
  <c r="G322" i="7" s="1"/>
  <c r="F321" i="7"/>
  <c r="G321" i="7" s="1"/>
  <c r="F320" i="7"/>
  <c r="G320" i="7" s="1"/>
  <c r="F319" i="7"/>
  <c r="G319" i="7" s="1"/>
  <c r="F318" i="7"/>
  <c r="G318" i="7" s="1"/>
  <c r="F317" i="7"/>
  <c r="G317" i="7" s="1"/>
  <c r="F316" i="7"/>
  <c r="G316" i="7" s="1"/>
  <c r="F315" i="7"/>
  <c r="G315" i="7" s="1"/>
  <c r="F314" i="7"/>
  <c r="G314" i="7" s="1"/>
  <c r="F313" i="7"/>
  <c r="F312" i="7"/>
  <c r="G312" i="7" s="1"/>
  <c r="F311" i="7"/>
  <c r="G311" i="7" s="1"/>
  <c r="F310" i="7"/>
  <c r="G310" i="7" s="1"/>
  <c r="F309" i="7"/>
  <c r="G309" i="7" s="1"/>
  <c r="F308" i="7"/>
  <c r="G308" i="7" s="1"/>
  <c r="F307" i="7"/>
  <c r="G307" i="7" s="1"/>
  <c r="F306" i="7"/>
  <c r="G306" i="7" s="1"/>
  <c r="F305" i="7"/>
  <c r="G305" i="7" s="1"/>
  <c r="F304" i="7"/>
  <c r="G304" i="7" s="1"/>
  <c r="F303" i="7"/>
  <c r="G303" i="7" s="1"/>
  <c r="F302" i="7"/>
  <c r="G302" i="7" s="1"/>
  <c r="F301" i="7"/>
  <c r="F300" i="7"/>
  <c r="G300" i="7" s="1"/>
  <c r="F299" i="7"/>
  <c r="G299" i="7" s="1"/>
  <c r="F362" i="8"/>
  <c r="G362" i="8" s="1"/>
  <c r="F361" i="8"/>
  <c r="G361" i="8" s="1"/>
  <c r="F360" i="8"/>
  <c r="G360" i="8" s="1"/>
  <c r="F359" i="8"/>
  <c r="G359" i="8" s="1"/>
  <c r="F358" i="8"/>
  <c r="G358" i="8" s="1"/>
  <c r="F357" i="8"/>
  <c r="F356" i="8"/>
  <c r="F355" i="8"/>
  <c r="G355" i="8" s="1"/>
  <c r="F354" i="8"/>
  <c r="G354" i="8" s="1"/>
  <c r="F353" i="8"/>
  <c r="G353" i="8" s="1"/>
  <c r="F352" i="8"/>
  <c r="G352" i="8" s="1"/>
  <c r="F351" i="8"/>
  <c r="G351" i="8" s="1"/>
  <c r="F350" i="8"/>
  <c r="G350" i="8" s="1"/>
  <c r="F349" i="8"/>
  <c r="G349" i="8" s="1"/>
  <c r="F348" i="8"/>
  <c r="G348" i="8" s="1"/>
  <c r="F347" i="8"/>
  <c r="G347" i="8" s="1"/>
  <c r="F346" i="8"/>
  <c r="G346" i="8" s="1"/>
  <c r="F345" i="8"/>
  <c r="G345" i="8" s="1"/>
  <c r="F344" i="8"/>
  <c r="G344" i="8" s="1"/>
  <c r="F343" i="8"/>
  <c r="G343" i="8" s="1"/>
  <c r="F342" i="8"/>
  <c r="G342" i="8" s="1"/>
  <c r="F341" i="8"/>
  <c r="G341" i="8" s="1"/>
  <c r="F340" i="8"/>
  <c r="G340" i="8" s="1"/>
  <c r="F339" i="8"/>
  <c r="G339" i="8" s="1"/>
  <c r="F338" i="8"/>
  <c r="G338" i="8" s="1"/>
  <c r="F337" i="8"/>
  <c r="G337" i="8" s="1"/>
  <c r="F336" i="8"/>
  <c r="F334" i="8"/>
  <c r="F333" i="8"/>
  <c r="G333" i="8" s="1"/>
  <c r="F332" i="8"/>
  <c r="G332" i="8" s="1"/>
  <c r="F331" i="8"/>
  <c r="G331" i="8" s="1"/>
  <c r="F330" i="8"/>
  <c r="G330" i="8" s="1"/>
  <c r="F329" i="8"/>
  <c r="G329" i="8" s="1"/>
  <c r="F328" i="8"/>
  <c r="G328" i="8" s="1"/>
  <c r="F327" i="8"/>
  <c r="G327" i="8" s="1"/>
  <c r="F326" i="8"/>
  <c r="G326" i="8" s="1"/>
  <c r="F325" i="8"/>
  <c r="G325" i="8" s="1"/>
  <c r="F324" i="8"/>
  <c r="G324" i="8" s="1"/>
  <c r="F323" i="8"/>
  <c r="G323" i="8" s="1"/>
  <c r="F322" i="8"/>
  <c r="G322" i="8" s="1"/>
  <c r="F321" i="8"/>
  <c r="G321" i="8" s="1"/>
  <c r="F320" i="8"/>
  <c r="G320" i="8" s="1"/>
  <c r="F319" i="8"/>
  <c r="G319" i="8" s="1"/>
  <c r="F318" i="8"/>
  <c r="G318" i="8" s="1"/>
  <c r="F317" i="8"/>
  <c r="G317" i="8" s="1"/>
  <c r="F316" i="8"/>
  <c r="G316" i="8" s="1"/>
  <c r="F315" i="8"/>
  <c r="G315" i="8" s="1"/>
  <c r="F314" i="8"/>
  <c r="G314" i="8" s="1"/>
  <c r="F313" i="8"/>
  <c r="F312" i="8"/>
  <c r="G312" i="8" s="1"/>
  <c r="F311" i="8"/>
  <c r="G311" i="8" s="1"/>
  <c r="F310" i="8"/>
  <c r="G310" i="8" s="1"/>
  <c r="F309" i="8"/>
  <c r="G309" i="8" s="1"/>
  <c r="F308" i="8"/>
  <c r="G308" i="8" s="1"/>
  <c r="F307" i="8"/>
  <c r="G307" i="8" s="1"/>
  <c r="F306" i="8"/>
  <c r="G306" i="8" s="1"/>
  <c r="F305" i="8"/>
  <c r="G305" i="8" s="1"/>
  <c r="F304" i="8"/>
  <c r="G304" i="8" s="1"/>
  <c r="F303" i="8"/>
  <c r="G303" i="8" s="1"/>
  <c r="F302" i="8"/>
  <c r="G302" i="8" s="1"/>
  <c r="F301" i="8"/>
  <c r="F300" i="8"/>
  <c r="G300" i="8" s="1"/>
  <c r="F299" i="8"/>
  <c r="G299" i="8" s="1"/>
  <c r="F362" i="9"/>
  <c r="G362" i="9" s="1"/>
  <c r="F361" i="9"/>
  <c r="G361" i="9" s="1"/>
  <c r="F360" i="9"/>
  <c r="G360" i="9" s="1"/>
  <c r="F359" i="9"/>
  <c r="G359" i="9" s="1"/>
  <c r="F358" i="9"/>
  <c r="G358" i="9" s="1"/>
  <c r="F357" i="9"/>
  <c r="G357" i="9" s="1"/>
  <c r="F356" i="9"/>
  <c r="G356" i="9" s="1"/>
  <c r="F355" i="9"/>
  <c r="G355" i="9" s="1"/>
  <c r="F354" i="9"/>
  <c r="G354" i="9" s="1"/>
  <c r="F353" i="9"/>
  <c r="G353" i="9" s="1"/>
  <c r="F352" i="9"/>
  <c r="G352" i="9" s="1"/>
  <c r="F351" i="9"/>
  <c r="G351" i="9" s="1"/>
  <c r="F350" i="9"/>
  <c r="G350" i="9" s="1"/>
  <c r="F349" i="9"/>
  <c r="G349" i="9" s="1"/>
  <c r="F348" i="9"/>
  <c r="G348" i="9" s="1"/>
  <c r="F347" i="9"/>
  <c r="G347" i="9" s="1"/>
  <c r="F346" i="9"/>
  <c r="G346" i="9" s="1"/>
  <c r="F345" i="9"/>
  <c r="G345" i="9" s="1"/>
  <c r="F344" i="9"/>
  <c r="G344" i="9" s="1"/>
  <c r="F343" i="9"/>
  <c r="G343" i="9" s="1"/>
  <c r="F342" i="9"/>
  <c r="G342" i="9" s="1"/>
  <c r="F341" i="9"/>
  <c r="G341" i="9" s="1"/>
  <c r="F340" i="9"/>
  <c r="G340" i="9" s="1"/>
  <c r="F339" i="9"/>
  <c r="G339" i="9" s="1"/>
  <c r="F338" i="9"/>
  <c r="G338" i="9" s="1"/>
  <c r="F337" i="9"/>
  <c r="G337" i="9" s="1"/>
  <c r="F336" i="9"/>
  <c r="G336" i="9" s="1"/>
  <c r="F335" i="9"/>
  <c r="G335" i="9" s="1"/>
  <c r="F334" i="9"/>
  <c r="G334" i="9" s="1"/>
  <c r="F333" i="9"/>
  <c r="G333" i="9" s="1"/>
  <c r="F332" i="9"/>
  <c r="G332" i="9" s="1"/>
  <c r="F331" i="9"/>
  <c r="G331" i="9" s="1"/>
  <c r="F330" i="9"/>
  <c r="G330" i="9" s="1"/>
  <c r="F329" i="9"/>
  <c r="G329" i="9" s="1"/>
  <c r="F328" i="9"/>
  <c r="G328" i="9" s="1"/>
  <c r="F327" i="9"/>
  <c r="G327" i="9" s="1"/>
  <c r="F326" i="9"/>
  <c r="G326" i="9" s="1"/>
  <c r="F325" i="9"/>
  <c r="G325" i="9" s="1"/>
  <c r="F324" i="9"/>
  <c r="G324" i="9" s="1"/>
  <c r="F323" i="9"/>
  <c r="G323" i="9" s="1"/>
  <c r="F322" i="9"/>
  <c r="G322" i="9" s="1"/>
  <c r="F321" i="9"/>
  <c r="G321" i="9" s="1"/>
  <c r="F320" i="9"/>
  <c r="G320" i="9" s="1"/>
  <c r="F319" i="9"/>
  <c r="G319" i="9" s="1"/>
  <c r="F318" i="9"/>
  <c r="G318" i="9" s="1"/>
  <c r="F317" i="9"/>
  <c r="G317" i="9" s="1"/>
  <c r="F316" i="9"/>
  <c r="G316" i="9" s="1"/>
  <c r="F315" i="9"/>
  <c r="G315" i="9" s="1"/>
  <c r="F314" i="9"/>
  <c r="G314" i="9" s="1"/>
  <c r="F313" i="9"/>
  <c r="G313" i="9" s="1"/>
  <c r="F312" i="9"/>
  <c r="G312" i="9" s="1"/>
  <c r="F311" i="9"/>
  <c r="G311" i="9" s="1"/>
  <c r="F310" i="9"/>
  <c r="G310" i="9" s="1"/>
  <c r="F309" i="9"/>
  <c r="G309" i="9" s="1"/>
  <c r="F308" i="9"/>
  <c r="G308" i="9" s="1"/>
  <c r="F307" i="9"/>
  <c r="G307" i="9" s="1"/>
  <c r="F306" i="9"/>
  <c r="G306" i="9" s="1"/>
  <c r="F305" i="9"/>
  <c r="G305" i="9" s="1"/>
  <c r="F304" i="9"/>
  <c r="G304" i="9" s="1"/>
  <c r="F303" i="9"/>
  <c r="G303" i="9" s="1"/>
  <c r="F302" i="9"/>
  <c r="G302" i="9" s="1"/>
  <c r="F301" i="9"/>
  <c r="G301" i="9" s="1"/>
  <c r="F300" i="9"/>
  <c r="G300" i="9" s="1"/>
  <c r="F299" i="9"/>
  <c r="G299" i="9" s="1"/>
  <c r="F362" i="10"/>
  <c r="G362" i="10" s="1"/>
  <c r="F361" i="10"/>
  <c r="G361" i="10" s="1"/>
  <c r="F360" i="10"/>
  <c r="G360" i="10" s="1"/>
  <c r="F359" i="10"/>
  <c r="G359" i="10" s="1"/>
  <c r="F358" i="10"/>
  <c r="G358" i="10" s="1"/>
  <c r="F357" i="10"/>
  <c r="G357" i="10" s="1"/>
  <c r="F356" i="10"/>
  <c r="G356" i="10" s="1"/>
  <c r="F355" i="10"/>
  <c r="G355" i="10" s="1"/>
  <c r="F354" i="10"/>
  <c r="G354" i="10" s="1"/>
  <c r="F353" i="10"/>
  <c r="G353" i="10" s="1"/>
  <c r="F352" i="10"/>
  <c r="G352" i="10" s="1"/>
  <c r="F351" i="10"/>
  <c r="G351" i="10" s="1"/>
  <c r="F350" i="10"/>
  <c r="G350" i="10" s="1"/>
  <c r="F349" i="10"/>
  <c r="G349" i="10" s="1"/>
  <c r="F348" i="10"/>
  <c r="G348" i="10" s="1"/>
  <c r="F347" i="10"/>
  <c r="G347" i="10" s="1"/>
  <c r="F346" i="10"/>
  <c r="G346" i="10" s="1"/>
  <c r="F345" i="10"/>
  <c r="G345" i="10" s="1"/>
  <c r="F344" i="10"/>
  <c r="G344" i="10" s="1"/>
  <c r="F343" i="10"/>
  <c r="G343" i="10" s="1"/>
  <c r="F342" i="10"/>
  <c r="G342" i="10" s="1"/>
  <c r="F341" i="10"/>
  <c r="G341" i="10" s="1"/>
  <c r="F340" i="10"/>
  <c r="G340" i="10" s="1"/>
  <c r="F339" i="10"/>
  <c r="G339" i="10" s="1"/>
  <c r="F338" i="10"/>
  <c r="G338" i="10" s="1"/>
  <c r="F337" i="10"/>
  <c r="G337" i="10" s="1"/>
  <c r="F336" i="10"/>
  <c r="G336" i="10" s="1"/>
  <c r="F335" i="10"/>
  <c r="G335" i="10" s="1"/>
  <c r="F334" i="10"/>
  <c r="G334" i="10" s="1"/>
  <c r="F333" i="10"/>
  <c r="G333" i="10" s="1"/>
  <c r="F332" i="10"/>
  <c r="G332" i="10" s="1"/>
  <c r="F331" i="10"/>
  <c r="G331" i="10" s="1"/>
  <c r="F330" i="10"/>
  <c r="G330" i="10" s="1"/>
  <c r="F329" i="10"/>
  <c r="G329" i="10" s="1"/>
  <c r="F328" i="10"/>
  <c r="G328" i="10" s="1"/>
  <c r="F327" i="10"/>
  <c r="G327" i="10" s="1"/>
  <c r="F326" i="10"/>
  <c r="G326" i="10" s="1"/>
  <c r="F325" i="10"/>
  <c r="G325" i="10" s="1"/>
  <c r="F324" i="10"/>
  <c r="G324" i="10" s="1"/>
  <c r="F323" i="10"/>
  <c r="G323" i="10" s="1"/>
  <c r="F322" i="10"/>
  <c r="G322" i="10" s="1"/>
  <c r="F321" i="10"/>
  <c r="G321" i="10" s="1"/>
  <c r="F320" i="10"/>
  <c r="G320" i="10" s="1"/>
  <c r="F319" i="10"/>
  <c r="G319" i="10" s="1"/>
  <c r="F318" i="10"/>
  <c r="G318" i="10" s="1"/>
  <c r="F317" i="10"/>
  <c r="G317" i="10" s="1"/>
  <c r="F316" i="10"/>
  <c r="G316" i="10" s="1"/>
  <c r="F315" i="10"/>
  <c r="G315" i="10" s="1"/>
  <c r="F314" i="10"/>
  <c r="G314" i="10" s="1"/>
  <c r="F313" i="10"/>
  <c r="G313" i="10" s="1"/>
  <c r="F312" i="10"/>
  <c r="G312" i="10" s="1"/>
  <c r="F311" i="10"/>
  <c r="G311" i="10" s="1"/>
  <c r="F310" i="10"/>
  <c r="G310" i="10" s="1"/>
  <c r="F309" i="10"/>
  <c r="G309" i="10" s="1"/>
  <c r="F308" i="10"/>
  <c r="G308" i="10" s="1"/>
  <c r="F307" i="10"/>
  <c r="G307" i="10" s="1"/>
  <c r="F306" i="10"/>
  <c r="G306" i="10" s="1"/>
  <c r="F305" i="10"/>
  <c r="G305" i="10" s="1"/>
  <c r="F304" i="10"/>
  <c r="G304" i="10" s="1"/>
  <c r="F303" i="10"/>
  <c r="G303" i="10" s="1"/>
  <c r="F302" i="10"/>
  <c r="G302" i="10" s="1"/>
  <c r="F301" i="10"/>
  <c r="G301" i="10" s="1"/>
  <c r="F300" i="10"/>
  <c r="G300" i="10" s="1"/>
  <c r="F299" i="10"/>
  <c r="G299" i="10" s="1"/>
  <c r="F362" i="11"/>
  <c r="G362" i="11" s="1"/>
  <c r="F361" i="11"/>
  <c r="G361" i="11" s="1"/>
  <c r="F360" i="11"/>
  <c r="G360" i="11" s="1"/>
  <c r="F359" i="11"/>
  <c r="G359" i="11" s="1"/>
  <c r="F358" i="11"/>
  <c r="G358" i="11" s="1"/>
  <c r="F357" i="11"/>
  <c r="G357" i="11" s="1"/>
  <c r="F356" i="11"/>
  <c r="G356" i="11" s="1"/>
  <c r="F355" i="11"/>
  <c r="G355" i="11" s="1"/>
  <c r="F354" i="11"/>
  <c r="G354" i="11" s="1"/>
  <c r="F353" i="11"/>
  <c r="G353" i="11" s="1"/>
  <c r="F352" i="11"/>
  <c r="G352" i="11" s="1"/>
  <c r="F351" i="11"/>
  <c r="G351" i="11" s="1"/>
  <c r="F350" i="11"/>
  <c r="G350" i="11" s="1"/>
  <c r="F349" i="11"/>
  <c r="G349" i="11" s="1"/>
  <c r="F348" i="11"/>
  <c r="G348" i="11" s="1"/>
  <c r="F347" i="11"/>
  <c r="G347" i="11" s="1"/>
  <c r="F346" i="11"/>
  <c r="G346" i="11" s="1"/>
  <c r="F345" i="11"/>
  <c r="G345" i="11" s="1"/>
  <c r="F344" i="11"/>
  <c r="G344" i="11" s="1"/>
  <c r="F343" i="11"/>
  <c r="G343" i="11" s="1"/>
  <c r="F342" i="11"/>
  <c r="G342" i="11" s="1"/>
  <c r="F341" i="11"/>
  <c r="G341" i="11" s="1"/>
  <c r="F340" i="11"/>
  <c r="G340" i="11" s="1"/>
  <c r="F339" i="11"/>
  <c r="G339" i="11" s="1"/>
  <c r="F338" i="11"/>
  <c r="G338" i="11" s="1"/>
  <c r="F337" i="11"/>
  <c r="G337" i="11" s="1"/>
  <c r="F336" i="11"/>
  <c r="G336" i="11" s="1"/>
  <c r="F335" i="11"/>
  <c r="G335" i="11" s="1"/>
  <c r="F334" i="11"/>
  <c r="G334" i="11" s="1"/>
  <c r="F333" i="11"/>
  <c r="G333" i="11" s="1"/>
  <c r="F332" i="11"/>
  <c r="G332" i="11" s="1"/>
  <c r="F331" i="11"/>
  <c r="G331" i="11" s="1"/>
  <c r="F330" i="11"/>
  <c r="G330" i="11" s="1"/>
  <c r="F329" i="11"/>
  <c r="G329" i="11" s="1"/>
  <c r="F328" i="11"/>
  <c r="G328" i="11" s="1"/>
  <c r="F327" i="11"/>
  <c r="G327" i="11" s="1"/>
  <c r="F326" i="11"/>
  <c r="G326" i="11" s="1"/>
  <c r="F325" i="11"/>
  <c r="G325" i="11" s="1"/>
  <c r="F324" i="11"/>
  <c r="G324" i="11" s="1"/>
  <c r="F323" i="11"/>
  <c r="G323" i="11" s="1"/>
  <c r="F322" i="11"/>
  <c r="G322" i="11" s="1"/>
  <c r="F321" i="11"/>
  <c r="G321" i="11" s="1"/>
  <c r="F320" i="11"/>
  <c r="G320" i="11" s="1"/>
  <c r="F319" i="11"/>
  <c r="G319" i="11" s="1"/>
  <c r="F318" i="11"/>
  <c r="G318" i="11" s="1"/>
  <c r="F317" i="11"/>
  <c r="G317" i="11" s="1"/>
  <c r="F316" i="11"/>
  <c r="G316" i="11" s="1"/>
  <c r="F315" i="11"/>
  <c r="G315" i="11" s="1"/>
  <c r="F314" i="11"/>
  <c r="G314" i="11" s="1"/>
  <c r="F313" i="11"/>
  <c r="G313" i="11" s="1"/>
  <c r="F312" i="11"/>
  <c r="G312" i="11" s="1"/>
  <c r="F311" i="11"/>
  <c r="G311" i="11" s="1"/>
  <c r="F310" i="11"/>
  <c r="G310" i="11" s="1"/>
  <c r="F309" i="11"/>
  <c r="G309" i="11" s="1"/>
  <c r="F308" i="11"/>
  <c r="G308" i="11" s="1"/>
  <c r="F307" i="11"/>
  <c r="G307" i="11" s="1"/>
  <c r="F306" i="11"/>
  <c r="G306" i="11" s="1"/>
  <c r="F305" i="11"/>
  <c r="G305" i="11" s="1"/>
  <c r="F304" i="11"/>
  <c r="G304" i="11" s="1"/>
  <c r="F303" i="11"/>
  <c r="G303" i="11" s="1"/>
  <c r="F302" i="11"/>
  <c r="G302" i="11" s="1"/>
  <c r="F301" i="11"/>
  <c r="G301" i="11" s="1"/>
  <c r="F300" i="11"/>
  <c r="G300" i="11" s="1"/>
  <c r="F299" i="11"/>
  <c r="G299" i="11" s="1"/>
  <c r="F362" i="12" l="1"/>
  <c r="G362" i="12" s="1"/>
  <c r="F361" i="12"/>
  <c r="G361" i="12" s="1"/>
  <c r="F360" i="12"/>
  <c r="G360" i="12" s="1"/>
  <c r="F359" i="12"/>
  <c r="G359" i="12" s="1"/>
  <c r="F358" i="12"/>
  <c r="G358" i="12" s="1"/>
  <c r="F357" i="12"/>
  <c r="G357" i="12" s="1"/>
  <c r="F356" i="12"/>
  <c r="G356" i="12" s="1"/>
  <c r="F355" i="12"/>
  <c r="G355" i="12" s="1"/>
  <c r="F354" i="12"/>
  <c r="G354" i="12" s="1"/>
  <c r="F353" i="12"/>
  <c r="G353" i="12" s="1"/>
  <c r="F352" i="12"/>
  <c r="G352" i="12" s="1"/>
  <c r="F351" i="12"/>
  <c r="G351" i="12" s="1"/>
  <c r="F350" i="12"/>
  <c r="G350" i="12" s="1"/>
  <c r="F349" i="12"/>
  <c r="G349" i="12" s="1"/>
  <c r="F348" i="12"/>
  <c r="G348" i="12" s="1"/>
  <c r="F347" i="12"/>
  <c r="G347" i="12" s="1"/>
  <c r="F346" i="12"/>
  <c r="G346" i="12" s="1"/>
  <c r="F345" i="12"/>
  <c r="G345" i="12" s="1"/>
  <c r="F344" i="12"/>
  <c r="G344" i="12" s="1"/>
  <c r="F343" i="12"/>
  <c r="G343" i="12" s="1"/>
  <c r="F342" i="12"/>
  <c r="G342" i="12" s="1"/>
  <c r="F341" i="12"/>
  <c r="G341" i="12" s="1"/>
  <c r="F340" i="12"/>
  <c r="G340" i="12" s="1"/>
  <c r="F339" i="12"/>
  <c r="G339" i="12" s="1"/>
  <c r="F338" i="12"/>
  <c r="G338" i="12" s="1"/>
  <c r="F337" i="12"/>
  <c r="G337" i="12" s="1"/>
  <c r="F336" i="12"/>
  <c r="G336" i="12" s="1"/>
  <c r="F335" i="12"/>
  <c r="G335" i="12" s="1"/>
  <c r="F334" i="12"/>
  <c r="G334" i="12" s="1"/>
  <c r="F333" i="12"/>
  <c r="G333" i="12" s="1"/>
  <c r="F332" i="12"/>
  <c r="G332" i="12" s="1"/>
  <c r="F331" i="12"/>
  <c r="G331" i="12" s="1"/>
  <c r="F330" i="12"/>
  <c r="G330" i="12" s="1"/>
  <c r="F329" i="12"/>
  <c r="G329" i="12" s="1"/>
  <c r="F328" i="12"/>
  <c r="G328" i="12" s="1"/>
  <c r="F327" i="12"/>
  <c r="G327" i="12" s="1"/>
  <c r="F326" i="12"/>
  <c r="G326" i="12" s="1"/>
  <c r="F325" i="12"/>
  <c r="G325" i="12" s="1"/>
  <c r="F324" i="12"/>
  <c r="G324" i="12" s="1"/>
  <c r="F323" i="12"/>
  <c r="G323" i="12" s="1"/>
  <c r="F322" i="12"/>
  <c r="G322" i="12" s="1"/>
  <c r="F321" i="12"/>
  <c r="G321" i="12" s="1"/>
  <c r="F320" i="12"/>
  <c r="G320" i="12" s="1"/>
  <c r="F319" i="12"/>
  <c r="G319" i="12" s="1"/>
  <c r="F318" i="12"/>
  <c r="G318" i="12" s="1"/>
  <c r="F317" i="12"/>
  <c r="G317" i="12" s="1"/>
  <c r="F316" i="12"/>
  <c r="G316" i="12" s="1"/>
  <c r="F315" i="12"/>
  <c r="G315" i="12" s="1"/>
  <c r="F314" i="12"/>
  <c r="G314" i="12" s="1"/>
  <c r="F313" i="12"/>
  <c r="G313" i="12" s="1"/>
  <c r="F312" i="12"/>
  <c r="G312" i="12" s="1"/>
  <c r="F311" i="12"/>
  <c r="G311" i="12" s="1"/>
  <c r="F310" i="12"/>
  <c r="G310" i="12" s="1"/>
  <c r="F309" i="12"/>
  <c r="G309" i="12" s="1"/>
  <c r="F308" i="12"/>
  <c r="G308" i="12" s="1"/>
  <c r="F307" i="12"/>
  <c r="G307" i="12" s="1"/>
  <c r="F306" i="12"/>
  <c r="G306" i="12" s="1"/>
  <c r="F305" i="12"/>
  <c r="G305" i="12" s="1"/>
  <c r="F304" i="12"/>
  <c r="G304" i="12" s="1"/>
  <c r="F303" i="12"/>
  <c r="G303" i="12" s="1"/>
  <c r="F302" i="12"/>
  <c r="G302" i="12" s="1"/>
  <c r="F301" i="12"/>
  <c r="G301" i="12" s="1"/>
  <c r="F300" i="12"/>
  <c r="G300" i="12" s="1"/>
  <c r="F299" i="12"/>
  <c r="G299" i="12" s="1"/>
  <c r="F298" i="12" l="1"/>
  <c r="G298" i="12" s="1"/>
  <c r="F297" i="12"/>
  <c r="G297" i="12" s="1"/>
  <c r="F296" i="12"/>
  <c r="G296" i="12" s="1"/>
  <c r="F295" i="12"/>
  <c r="G295" i="12" s="1"/>
  <c r="F294" i="12"/>
  <c r="G294" i="12" s="1"/>
  <c r="F293" i="12"/>
  <c r="G293" i="12" s="1"/>
  <c r="F292" i="12"/>
  <c r="G292" i="12" s="1"/>
  <c r="F291" i="12"/>
  <c r="G291" i="12" s="1"/>
  <c r="F290" i="12"/>
  <c r="G290" i="12" s="1"/>
  <c r="F289" i="12"/>
  <c r="G289" i="12" s="1"/>
  <c r="F288" i="12"/>
  <c r="G288" i="12" s="1"/>
  <c r="F287" i="12"/>
  <c r="G287" i="12" s="1"/>
  <c r="F286" i="12"/>
  <c r="G286" i="12" s="1"/>
  <c r="F285" i="12"/>
  <c r="G285" i="12" s="1"/>
  <c r="F284" i="12"/>
  <c r="G284" i="12" s="1"/>
  <c r="F283" i="12"/>
  <c r="G283" i="12" s="1"/>
  <c r="F282" i="12"/>
  <c r="G282" i="12" s="1"/>
  <c r="F281" i="12"/>
  <c r="G281" i="12" s="1"/>
  <c r="F280" i="12"/>
  <c r="G280" i="12" s="1"/>
  <c r="F279" i="12"/>
  <c r="G279" i="12" s="1"/>
  <c r="F278" i="12"/>
  <c r="G278" i="12" s="1"/>
  <c r="F277" i="12"/>
  <c r="G277" i="12" s="1"/>
  <c r="F276" i="12"/>
  <c r="G276" i="12" s="1"/>
  <c r="F275" i="12"/>
  <c r="G275" i="12" s="1"/>
  <c r="F274" i="12"/>
  <c r="G274" i="12" s="1"/>
  <c r="F273" i="12"/>
  <c r="G273" i="12" s="1"/>
  <c r="F272" i="12"/>
  <c r="G272" i="12" s="1"/>
  <c r="F271" i="12"/>
  <c r="G271" i="12" s="1"/>
  <c r="F270" i="12"/>
  <c r="G270" i="12" s="1"/>
  <c r="F269" i="12"/>
  <c r="G269" i="12" s="1"/>
  <c r="F268" i="12"/>
  <c r="G268" i="12" s="1"/>
  <c r="F267" i="12"/>
  <c r="G267" i="12" s="1"/>
  <c r="F266" i="12"/>
  <c r="G266" i="12" s="1"/>
  <c r="F265" i="12"/>
  <c r="G265" i="12" s="1"/>
  <c r="F264" i="12"/>
  <c r="G264" i="12" s="1"/>
  <c r="F263" i="12"/>
  <c r="G263" i="12" s="1"/>
  <c r="F262" i="12"/>
  <c r="G262" i="12" s="1"/>
  <c r="F261" i="12"/>
  <c r="G261" i="12" s="1"/>
  <c r="F260" i="12"/>
  <c r="G260" i="12" s="1"/>
  <c r="F259" i="12"/>
  <c r="G259" i="12" s="1"/>
  <c r="F258" i="12"/>
  <c r="G258" i="12" s="1"/>
  <c r="F257" i="12"/>
  <c r="G257" i="12" s="1"/>
  <c r="F256" i="12"/>
  <c r="G256" i="12" s="1"/>
  <c r="F255" i="12"/>
  <c r="G255" i="12" s="1"/>
  <c r="F254" i="12"/>
  <c r="G254" i="12" s="1"/>
  <c r="F253" i="12"/>
  <c r="G253" i="12" s="1"/>
  <c r="F252" i="12"/>
  <c r="G252" i="12" s="1"/>
  <c r="F251" i="12"/>
  <c r="G251" i="12" s="1"/>
  <c r="F250" i="12"/>
  <c r="G250" i="12" s="1"/>
  <c r="F249" i="12"/>
  <c r="G249" i="12" s="1"/>
  <c r="F248" i="12"/>
  <c r="G248" i="12" s="1"/>
  <c r="F247" i="12"/>
  <c r="G247" i="12" s="1"/>
  <c r="F246" i="12"/>
  <c r="G246" i="12" s="1"/>
  <c r="F245" i="12"/>
  <c r="G245" i="12" s="1"/>
  <c r="F244" i="12"/>
  <c r="G244" i="12" s="1"/>
  <c r="F243" i="12"/>
  <c r="G243" i="12" s="1"/>
  <c r="F242" i="12"/>
  <c r="G242" i="12" s="1"/>
  <c r="F241" i="12"/>
  <c r="G241" i="12" s="1"/>
  <c r="F240" i="12"/>
  <c r="G240" i="12" s="1"/>
  <c r="F239" i="12"/>
  <c r="G239" i="12" s="1"/>
  <c r="F238" i="12"/>
  <c r="G238" i="12" s="1"/>
  <c r="F237" i="12"/>
  <c r="G237" i="12" s="1"/>
  <c r="F236" i="12"/>
  <c r="G236" i="12" s="1"/>
  <c r="F235" i="12"/>
  <c r="G235" i="12" s="1"/>
  <c r="F234" i="12"/>
  <c r="G234" i="12" s="1"/>
  <c r="F233" i="12"/>
  <c r="G233" i="12" s="1"/>
  <c r="F232" i="12"/>
  <c r="G232" i="12" s="1"/>
  <c r="F231" i="12"/>
  <c r="G231" i="12" s="1"/>
  <c r="F230" i="12"/>
  <c r="G230" i="12" s="1"/>
  <c r="F229" i="12"/>
  <c r="G229" i="12" s="1"/>
  <c r="F228" i="12"/>
  <c r="G228" i="12" s="1"/>
  <c r="F227" i="12"/>
  <c r="G227" i="12" s="1"/>
  <c r="F226" i="12"/>
  <c r="G226" i="12" s="1"/>
  <c r="F225" i="12"/>
  <c r="G225" i="12" s="1"/>
  <c r="F224" i="12"/>
  <c r="G224" i="12" s="1"/>
  <c r="F223" i="12"/>
  <c r="G223" i="12" s="1"/>
  <c r="F222" i="12"/>
  <c r="G222" i="12" s="1"/>
  <c r="F221" i="12"/>
  <c r="G221" i="12" s="1"/>
  <c r="F220" i="12"/>
  <c r="G220" i="12" s="1"/>
  <c r="F219" i="12"/>
  <c r="G219" i="12" s="1"/>
  <c r="F218" i="12"/>
  <c r="G218" i="12" s="1"/>
  <c r="F217" i="12"/>
  <c r="G217" i="12" s="1"/>
  <c r="F216" i="12"/>
  <c r="G216" i="12" s="1"/>
  <c r="F215" i="12"/>
  <c r="G215" i="12" s="1"/>
  <c r="F214" i="12"/>
  <c r="G214" i="12" s="1"/>
  <c r="F213" i="12"/>
  <c r="G213" i="12" s="1"/>
  <c r="F212" i="12"/>
  <c r="G212" i="12" s="1"/>
  <c r="F211" i="12"/>
  <c r="G211" i="12" s="1"/>
  <c r="F210" i="12"/>
  <c r="G210" i="12" s="1"/>
  <c r="F209" i="12"/>
  <c r="G209" i="12" s="1"/>
  <c r="F208" i="12"/>
  <c r="G208" i="12" s="1"/>
  <c r="F207" i="12"/>
  <c r="G207" i="12" s="1"/>
  <c r="F206" i="12"/>
  <c r="G206" i="12" s="1"/>
  <c r="F205" i="12"/>
  <c r="G205" i="12" s="1"/>
  <c r="F204" i="12"/>
  <c r="G204" i="12" s="1"/>
  <c r="F203" i="12"/>
  <c r="G203" i="12" s="1"/>
  <c r="F202" i="12"/>
  <c r="G202" i="12" s="1"/>
  <c r="F201" i="12"/>
  <c r="G201" i="12" s="1"/>
  <c r="F200" i="12"/>
  <c r="G200" i="12" s="1"/>
  <c r="F199" i="12"/>
  <c r="G199" i="12" s="1"/>
  <c r="F198" i="12"/>
  <c r="G198" i="12" s="1"/>
  <c r="F197" i="12"/>
  <c r="G197" i="12" s="1"/>
  <c r="F196" i="12"/>
  <c r="G196" i="12" s="1"/>
  <c r="F195" i="12"/>
  <c r="G195" i="12" s="1"/>
  <c r="F194" i="12"/>
  <c r="G194" i="12" s="1"/>
  <c r="F193" i="12"/>
  <c r="G193" i="12" s="1"/>
  <c r="F192" i="12"/>
  <c r="G192" i="12" s="1"/>
  <c r="F191" i="12"/>
  <c r="G191" i="12" s="1"/>
  <c r="F190" i="12"/>
  <c r="G190" i="12" s="1"/>
  <c r="F189" i="12"/>
  <c r="G189" i="12" s="1"/>
  <c r="F188" i="12"/>
  <c r="G188" i="12" s="1"/>
  <c r="F187" i="12"/>
  <c r="G187" i="12" s="1"/>
  <c r="F186" i="12"/>
  <c r="G186" i="12" s="1"/>
  <c r="F185" i="12"/>
  <c r="G185" i="12" s="1"/>
  <c r="F184" i="12"/>
  <c r="G184" i="12" s="1"/>
  <c r="F183" i="12"/>
  <c r="G183" i="12" s="1"/>
  <c r="F182" i="12"/>
  <c r="G182" i="12" s="1"/>
  <c r="F181" i="12"/>
  <c r="G181" i="12" s="1"/>
  <c r="F180" i="12"/>
  <c r="G180" i="12" s="1"/>
  <c r="F179" i="12"/>
  <c r="G179" i="12" s="1"/>
  <c r="F178" i="12"/>
  <c r="G178" i="12" s="1"/>
  <c r="F177" i="12"/>
  <c r="G177" i="12" s="1"/>
  <c r="F176" i="12"/>
  <c r="G176" i="12" s="1"/>
  <c r="F175" i="12"/>
  <c r="G175" i="12" s="1"/>
  <c r="F174" i="12"/>
  <c r="G174" i="12" s="1"/>
  <c r="F173" i="12"/>
  <c r="G173" i="12" s="1"/>
  <c r="F172" i="12"/>
  <c r="G172" i="12" s="1"/>
  <c r="F171" i="12"/>
  <c r="G171" i="12" s="1"/>
  <c r="F170" i="12"/>
  <c r="G170" i="12" s="1"/>
  <c r="F169" i="12"/>
  <c r="G169" i="12" s="1"/>
  <c r="F168" i="12"/>
  <c r="G168" i="12" s="1"/>
  <c r="F167" i="12"/>
  <c r="G167" i="12" s="1"/>
  <c r="F166" i="12"/>
  <c r="G166" i="12" s="1"/>
  <c r="F165" i="12"/>
  <c r="G165" i="12" s="1"/>
  <c r="F164" i="12"/>
  <c r="G164" i="12" s="1"/>
  <c r="F163" i="12"/>
  <c r="G163" i="12" s="1"/>
  <c r="F162" i="12"/>
  <c r="G162" i="12" s="1"/>
  <c r="F161" i="12"/>
  <c r="G161" i="12" s="1"/>
  <c r="F160" i="12"/>
  <c r="G160" i="12" s="1"/>
  <c r="F159" i="12"/>
  <c r="G159" i="12" s="1"/>
  <c r="F158" i="12"/>
  <c r="G158" i="12" s="1"/>
  <c r="F157" i="12"/>
  <c r="G157" i="12" s="1"/>
  <c r="F156" i="12"/>
  <c r="G156" i="12" s="1"/>
  <c r="F155" i="12"/>
  <c r="G155" i="12" s="1"/>
  <c r="F154" i="12"/>
  <c r="G154" i="12" s="1"/>
  <c r="F153" i="12"/>
  <c r="G153" i="12" s="1"/>
  <c r="F152" i="12"/>
  <c r="G152" i="12" s="1"/>
  <c r="F151" i="12"/>
  <c r="G151" i="12" s="1"/>
  <c r="F150" i="12"/>
  <c r="G150" i="12" s="1"/>
  <c r="F149" i="12"/>
  <c r="G149" i="12" s="1"/>
  <c r="F148" i="12"/>
  <c r="G148" i="12" s="1"/>
  <c r="F147" i="12"/>
  <c r="G147" i="12" s="1"/>
  <c r="F146" i="12"/>
  <c r="G146" i="12" s="1"/>
  <c r="F145" i="12"/>
  <c r="G145" i="12" s="1"/>
  <c r="F144" i="12"/>
  <c r="G144" i="12" s="1"/>
  <c r="F143" i="12"/>
  <c r="G143" i="12" s="1"/>
  <c r="F142" i="12"/>
  <c r="G142" i="12" s="1"/>
  <c r="F141" i="12"/>
  <c r="G141" i="12" s="1"/>
  <c r="F140" i="12"/>
  <c r="G140" i="12" s="1"/>
  <c r="F139" i="12"/>
  <c r="G139" i="12" s="1"/>
  <c r="F138" i="12"/>
  <c r="G138" i="12" s="1"/>
  <c r="F137" i="12"/>
  <c r="G137" i="12" s="1"/>
  <c r="F136" i="12"/>
  <c r="G136" i="12" s="1"/>
  <c r="F135" i="12"/>
  <c r="G135" i="12" s="1"/>
  <c r="F134" i="12"/>
  <c r="G134" i="12" s="1"/>
  <c r="F133" i="12"/>
  <c r="G133" i="12" s="1"/>
  <c r="F132" i="12"/>
  <c r="G132" i="12" s="1"/>
  <c r="F131" i="12"/>
  <c r="G131" i="12" s="1"/>
  <c r="F130" i="12"/>
  <c r="G130" i="12" s="1"/>
  <c r="F129" i="12"/>
  <c r="G129" i="12" s="1"/>
  <c r="F128" i="12"/>
  <c r="G128" i="12" s="1"/>
  <c r="F127" i="12"/>
  <c r="G127" i="12" s="1"/>
  <c r="F126" i="12"/>
  <c r="G126" i="12" s="1"/>
  <c r="F125" i="12"/>
  <c r="G125" i="12" s="1"/>
  <c r="F124" i="12"/>
  <c r="G124" i="12" s="1"/>
  <c r="F123" i="12"/>
  <c r="G123" i="12" s="1"/>
  <c r="F122" i="12"/>
  <c r="G122" i="12" s="1"/>
  <c r="F121" i="12"/>
  <c r="G121" i="12" s="1"/>
  <c r="F120" i="12"/>
  <c r="G120" i="12" s="1"/>
  <c r="F119" i="12"/>
  <c r="G119" i="12" s="1"/>
  <c r="F118" i="12"/>
  <c r="G118" i="12" s="1"/>
  <c r="F117" i="12"/>
  <c r="G117" i="12" s="1"/>
  <c r="F116" i="12"/>
  <c r="G116" i="12" s="1"/>
  <c r="F115" i="12"/>
  <c r="G115" i="12" s="1"/>
  <c r="F114" i="12"/>
  <c r="G114" i="12" s="1"/>
  <c r="F113" i="12"/>
  <c r="G113" i="12" s="1"/>
  <c r="F112" i="12"/>
  <c r="G112" i="12" s="1"/>
  <c r="F111" i="12"/>
  <c r="G111" i="12" s="1"/>
  <c r="F110" i="12"/>
  <c r="G110" i="12" s="1"/>
  <c r="F109" i="12"/>
  <c r="G109" i="12" s="1"/>
  <c r="F108" i="12"/>
  <c r="G108" i="12" s="1"/>
  <c r="F107" i="12"/>
  <c r="G107" i="12" s="1"/>
  <c r="F106" i="12"/>
  <c r="G106" i="12" s="1"/>
  <c r="F105" i="12"/>
  <c r="G105" i="12" s="1"/>
  <c r="F104" i="12"/>
  <c r="G104" i="12" s="1"/>
  <c r="F103" i="12"/>
  <c r="G103" i="12" s="1"/>
  <c r="F102" i="12"/>
  <c r="G102" i="12" s="1"/>
  <c r="F101" i="12"/>
  <c r="G101" i="12" s="1"/>
  <c r="F100" i="12"/>
  <c r="G100" i="12" s="1"/>
  <c r="F99" i="12"/>
  <c r="G99" i="12" s="1"/>
  <c r="F98" i="12"/>
  <c r="G98" i="12" s="1"/>
  <c r="F97" i="12"/>
  <c r="G97" i="12" s="1"/>
  <c r="F96" i="12"/>
  <c r="G96" i="12" s="1"/>
  <c r="F95" i="12"/>
  <c r="G95" i="12" s="1"/>
  <c r="F94" i="12"/>
  <c r="G94" i="12" s="1"/>
  <c r="F93" i="12"/>
  <c r="G93" i="12" s="1"/>
  <c r="F92" i="12"/>
  <c r="G92" i="12" s="1"/>
  <c r="F91" i="12"/>
  <c r="G91" i="12" s="1"/>
  <c r="F90" i="12"/>
  <c r="G90" i="12" s="1"/>
  <c r="F89" i="12"/>
  <c r="G89" i="12" s="1"/>
  <c r="F88" i="12"/>
  <c r="G88" i="12" s="1"/>
  <c r="F87" i="12"/>
  <c r="G87" i="12" s="1"/>
  <c r="F86" i="12"/>
  <c r="G86" i="12" s="1"/>
  <c r="F85" i="12"/>
  <c r="G85" i="12" s="1"/>
  <c r="F84" i="12"/>
  <c r="G84" i="12" s="1"/>
  <c r="F83" i="12"/>
  <c r="G83" i="12" s="1"/>
  <c r="F82" i="12"/>
  <c r="G82" i="12" s="1"/>
  <c r="F81" i="12"/>
  <c r="G81" i="12" s="1"/>
  <c r="F80" i="12"/>
  <c r="G80" i="12" s="1"/>
  <c r="F79" i="12"/>
  <c r="G79" i="12" s="1"/>
  <c r="F78" i="12"/>
  <c r="G78" i="12" s="1"/>
  <c r="F77" i="12"/>
  <c r="G77" i="12" s="1"/>
  <c r="F76" i="12"/>
  <c r="G76" i="12" s="1"/>
  <c r="F75" i="12"/>
  <c r="G75" i="12" s="1"/>
  <c r="F74" i="12"/>
  <c r="G74" i="12" s="1"/>
  <c r="F73" i="12"/>
  <c r="G73" i="12" s="1"/>
  <c r="F72" i="12"/>
  <c r="G72" i="12" s="1"/>
  <c r="F71" i="12"/>
  <c r="G71" i="12" s="1"/>
  <c r="F70" i="12"/>
  <c r="G70" i="12" s="1"/>
  <c r="F69" i="12"/>
  <c r="G69" i="12" s="1"/>
  <c r="F68" i="12"/>
  <c r="G68" i="12" s="1"/>
  <c r="F67" i="12"/>
  <c r="G67" i="12" s="1"/>
  <c r="F66" i="12"/>
  <c r="G66" i="12" s="1"/>
  <c r="F65" i="12"/>
  <c r="G65" i="12" s="1"/>
  <c r="F64" i="12"/>
  <c r="G64" i="12" s="1"/>
  <c r="F63" i="12"/>
  <c r="G63" i="12" s="1"/>
  <c r="F62" i="12"/>
  <c r="G62" i="12" s="1"/>
  <c r="F61" i="12"/>
  <c r="G61" i="12" s="1"/>
  <c r="F60" i="12"/>
  <c r="G60" i="12" s="1"/>
  <c r="F59" i="12"/>
  <c r="G59" i="12" s="1"/>
  <c r="F58" i="12"/>
  <c r="G58" i="12" s="1"/>
  <c r="F57" i="12"/>
  <c r="G57" i="12" s="1"/>
  <c r="F56" i="12"/>
  <c r="G56" i="12" s="1"/>
  <c r="F55" i="12"/>
  <c r="G55" i="12" s="1"/>
  <c r="F54" i="12"/>
  <c r="G54" i="12" s="1"/>
  <c r="F53" i="12"/>
  <c r="G53" i="12" s="1"/>
  <c r="F52" i="12"/>
  <c r="G52" i="12" s="1"/>
  <c r="F51" i="12"/>
  <c r="G51" i="12" s="1"/>
  <c r="F50" i="12"/>
  <c r="G50" i="12" s="1"/>
  <c r="F49" i="12"/>
  <c r="G49" i="12" s="1"/>
  <c r="F48" i="12"/>
  <c r="G48" i="12" s="1"/>
  <c r="F47" i="12"/>
  <c r="G47" i="12" s="1"/>
  <c r="F46" i="12"/>
  <c r="G46" i="12" s="1"/>
  <c r="F45" i="12"/>
  <c r="G45" i="12" s="1"/>
  <c r="F44" i="12"/>
  <c r="G44" i="12" s="1"/>
  <c r="F43" i="12"/>
  <c r="G43" i="12" s="1"/>
  <c r="F42" i="12"/>
  <c r="G42" i="12" s="1"/>
  <c r="F41" i="12"/>
  <c r="G41" i="12" s="1"/>
  <c r="F40" i="12"/>
  <c r="G40" i="12" s="1"/>
  <c r="F39" i="12"/>
  <c r="G39" i="12" s="1"/>
  <c r="F38" i="12"/>
  <c r="G38" i="12" s="1"/>
  <c r="F37" i="12"/>
  <c r="G37" i="12" s="1"/>
  <c r="F36" i="12"/>
  <c r="G36" i="12" s="1"/>
  <c r="F35" i="12"/>
  <c r="G35" i="12" s="1"/>
  <c r="F34" i="12"/>
  <c r="G34" i="12" s="1"/>
  <c r="F33" i="12"/>
  <c r="G33" i="12" s="1"/>
  <c r="F32" i="12"/>
  <c r="G32" i="12" s="1"/>
  <c r="F31" i="12"/>
  <c r="G31" i="12" s="1"/>
  <c r="F30" i="12"/>
  <c r="G30" i="12" s="1"/>
  <c r="F29" i="12"/>
  <c r="G29" i="12" s="1"/>
  <c r="F28" i="12"/>
  <c r="G28" i="12" s="1"/>
  <c r="F27" i="12"/>
  <c r="G27" i="12" s="1"/>
  <c r="F26" i="12"/>
  <c r="G26" i="12" s="1"/>
  <c r="F25" i="12"/>
  <c r="G25" i="12" s="1"/>
  <c r="F24" i="12"/>
  <c r="G24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F12" i="12"/>
  <c r="G12" i="12" s="1"/>
  <c r="F11" i="12"/>
  <c r="G11" i="12" s="1"/>
  <c r="F10" i="12"/>
  <c r="G10" i="12" s="1"/>
  <c r="F9" i="12"/>
  <c r="G9" i="12" s="1"/>
  <c r="F8" i="12"/>
  <c r="G8" i="12" s="1"/>
  <c r="F7" i="12"/>
  <c r="G7" i="12" s="1"/>
  <c r="F6" i="12"/>
  <c r="G6" i="12" s="1"/>
  <c r="F5" i="12"/>
  <c r="G5" i="12" s="1"/>
  <c r="F4" i="12"/>
  <c r="G4" i="12" s="1"/>
  <c r="F3" i="12"/>
  <c r="G3" i="12" s="1"/>
  <c r="F298" i="11"/>
  <c r="G298" i="11" s="1"/>
  <c r="F297" i="11"/>
  <c r="G297" i="11" s="1"/>
  <c r="F296" i="11"/>
  <c r="G296" i="11" s="1"/>
  <c r="F295" i="11"/>
  <c r="G295" i="11" s="1"/>
  <c r="F294" i="11"/>
  <c r="G294" i="11" s="1"/>
  <c r="F293" i="11"/>
  <c r="G293" i="11" s="1"/>
  <c r="F292" i="11"/>
  <c r="G292" i="11" s="1"/>
  <c r="F291" i="11"/>
  <c r="G291" i="11" s="1"/>
  <c r="F290" i="11"/>
  <c r="G290" i="11" s="1"/>
  <c r="F289" i="11"/>
  <c r="G289" i="11" s="1"/>
  <c r="F288" i="11"/>
  <c r="G288" i="11" s="1"/>
  <c r="F287" i="11"/>
  <c r="G287" i="11" s="1"/>
  <c r="F286" i="11"/>
  <c r="G286" i="11" s="1"/>
  <c r="F285" i="11"/>
  <c r="G285" i="11" s="1"/>
  <c r="F284" i="11"/>
  <c r="G284" i="11" s="1"/>
  <c r="F283" i="11"/>
  <c r="G283" i="11" s="1"/>
  <c r="F282" i="11"/>
  <c r="G282" i="11" s="1"/>
  <c r="F281" i="11"/>
  <c r="G281" i="11" s="1"/>
  <c r="F280" i="11"/>
  <c r="G280" i="11" s="1"/>
  <c r="F279" i="11"/>
  <c r="G279" i="11" s="1"/>
  <c r="F278" i="11"/>
  <c r="G278" i="11" s="1"/>
  <c r="F277" i="11"/>
  <c r="G277" i="11" s="1"/>
  <c r="F276" i="11"/>
  <c r="G276" i="11" s="1"/>
  <c r="F275" i="11"/>
  <c r="G275" i="11" s="1"/>
  <c r="F274" i="11"/>
  <c r="G274" i="11" s="1"/>
  <c r="F273" i="11"/>
  <c r="G273" i="11" s="1"/>
  <c r="F272" i="11"/>
  <c r="G272" i="11" s="1"/>
  <c r="F271" i="11"/>
  <c r="G271" i="11" s="1"/>
  <c r="F270" i="11"/>
  <c r="G270" i="11" s="1"/>
  <c r="F269" i="11"/>
  <c r="G269" i="11" s="1"/>
  <c r="F268" i="11"/>
  <c r="G268" i="11" s="1"/>
  <c r="F267" i="11"/>
  <c r="G267" i="11" s="1"/>
  <c r="F266" i="11"/>
  <c r="G266" i="11" s="1"/>
  <c r="F265" i="11"/>
  <c r="G265" i="11" s="1"/>
  <c r="F264" i="11"/>
  <c r="G264" i="11" s="1"/>
  <c r="F263" i="11"/>
  <c r="G263" i="11" s="1"/>
  <c r="F262" i="11"/>
  <c r="G262" i="11" s="1"/>
  <c r="F261" i="11"/>
  <c r="G261" i="11" s="1"/>
  <c r="F260" i="11"/>
  <c r="G260" i="11" s="1"/>
  <c r="F259" i="11"/>
  <c r="G259" i="11" s="1"/>
  <c r="F258" i="11"/>
  <c r="G258" i="11" s="1"/>
  <c r="F257" i="11"/>
  <c r="G257" i="11" s="1"/>
  <c r="F256" i="11"/>
  <c r="G256" i="11" s="1"/>
  <c r="F255" i="11"/>
  <c r="G255" i="11" s="1"/>
  <c r="F254" i="11"/>
  <c r="G254" i="11" s="1"/>
  <c r="F253" i="11"/>
  <c r="G253" i="11" s="1"/>
  <c r="F252" i="11"/>
  <c r="G252" i="11" s="1"/>
  <c r="F251" i="11"/>
  <c r="G251" i="11" s="1"/>
  <c r="F250" i="11"/>
  <c r="G250" i="11" s="1"/>
  <c r="F249" i="11"/>
  <c r="G249" i="11" s="1"/>
  <c r="F248" i="11"/>
  <c r="G248" i="11" s="1"/>
  <c r="F247" i="11"/>
  <c r="G247" i="11" s="1"/>
  <c r="F246" i="11"/>
  <c r="G246" i="11" s="1"/>
  <c r="F245" i="11"/>
  <c r="G245" i="11" s="1"/>
  <c r="F244" i="11"/>
  <c r="G244" i="11" s="1"/>
  <c r="F243" i="11"/>
  <c r="G243" i="11" s="1"/>
  <c r="F242" i="11"/>
  <c r="G242" i="11" s="1"/>
  <c r="F241" i="11"/>
  <c r="G241" i="11" s="1"/>
  <c r="F240" i="11"/>
  <c r="G240" i="11" s="1"/>
  <c r="F239" i="11"/>
  <c r="G239" i="11" s="1"/>
  <c r="F238" i="11"/>
  <c r="G238" i="11" s="1"/>
  <c r="F237" i="11"/>
  <c r="G237" i="11" s="1"/>
  <c r="F236" i="11"/>
  <c r="G236" i="11" s="1"/>
  <c r="F235" i="11"/>
  <c r="G235" i="11" s="1"/>
  <c r="F234" i="11"/>
  <c r="G234" i="11" s="1"/>
  <c r="F233" i="11"/>
  <c r="G233" i="11" s="1"/>
  <c r="F232" i="11"/>
  <c r="G232" i="11" s="1"/>
  <c r="F231" i="11"/>
  <c r="G231" i="11" s="1"/>
  <c r="F230" i="11"/>
  <c r="G230" i="11" s="1"/>
  <c r="F229" i="11"/>
  <c r="G229" i="11" s="1"/>
  <c r="F228" i="11"/>
  <c r="G228" i="11" s="1"/>
  <c r="F227" i="11"/>
  <c r="G227" i="11" s="1"/>
  <c r="F226" i="11"/>
  <c r="G226" i="11" s="1"/>
  <c r="F225" i="11"/>
  <c r="G225" i="11" s="1"/>
  <c r="F224" i="11"/>
  <c r="G224" i="11" s="1"/>
  <c r="F223" i="11"/>
  <c r="G223" i="11" s="1"/>
  <c r="F222" i="11"/>
  <c r="G222" i="11" s="1"/>
  <c r="F221" i="11"/>
  <c r="G221" i="11" s="1"/>
  <c r="F220" i="11"/>
  <c r="G220" i="11" s="1"/>
  <c r="F219" i="11"/>
  <c r="G219" i="11" s="1"/>
  <c r="F218" i="11"/>
  <c r="G218" i="11" s="1"/>
  <c r="F217" i="11"/>
  <c r="G217" i="11" s="1"/>
  <c r="F216" i="11"/>
  <c r="G216" i="11" s="1"/>
  <c r="F215" i="11"/>
  <c r="G215" i="11" s="1"/>
  <c r="F214" i="11"/>
  <c r="G214" i="11" s="1"/>
  <c r="F213" i="11"/>
  <c r="G213" i="11" s="1"/>
  <c r="F212" i="11"/>
  <c r="G212" i="11" s="1"/>
  <c r="F211" i="11"/>
  <c r="G211" i="11" s="1"/>
  <c r="F210" i="11"/>
  <c r="G210" i="11" s="1"/>
  <c r="F209" i="11"/>
  <c r="G209" i="11" s="1"/>
  <c r="F208" i="11"/>
  <c r="G208" i="11" s="1"/>
  <c r="F207" i="11"/>
  <c r="G207" i="11" s="1"/>
  <c r="F206" i="11"/>
  <c r="G206" i="11" s="1"/>
  <c r="F205" i="11"/>
  <c r="G205" i="11" s="1"/>
  <c r="F204" i="11"/>
  <c r="G204" i="11" s="1"/>
  <c r="F203" i="11"/>
  <c r="G203" i="11" s="1"/>
  <c r="F202" i="11"/>
  <c r="G202" i="11" s="1"/>
  <c r="F201" i="11"/>
  <c r="G201" i="11" s="1"/>
  <c r="F200" i="11"/>
  <c r="G200" i="11" s="1"/>
  <c r="F199" i="11"/>
  <c r="G199" i="11" s="1"/>
  <c r="F198" i="11"/>
  <c r="G198" i="11" s="1"/>
  <c r="F197" i="11"/>
  <c r="G197" i="11" s="1"/>
  <c r="F196" i="11"/>
  <c r="G196" i="11" s="1"/>
  <c r="F195" i="11"/>
  <c r="G195" i="11" s="1"/>
  <c r="F194" i="11"/>
  <c r="G194" i="11" s="1"/>
  <c r="F193" i="11"/>
  <c r="G193" i="11" s="1"/>
  <c r="F192" i="11"/>
  <c r="G192" i="11" s="1"/>
  <c r="F191" i="11"/>
  <c r="G191" i="11" s="1"/>
  <c r="F190" i="11"/>
  <c r="G190" i="11" s="1"/>
  <c r="F189" i="11"/>
  <c r="G189" i="11" s="1"/>
  <c r="F188" i="11"/>
  <c r="G188" i="11" s="1"/>
  <c r="F187" i="11"/>
  <c r="G187" i="11" s="1"/>
  <c r="F186" i="11"/>
  <c r="G186" i="11" s="1"/>
  <c r="F185" i="11"/>
  <c r="G185" i="11" s="1"/>
  <c r="F184" i="11"/>
  <c r="G184" i="11" s="1"/>
  <c r="F183" i="11"/>
  <c r="G183" i="11" s="1"/>
  <c r="F182" i="11"/>
  <c r="G182" i="11" s="1"/>
  <c r="F181" i="11"/>
  <c r="G181" i="11" s="1"/>
  <c r="F180" i="11"/>
  <c r="G180" i="11" s="1"/>
  <c r="F179" i="11"/>
  <c r="G179" i="11" s="1"/>
  <c r="F178" i="11"/>
  <c r="G178" i="11" s="1"/>
  <c r="F177" i="11"/>
  <c r="G177" i="11" s="1"/>
  <c r="F176" i="11"/>
  <c r="G176" i="11" s="1"/>
  <c r="F175" i="11"/>
  <c r="G175" i="11" s="1"/>
  <c r="F174" i="11"/>
  <c r="G174" i="11" s="1"/>
  <c r="F173" i="11"/>
  <c r="G173" i="11" s="1"/>
  <c r="F172" i="11"/>
  <c r="G172" i="11" s="1"/>
  <c r="F171" i="11"/>
  <c r="G171" i="11" s="1"/>
  <c r="F170" i="11"/>
  <c r="G170" i="11" s="1"/>
  <c r="F169" i="11"/>
  <c r="G169" i="11" s="1"/>
  <c r="F168" i="11"/>
  <c r="G168" i="11" s="1"/>
  <c r="F167" i="11"/>
  <c r="G167" i="11" s="1"/>
  <c r="F166" i="11"/>
  <c r="G166" i="11" s="1"/>
  <c r="F165" i="11"/>
  <c r="G165" i="11" s="1"/>
  <c r="F164" i="11"/>
  <c r="G164" i="11" s="1"/>
  <c r="F163" i="11"/>
  <c r="G163" i="11" s="1"/>
  <c r="F162" i="11"/>
  <c r="G162" i="11" s="1"/>
  <c r="F161" i="11"/>
  <c r="G161" i="11" s="1"/>
  <c r="F160" i="11"/>
  <c r="G160" i="11" s="1"/>
  <c r="F159" i="11"/>
  <c r="G159" i="11" s="1"/>
  <c r="F158" i="11"/>
  <c r="G158" i="11" s="1"/>
  <c r="F157" i="11"/>
  <c r="G157" i="11" s="1"/>
  <c r="F156" i="11"/>
  <c r="G156" i="11" s="1"/>
  <c r="F155" i="11"/>
  <c r="G155" i="11" s="1"/>
  <c r="F154" i="11"/>
  <c r="G154" i="11" s="1"/>
  <c r="F153" i="11"/>
  <c r="G153" i="11" s="1"/>
  <c r="F152" i="11"/>
  <c r="G152" i="11" s="1"/>
  <c r="F151" i="11"/>
  <c r="G151" i="11" s="1"/>
  <c r="F150" i="11"/>
  <c r="G150" i="11" s="1"/>
  <c r="F149" i="11"/>
  <c r="G149" i="11" s="1"/>
  <c r="F148" i="11"/>
  <c r="G148" i="11" s="1"/>
  <c r="F147" i="11"/>
  <c r="G147" i="11" s="1"/>
  <c r="F146" i="11"/>
  <c r="G146" i="11" s="1"/>
  <c r="F145" i="11"/>
  <c r="G145" i="11" s="1"/>
  <c r="F144" i="11"/>
  <c r="G144" i="11" s="1"/>
  <c r="F143" i="11"/>
  <c r="G143" i="11" s="1"/>
  <c r="F142" i="11"/>
  <c r="G142" i="11" s="1"/>
  <c r="F141" i="11"/>
  <c r="G141" i="11" s="1"/>
  <c r="F140" i="11"/>
  <c r="G140" i="11" s="1"/>
  <c r="F139" i="11"/>
  <c r="G139" i="11" s="1"/>
  <c r="F138" i="11"/>
  <c r="G138" i="11" s="1"/>
  <c r="F137" i="11"/>
  <c r="G137" i="11" s="1"/>
  <c r="F136" i="11"/>
  <c r="G136" i="11" s="1"/>
  <c r="F135" i="11"/>
  <c r="G135" i="11" s="1"/>
  <c r="F134" i="11"/>
  <c r="G134" i="11" s="1"/>
  <c r="F133" i="11"/>
  <c r="G133" i="11" s="1"/>
  <c r="F132" i="11"/>
  <c r="G132" i="11" s="1"/>
  <c r="F131" i="11"/>
  <c r="G131" i="11" s="1"/>
  <c r="F130" i="11"/>
  <c r="G130" i="11" s="1"/>
  <c r="F129" i="11"/>
  <c r="G129" i="11" s="1"/>
  <c r="F128" i="11"/>
  <c r="G128" i="11" s="1"/>
  <c r="F127" i="11"/>
  <c r="G127" i="11" s="1"/>
  <c r="F126" i="11"/>
  <c r="G126" i="11" s="1"/>
  <c r="F125" i="11"/>
  <c r="G125" i="11" s="1"/>
  <c r="F124" i="11"/>
  <c r="G124" i="11" s="1"/>
  <c r="F123" i="11"/>
  <c r="G123" i="11" s="1"/>
  <c r="F122" i="11"/>
  <c r="G122" i="11" s="1"/>
  <c r="F121" i="11"/>
  <c r="G121" i="11" s="1"/>
  <c r="F120" i="11"/>
  <c r="G120" i="11" s="1"/>
  <c r="F119" i="11"/>
  <c r="G119" i="11" s="1"/>
  <c r="F118" i="11"/>
  <c r="G118" i="11" s="1"/>
  <c r="F117" i="11"/>
  <c r="G117" i="11" s="1"/>
  <c r="F116" i="11"/>
  <c r="G116" i="11" s="1"/>
  <c r="F115" i="11"/>
  <c r="G115" i="11" s="1"/>
  <c r="F114" i="11"/>
  <c r="G114" i="11" s="1"/>
  <c r="F113" i="11"/>
  <c r="G113" i="11" s="1"/>
  <c r="F112" i="11"/>
  <c r="G112" i="11" s="1"/>
  <c r="F111" i="11"/>
  <c r="G111" i="11" s="1"/>
  <c r="F110" i="11"/>
  <c r="G110" i="11" s="1"/>
  <c r="F109" i="11"/>
  <c r="G109" i="11" s="1"/>
  <c r="F108" i="11"/>
  <c r="G108" i="11" s="1"/>
  <c r="F107" i="11"/>
  <c r="G107" i="11" s="1"/>
  <c r="F106" i="11"/>
  <c r="G106" i="11" s="1"/>
  <c r="F105" i="11"/>
  <c r="G105" i="11" s="1"/>
  <c r="F104" i="11"/>
  <c r="G104" i="11" s="1"/>
  <c r="F103" i="11"/>
  <c r="G103" i="11" s="1"/>
  <c r="F102" i="11"/>
  <c r="G102" i="11" s="1"/>
  <c r="F101" i="11"/>
  <c r="G101" i="11" s="1"/>
  <c r="F100" i="11"/>
  <c r="G100" i="11" s="1"/>
  <c r="F99" i="11"/>
  <c r="G99" i="11" s="1"/>
  <c r="F98" i="11"/>
  <c r="G98" i="11" s="1"/>
  <c r="F97" i="11"/>
  <c r="G97" i="11" s="1"/>
  <c r="F96" i="11"/>
  <c r="G96" i="11" s="1"/>
  <c r="F95" i="11"/>
  <c r="G95" i="11" s="1"/>
  <c r="F94" i="11"/>
  <c r="G94" i="11" s="1"/>
  <c r="F93" i="11"/>
  <c r="G93" i="11" s="1"/>
  <c r="F92" i="11"/>
  <c r="G92" i="11" s="1"/>
  <c r="F91" i="11"/>
  <c r="G91" i="11" s="1"/>
  <c r="F90" i="11"/>
  <c r="G90" i="11" s="1"/>
  <c r="F89" i="11"/>
  <c r="G89" i="11" s="1"/>
  <c r="F88" i="11"/>
  <c r="G88" i="11" s="1"/>
  <c r="F87" i="11"/>
  <c r="G87" i="11" s="1"/>
  <c r="F86" i="11"/>
  <c r="G86" i="11" s="1"/>
  <c r="F85" i="11"/>
  <c r="G85" i="11" s="1"/>
  <c r="F84" i="11"/>
  <c r="G84" i="11" s="1"/>
  <c r="F83" i="11"/>
  <c r="G83" i="11" s="1"/>
  <c r="F82" i="11"/>
  <c r="G82" i="11" s="1"/>
  <c r="F81" i="11"/>
  <c r="G81" i="11" s="1"/>
  <c r="F80" i="11"/>
  <c r="G80" i="11" s="1"/>
  <c r="F79" i="11"/>
  <c r="G79" i="11" s="1"/>
  <c r="F78" i="11"/>
  <c r="G78" i="11" s="1"/>
  <c r="F77" i="11"/>
  <c r="G77" i="11" s="1"/>
  <c r="F76" i="11"/>
  <c r="G76" i="11" s="1"/>
  <c r="F75" i="11"/>
  <c r="G75" i="11" s="1"/>
  <c r="F74" i="11"/>
  <c r="G74" i="11" s="1"/>
  <c r="F73" i="11"/>
  <c r="G73" i="11" s="1"/>
  <c r="F72" i="11"/>
  <c r="G72" i="11" s="1"/>
  <c r="F71" i="11"/>
  <c r="G71" i="11" s="1"/>
  <c r="F70" i="11"/>
  <c r="G70" i="11" s="1"/>
  <c r="F69" i="11"/>
  <c r="G69" i="11" s="1"/>
  <c r="F68" i="11"/>
  <c r="G68" i="11" s="1"/>
  <c r="F67" i="11"/>
  <c r="G67" i="11" s="1"/>
  <c r="F66" i="11"/>
  <c r="G66" i="11" s="1"/>
  <c r="F65" i="11"/>
  <c r="G65" i="11" s="1"/>
  <c r="F64" i="11"/>
  <c r="G64" i="11" s="1"/>
  <c r="F63" i="11"/>
  <c r="G63" i="11" s="1"/>
  <c r="F62" i="11"/>
  <c r="G62" i="11" s="1"/>
  <c r="F61" i="11"/>
  <c r="G61" i="11" s="1"/>
  <c r="F60" i="11"/>
  <c r="G60" i="11" s="1"/>
  <c r="F59" i="11"/>
  <c r="G59" i="11" s="1"/>
  <c r="F58" i="11"/>
  <c r="G58" i="11" s="1"/>
  <c r="F57" i="11"/>
  <c r="G57" i="11" s="1"/>
  <c r="F56" i="11"/>
  <c r="G56" i="11" s="1"/>
  <c r="F55" i="11"/>
  <c r="G55" i="11" s="1"/>
  <c r="F54" i="11"/>
  <c r="G54" i="11" s="1"/>
  <c r="F53" i="11"/>
  <c r="G53" i="11" s="1"/>
  <c r="F52" i="11"/>
  <c r="G52" i="11" s="1"/>
  <c r="F51" i="11"/>
  <c r="G51" i="11" s="1"/>
  <c r="F50" i="11"/>
  <c r="G50" i="11" s="1"/>
  <c r="F49" i="11"/>
  <c r="G49" i="11" s="1"/>
  <c r="F48" i="11"/>
  <c r="G48" i="11" s="1"/>
  <c r="F47" i="11"/>
  <c r="G47" i="11" s="1"/>
  <c r="F46" i="11"/>
  <c r="G46" i="11" s="1"/>
  <c r="F45" i="11"/>
  <c r="G45" i="11" s="1"/>
  <c r="F44" i="11"/>
  <c r="G44" i="11" s="1"/>
  <c r="F43" i="11"/>
  <c r="G43" i="11" s="1"/>
  <c r="F42" i="11"/>
  <c r="G42" i="11" s="1"/>
  <c r="F41" i="11"/>
  <c r="G41" i="11" s="1"/>
  <c r="F40" i="11"/>
  <c r="G40" i="11" s="1"/>
  <c r="F39" i="11"/>
  <c r="G39" i="11" s="1"/>
  <c r="F38" i="11"/>
  <c r="G38" i="11" s="1"/>
  <c r="F37" i="11"/>
  <c r="G37" i="11" s="1"/>
  <c r="F36" i="11"/>
  <c r="G36" i="11" s="1"/>
  <c r="F35" i="11"/>
  <c r="G35" i="11" s="1"/>
  <c r="F34" i="11"/>
  <c r="G34" i="11" s="1"/>
  <c r="F33" i="11"/>
  <c r="G33" i="11" s="1"/>
  <c r="F32" i="11"/>
  <c r="G32" i="11" s="1"/>
  <c r="F31" i="11"/>
  <c r="G31" i="11" s="1"/>
  <c r="F30" i="11"/>
  <c r="G30" i="11" s="1"/>
  <c r="F29" i="11"/>
  <c r="G29" i="11" s="1"/>
  <c r="F28" i="11"/>
  <c r="G28" i="11" s="1"/>
  <c r="F27" i="11"/>
  <c r="G27" i="11" s="1"/>
  <c r="F26" i="11"/>
  <c r="G26" i="11" s="1"/>
  <c r="F25" i="11"/>
  <c r="G25" i="11" s="1"/>
  <c r="F24" i="11"/>
  <c r="G24" i="11" s="1"/>
  <c r="F23" i="11"/>
  <c r="G23" i="11" s="1"/>
  <c r="F22" i="11"/>
  <c r="G22" i="11" s="1"/>
  <c r="F21" i="11"/>
  <c r="G21" i="11" s="1"/>
  <c r="F20" i="11"/>
  <c r="G20" i="11" s="1"/>
  <c r="F19" i="11"/>
  <c r="G19" i="11" s="1"/>
  <c r="F18" i="11"/>
  <c r="G18" i="11" s="1"/>
  <c r="F17" i="11"/>
  <c r="G17" i="11" s="1"/>
  <c r="F16" i="11"/>
  <c r="G16" i="11" s="1"/>
  <c r="F15" i="11"/>
  <c r="G15" i="11" s="1"/>
  <c r="F14" i="11"/>
  <c r="G14" i="11" s="1"/>
  <c r="F13" i="11"/>
  <c r="G13" i="11" s="1"/>
  <c r="F12" i="11"/>
  <c r="G12" i="11" s="1"/>
  <c r="F11" i="11"/>
  <c r="G11" i="11" s="1"/>
  <c r="F10" i="11"/>
  <c r="G10" i="11" s="1"/>
  <c r="F9" i="11"/>
  <c r="G9" i="11" s="1"/>
  <c r="F8" i="11"/>
  <c r="G8" i="11" s="1"/>
  <c r="F7" i="11"/>
  <c r="G7" i="11" s="1"/>
  <c r="F6" i="11"/>
  <c r="G6" i="11" s="1"/>
  <c r="F5" i="11"/>
  <c r="G5" i="11" s="1"/>
  <c r="F4" i="11"/>
  <c r="G4" i="11" s="1"/>
  <c r="F3" i="11"/>
  <c r="G3" i="11" s="1"/>
  <c r="F298" i="10"/>
  <c r="G298" i="10" s="1"/>
  <c r="F297" i="10"/>
  <c r="G297" i="10" s="1"/>
  <c r="F296" i="10"/>
  <c r="G296" i="10" s="1"/>
  <c r="F295" i="10"/>
  <c r="G295" i="10" s="1"/>
  <c r="F294" i="10"/>
  <c r="G294" i="10" s="1"/>
  <c r="F293" i="10"/>
  <c r="G293" i="10" s="1"/>
  <c r="F292" i="10"/>
  <c r="G292" i="10" s="1"/>
  <c r="F291" i="10"/>
  <c r="G291" i="10" s="1"/>
  <c r="F290" i="10"/>
  <c r="G290" i="10" s="1"/>
  <c r="F289" i="10"/>
  <c r="G289" i="10" s="1"/>
  <c r="F288" i="10"/>
  <c r="G288" i="10" s="1"/>
  <c r="F287" i="10"/>
  <c r="G287" i="10" s="1"/>
  <c r="F286" i="10"/>
  <c r="G286" i="10" s="1"/>
  <c r="F285" i="10"/>
  <c r="G285" i="10" s="1"/>
  <c r="F284" i="10"/>
  <c r="G284" i="10" s="1"/>
  <c r="F283" i="10"/>
  <c r="G283" i="10" s="1"/>
  <c r="F282" i="10"/>
  <c r="G282" i="10" s="1"/>
  <c r="F281" i="10"/>
  <c r="G281" i="10" s="1"/>
  <c r="F280" i="10"/>
  <c r="G280" i="10" s="1"/>
  <c r="F279" i="10"/>
  <c r="G279" i="10" s="1"/>
  <c r="F278" i="10"/>
  <c r="G278" i="10" s="1"/>
  <c r="F277" i="10"/>
  <c r="G277" i="10" s="1"/>
  <c r="F276" i="10"/>
  <c r="G276" i="10" s="1"/>
  <c r="F275" i="10"/>
  <c r="G275" i="10" s="1"/>
  <c r="F274" i="10"/>
  <c r="G274" i="10" s="1"/>
  <c r="F273" i="10"/>
  <c r="G273" i="10" s="1"/>
  <c r="F272" i="10"/>
  <c r="G272" i="10" s="1"/>
  <c r="F271" i="10"/>
  <c r="G271" i="10" s="1"/>
  <c r="F270" i="10"/>
  <c r="G270" i="10" s="1"/>
  <c r="F269" i="10"/>
  <c r="G269" i="10" s="1"/>
  <c r="F268" i="10"/>
  <c r="G268" i="10" s="1"/>
  <c r="F267" i="10"/>
  <c r="G267" i="10" s="1"/>
  <c r="F266" i="10"/>
  <c r="G266" i="10" s="1"/>
  <c r="F265" i="10"/>
  <c r="G265" i="10" s="1"/>
  <c r="F264" i="10"/>
  <c r="G264" i="10" s="1"/>
  <c r="F263" i="10"/>
  <c r="G263" i="10" s="1"/>
  <c r="F262" i="10"/>
  <c r="G262" i="10" s="1"/>
  <c r="F261" i="10"/>
  <c r="G261" i="10" s="1"/>
  <c r="F260" i="10"/>
  <c r="G260" i="10" s="1"/>
  <c r="F259" i="10"/>
  <c r="G259" i="10" s="1"/>
  <c r="F258" i="10"/>
  <c r="G258" i="10" s="1"/>
  <c r="F257" i="10"/>
  <c r="G257" i="10" s="1"/>
  <c r="F256" i="10"/>
  <c r="G256" i="10" s="1"/>
  <c r="F255" i="10"/>
  <c r="G255" i="10" s="1"/>
  <c r="F254" i="10"/>
  <c r="G254" i="10" s="1"/>
  <c r="F253" i="10"/>
  <c r="G253" i="10" s="1"/>
  <c r="F252" i="10"/>
  <c r="G252" i="10" s="1"/>
  <c r="F251" i="10"/>
  <c r="G251" i="10" s="1"/>
  <c r="F250" i="10"/>
  <c r="G250" i="10" s="1"/>
  <c r="F249" i="10"/>
  <c r="G249" i="10" s="1"/>
  <c r="F248" i="10"/>
  <c r="G248" i="10" s="1"/>
  <c r="F247" i="10"/>
  <c r="G247" i="10" s="1"/>
  <c r="F246" i="10"/>
  <c r="G246" i="10" s="1"/>
  <c r="F245" i="10"/>
  <c r="G245" i="10" s="1"/>
  <c r="F244" i="10"/>
  <c r="G244" i="10" s="1"/>
  <c r="F243" i="10"/>
  <c r="G243" i="10" s="1"/>
  <c r="F242" i="10"/>
  <c r="G242" i="10" s="1"/>
  <c r="F241" i="10"/>
  <c r="G241" i="10" s="1"/>
  <c r="F240" i="10"/>
  <c r="G240" i="10" s="1"/>
  <c r="F239" i="10"/>
  <c r="G239" i="10" s="1"/>
  <c r="F238" i="10"/>
  <c r="G238" i="10" s="1"/>
  <c r="F237" i="10"/>
  <c r="G237" i="10" s="1"/>
  <c r="F236" i="10"/>
  <c r="G236" i="10" s="1"/>
  <c r="F235" i="10"/>
  <c r="G235" i="10" s="1"/>
  <c r="F234" i="10"/>
  <c r="G234" i="10" s="1"/>
  <c r="F233" i="10"/>
  <c r="G233" i="10" s="1"/>
  <c r="F232" i="10"/>
  <c r="G232" i="10" s="1"/>
  <c r="F231" i="10"/>
  <c r="G231" i="10" s="1"/>
  <c r="F230" i="10"/>
  <c r="G230" i="10" s="1"/>
  <c r="F229" i="10"/>
  <c r="G229" i="10" s="1"/>
  <c r="F228" i="10"/>
  <c r="G228" i="10" s="1"/>
  <c r="F227" i="10"/>
  <c r="G227" i="10" s="1"/>
  <c r="F226" i="10"/>
  <c r="G226" i="10" s="1"/>
  <c r="F225" i="10"/>
  <c r="G225" i="10" s="1"/>
  <c r="F224" i="10"/>
  <c r="G224" i="10" s="1"/>
  <c r="F223" i="10"/>
  <c r="G223" i="10" s="1"/>
  <c r="F222" i="10"/>
  <c r="G222" i="10" s="1"/>
  <c r="F221" i="10"/>
  <c r="G221" i="10" s="1"/>
  <c r="F220" i="10"/>
  <c r="G220" i="10" s="1"/>
  <c r="F219" i="10"/>
  <c r="G219" i="10" s="1"/>
  <c r="F218" i="10"/>
  <c r="G218" i="10" s="1"/>
  <c r="F217" i="10"/>
  <c r="G217" i="10" s="1"/>
  <c r="F216" i="10"/>
  <c r="G216" i="10" s="1"/>
  <c r="F215" i="10"/>
  <c r="G215" i="10" s="1"/>
  <c r="F214" i="10"/>
  <c r="G214" i="10" s="1"/>
  <c r="F213" i="10"/>
  <c r="G213" i="10" s="1"/>
  <c r="F212" i="10"/>
  <c r="G212" i="10" s="1"/>
  <c r="F211" i="10"/>
  <c r="G211" i="10" s="1"/>
  <c r="F210" i="10"/>
  <c r="G210" i="10" s="1"/>
  <c r="F209" i="10"/>
  <c r="G209" i="10" s="1"/>
  <c r="F208" i="10"/>
  <c r="G208" i="10" s="1"/>
  <c r="F207" i="10"/>
  <c r="G207" i="10" s="1"/>
  <c r="F206" i="10"/>
  <c r="G206" i="10" s="1"/>
  <c r="F205" i="10"/>
  <c r="G205" i="10" s="1"/>
  <c r="F204" i="10"/>
  <c r="G204" i="10" s="1"/>
  <c r="F203" i="10"/>
  <c r="G203" i="10" s="1"/>
  <c r="F202" i="10"/>
  <c r="G202" i="10" s="1"/>
  <c r="F201" i="10"/>
  <c r="G201" i="10" s="1"/>
  <c r="F200" i="10"/>
  <c r="G200" i="10" s="1"/>
  <c r="F199" i="10"/>
  <c r="G199" i="10" s="1"/>
  <c r="F198" i="10"/>
  <c r="G198" i="10" s="1"/>
  <c r="F197" i="10"/>
  <c r="G197" i="10" s="1"/>
  <c r="F196" i="10"/>
  <c r="G196" i="10" s="1"/>
  <c r="F195" i="10"/>
  <c r="G195" i="10" s="1"/>
  <c r="F194" i="10"/>
  <c r="G194" i="10" s="1"/>
  <c r="F193" i="10"/>
  <c r="G193" i="10" s="1"/>
  <c r="F192" i="10"/>
  <c r="G192" i="10" s="1"/>
  <c r="F191" i="10"/>
  <c r="G191" i="10" s="1"/>
  <c r="F190" i="10"/>
  <c r="G190" i="10" s="1"/>
  <c r="F189" i="10"/>
  <c r="G189" i="10" s="1"/>
  <c r="F188" i="10"/>
  <c r="G188" i="10" s="1"/>
  <c r="F187" i="10"/>
  <c r="G187" i="10" s="1"/>
  <c r="F186" i="10"/>
  <c r="G186" i="10" s="1"/>
  <c r="F185" i="10"/>
  <c r="G185" i="10" s="1"/>
  <c r="F184" i="10"/>
  <c r="G184" i="10" s="1"/>
  <c r="F183" i="10"/>
  <c r="G183" i="10" s="1"/>
  <c r="F182" i="10"/>
  <c r="G182" i="10" s="1"/>
  <c r="F181" i="10"/>
  <c r="G181" i="10" s="1"/>
  <c r="F180" i="10"/>
  <c r="G180" i="10" s="1"/>
  <c r="F179" i="10"/>
  <c r="G179" i="10" s="1"/>
  <c r="F178" i="10"/>
  <c r="G178" i="10" s="1"/>
  <c r="F177" i="10"/>
  <c r="G177" i="10" s="1"/>
  <c r="F176" i="10"/>
  <c r="G176" i="10" s="1"/>
  <c r="F175" i="10"/>
  <c r="G175" i="10" s="1"/>
  <c r="F174" i="10"/>
  <c r="G174" i="10" s="1"/>
  <c r="F173" i="10"/>
  <c r="G173" i="10" s="1"/>
  <c r="F172" i="10"/>
  <c r="G172" i="10" s="1"/>
  <c r="F171" i="10"/>
  <c r="G171" i="10" s="1"/>
  <c r="F170" i="10"/>
  <c r="G170" i="10" s="1"/>
  <c r="F169" i="10"/>
  <c r="G169" i="10" s="1"/>
  <c r="F168" i="10"/>
  <c r="G168" i="10" s="1"/>
  <c r="F167" i="10"/>
  <c r="G167" i="10" s="1"/>
  <c r="F166" i="10"/>
  <c r="G166" i="10" s="1"/>
  <c r="F165" i="10"/>
  <c r="G165" i="10" s="1"/>
  <c r="F164" i="10"/>
  <c r="G164" i="10" s="1"/>
  <c r="F163" i="10"/>
  <c r="G163" i="10" s="1"/>
  <c r="F162" i="10"/>
  <c r="G162" i="10" s="1"/>
  <c r="F161" i="10"/>
  <c r="G161" i="10" s="1"/>
  <c r="F160" i="10"/>
  <c r="G160" i="10" s="1"/>
  <c r="F159" i="10"/>
  <c r="G159" i="10" s="1"/>
  <c r="F158" i="10"/>
  <c r="G158" i="10" s="1"/>
  <c r="F157" i="10"/>
  <c r="G157" i="10" s="1"/>
  <c r="F156" i="10"/>
  <c r="G156" i="10" s="1"/>
  <c r="F155" i="10"/>
  <c r="G155" i="10" s="1"/>
  <c r="F154" i="10"/>
  <c r="G154" i="10" s="1"/>
  <c r="F153" i="10"/>
  <c r="G153" i="10" s="1"/>
  <c r="F152" i="10"/>
  <c r="G152" i="10" s="1"/>
  <c r="F151" i="10"/>
  <c r="G151" i="10" s="1"/>
  <c r="F150" i="10"/>
  <c r="G150" i="10" s="1"/>
  <c r="F149" i="10"/>
  <c r="G149" i="10" s="1"/>
  <c r="F148" i="10"/>
  <c r="G148" i="10" s="1"/>
  <c r="F147" i="10"/>
  <c r="G147" i="10" s="1"/>
  <c r="F146" i="10"/>
  <c r="G146" i="10" s="1"/>
  <c r="F145" i="10"/>
  <c r="G145" i="10" s="1"/>
  <c r="F144" i="10"/>
  <c r="G144" i="10" s="1"/>
  <c r="F143" i="10"/>
  <c r="G143" i="10" s="1"/>
  <c r="F142" i="10"/>
  <c r="G142" i="10" s="1"/>
  <c r="F141" i="10"/>
  <c r="G141" i="10" s="1"/>
  <c r="F140" i="10"/>
  <c r="G140" i="10" s="1"/>
  <c r="F139" i="10"/>
  <c r="G139" i="10" s="1"/>
  <c r="F138" i="10"/>
  <c r="G138" i="10" s="1"/>
  <c r="F137" i="10"/>
  <c r="G137" i="10" s="1"/>
  <c r="F136" i="10"/>
  <c r="G136" i="10" s="1"/>
  <c r="F135" i="10"/>
  <c r="G135" i="10" s="1"/>
  <c r="F134" i="10"/>
  <c r="G134" i="10" s="1"/>
  <c r="F133" i="10"/>
  <c r="G133" i="10" s="1"/>
  <c r="F132" i="10"/>
  <c r="G132" i="10" s="1"/>
  <c r="F131" i="10"/>
  <c r="G131" i="10" s="1"/>
  <c r="F130" i="10"/>
  <c r="G130" i="10" s="1"/>
  <c r="F129" i="10"/>
  <c r="G129" i="10" s="1"/>
  <c r="F128" i="10"/>
  <c r="G128" i="10" s="1"/>
  <c r="F127" i="10"/>
  <c r="G127" i="10" s="1"/>
  <c r="F126" i="10"/>
  <c r="G126" i="10" s="1"/>
  <c r="F125" i="10"/>
  <c r="G125" i="10" s="1"/>
  <c r="F124" i="10"/>
  <c r="G124" i="10" s="1"/>
  <c r="F123" i="10"/>
  <c r="G123" i="10" s="1"/>
  <c r="F122" i="10"/>
  <c r="G122" i="10" s="1"/>
  <c r="F121" i="10"/>
  <c r="G121" i="10" s="1"/>
  <c r="F120" i="10"/>
  <c r="G120" i="10" s="1"/>
  <c r="F119" i="10"/>
  <c r="G119" i="10" s="1"/>
  <c r="F118" i="10"/>
  <c r="G118" i="10" s="1"/>
  <c r="F117" i="10"/>
  <c r="G117" i="10" s="1"/>
  <c r="F116" i="10"/>
  <c r="G116" i="10" s="1"/>
  <c r="F115" i="10"/>
  <c r="G115" i="10" s="1"/>
  <c r="F114" i="10"/>
  <c r="G114" i="10" s="1"/>
  <c r="F113" i="10"/>
  <c r="G113" i="10" s="1"/>
  <c r="F112" i="10"/>
  <c r="G112" i="10" s="1"/>
  <c r="F111" i="10"/>
  <c r="G111" i="10" s="1"/>
  <c r="F110" i="10"/>
  <c r="G110" i="10" s="1"/>
  <c r="F109" i="10"/>
  <c r="G109" i="10" s="1"/>
  <c r="F108" i="10"/>
  <c r="G108" i="10" s="1"/>
  <c r="F107" i="10"/>
  <c r="G107" i="10" s="1"/>
  <c r="F106" i="10"/>
  <c r="G106" i="10" s="1"/>
  <c r="F105" i="10"/>
  <c r="G105" i="10" s="1"/>
  <c r="F104" i="10"/>
  <c r="G104" i="10" s="1"/>
  <c r="F103" i="10"/>
  <c r="G103" i="10" s="1"/>
  <c r="F102" i="10"/>
  <c r="G102" i="10" s="1"/>
  <c r="F101" i="10"/>
  <c r="G101" i="10" s="1"/>
  <c r="F100" i="10"/>
  <c r="G100" i="10" s="1"/>
  <c r="F99" i="10"/>
  <c r="G99" i="10" s="1"/>
  <c r="F98" i="10"/>
  <c r="G98" i="10" s="1"/>
  <c r="F97" i="10"/>
  <c r="G97" i="10" s="1"/>
  <c r="F96" i="10"/>
  <c r="G96" i="10" s="1"/>
  <c r="F95" i="10"/>
  <c r="G95" i="10" s="1"/>
  <c r="F94" i="10"/>
  <c r="G94" i="10" s="1"/>
  <c r="F93" i="10"/>
  <c r="G93" i="10" s="1"/>
  <c r="F92" i="10"/>
  <c r="G92" i="10" s="1"/>
  <c r="F91" i="10"/>
  <c r="G91" i="10" s="1"/>
  <c r="F90" i="10"/>
  <c r="G90" i="10" s="1"/>
  <c r="F89" i="10"/>
  <c r="G89" i="10" s="1"/>
  <c r="F88" i="10"/>
  <c r="G88" i="10" s="1"/>
  <c r="F87" i="10"/>
  <c r="G87" i="10" s="1"/>
  <c r="F86" i="10"/>
  <c r="G86" i="10" s="1"/>
  <c r="F85" i="10"/>
  <c r="G85" i="10" s="1"/>
  <c r="F84" i="10"/>
  <c r="G84" i="10" s="1"/>
  <c r="F83" i="10"/>
  <c r="G83" i="10" s="1"/>
  <c r="F82" i="10"/>
  <c r="G82" i="10" s="1"/>
  <c r="F81" i="10"/>
  <c r="G81" i="10" s="1"/>
  <c r="F80" i="10"/>
  <c r="G80" i="10" s="1"/>
  <c r="F79" i="10"/>
  <c r="G79" i="10" s="1"/>
  <c r="F78" i="10"/>
  <c r="G78" i="10" s="1"/>
  <c r="F77" i="10"/>
  <c r="G77" i="10" s="1"/>
  <c r="F76" i="10"/>
  <c r="G76" i="10" s="1"/>
  <c r="F75" i="10"/>
  <c r="G75" i="10" s="1"/>
  <c r="F74" i="10"/>
  <c r="G74" i="10" s="1"/>
  <c r="F73" i="10"/>
  <c r="G73" i="10" s="1"/>
  <c r="F72" i="10"/>
  <c r="G72" i="10" s="1"/>
  <c r="F71" i="10"/>
  <c r="G71" i="10" s="1"/>
  <c r="F70" i="10"/>
  <c r="G70" i="10" s="1"/>
  <c r="G69" i="10"/>
  <c r="F69" i="10"/>
  <c r="F68" i="10"/>
  <c r="G68" i="10" s="1"/>
  <c r="F67" i="10"/>
  <c r="G67" i="10" s="1"/>
  <c r="F66" i="10"/>
  <c r="G66" i="10" s="1"/>
  <c r="F65" i="10"/>
  <c r="G65" i="10" s="1"/>
  <c r="F64" i="10"/>
  <c r="G64" i="10" s="1"/>
  <c r="F63" i="10"/>
  <c r="G63" i="10" s="1"/>
  <c r="F62" i="10"/>
  <c r="G62" i="10" s="1"/>
  <c r="F61" i="10"/>
  <c r="G61" i="10" s="1"/>
  <c r="F60" i="10"/>
  <c r="G60" i="10" s="1"/>
  <c r="F59" i="10"/>
  <c r="G59" i="10" s="1"/>
  <c r="F58" i="10"/>
  <c r="G58" i="10" s="1"/>
  <c r="F57" i="10"/>
  <c r="G57" i="10" s="1"/>
  <c r="F56" i="10"/>
  <c r="G56" i="10" s="1"/>
  <c r="F55" i="10"/>
  <c r="G55" i="10" s="1"/>
  <c r="F54" i="10"/>
  <c r="G54" i="10" s="1"/>
  <c r="F53" i="10"/>
  <c r="G53" i="10" s="1"/>
  <c r="F52" i="10"/>
  <c r="G52" i="10" s="1"/>
  <c r="F51" i="10"/>
  <c r="G51" i="10" s="1"/>
  <c r="F50" i="10"/>
  <c r="G50" i="10" s="1"/>
  <c r="F49" i="10"/>
  <c r="G49" i="10" s="1"/>
  <c r="F48" i="10"/>
  <c r="G48" i="10" s="1"/>
  <c r="F47" i="10"/>
  <c r="G47" i="10" s="1"/>
  <c r="F46" i="10"/>
  <c r="G46" i="10" s="1"/>
  <c r="F45" i="10"/>
  <c r="G45" i="10" s="1"/>
  <c r="F44" i="10"/>
  <c r="G44" i="10" s="1"/>
  <c r="F43" i="10"/>
  <c r="G43" i="10" s="1"/>
  <c r="F42" i="10"/>
  <c r="G42" i="10" s="1"/>
  <c r="F41" i="10"/>
  <c r="G41" i="10" s="1"/>
  <c r="F40" i="10"/>
  <c r="G40" i="10" s="1"/>
  <c r="F39" i="10"/>
  <c r="G39" i="10" s="1"/>
  <c r="F38" i="10"/>
  <c r="G38" i="10" s="1"/>
  <c r="F37" i="10"/>
  <c r="G37" i="10" s="1"/>
  <c r="F36" i="10"/>
  <c r="G36" i="10" s="1"/>
  <c r="F35" i="10"/>
  <c r="G35" i="10" s="1"/>
  <c r="F34" i="10"/>
  <c r="G34" i="10" s="1"/>
  <c r="F33" i="10"/>
  <c r="G33" i="10" s="1"/>
  <c r="F32" i="10"/>
  <c r="G32" i="10" s="1"/>
  <c r="F31" i="10"/>
  <c r="G31" i="10" s="1"/>
  <c r="F30" i="10"/>
  <c r="G30" i="10" s="1"/>
  <c r="F29" i="10"/>
  <c r="G29" i="10" s="1"/>
  <c r="F28" i="10"/>
  <c r="G28" i="10" s="1"/>
  <c r="F27" i="10"/>
  <c r="G27" i="10" s="1"/>
  <c r="F26" i="10"/>
  <c r="G26" i="10" s="1"/>
  <c r="F25" i="10"/>
  <c r="G25" i="10" s="1"/>
  <c r="F24" i="10"/>
  <c r="G24" i="10" s="1"/>
  <c r="F23" i="10"/>
  <c r="G23" i="10" s="1"/>
  <c r="F22" i="10"/>
  <c r="G22" i="10" s="1"/>
  <c r="F21" i="10"/>
  <c r="G21" i="10" s="1"/>
  <c r="F20" i="10"/>
  <c r="G20" i="10" s="1"/>
  <c r="F19" i="10"/>
  <c r="G19" i="10" s="1"/>
  <c r="F18" i="10"/>
  <c r="G18" i="10" s="1"/>
  <c r="F17" i="10"/>
  <c r="G17" i="10" s="1"/>
  <c r="F16" i="10"/>
  <c r="G16" i="10" s="1"/>
  <c r="F15" i="10"/>
  <c r="G15" i="10" s="1"/>
  <c r="F14" i="10"/>
  <c r="G14" i="10" s="1"/>
  <c r="F13" i="10"/>
  <c r="G13" i="10" s="1"/>
  <c r="F12" i="10"/>
  <c r="G12" i="10" s="1"/>
  <c r="F11" i="10"/>
  <c r="G11" i="10" s="1"/>
  <c r="F10" i="10"/>
  <c r="G10" i="10" s="1"/>
  <c r="F9" i="10"/>
  <c r="G9" i="10" s="1"/>
  <c r="F8" i="10"/>
  <c r="G8" i="10" s="1"/>
  <c r="F7" i="10"/>
  <c r="G7" i="10" s="1"/>
  <c r="F6" i="10"/>
  <c r="G6" i="10" s="1"/>
  <c r="G5" i="10"/>
  <c r="F5" i="10"/>
  <c r="F4" i="10"/>
  <c r="G4" i="10" s="1"/>
  <c r="F3" i="10"/>
  <c r="G3" i="10" s="1"/>
  <c r="F298" i="9"/>
  <c r="G298" i="9" s="1"/>
  <c r="F297" i="9"/>
  <c r="G297" i="9" s="1"/>
  <c r="F296" i="9"/>
  <c r="G296" i="9" s="1"/>
  <c r="F295" i="9"/>
  <c r="G295" i="9" s="1"/>
  <c r="F294" i="9"/>
  <c r="G294" i="9" s="1"/>
  <c r="F293" i="9"/>
  <c r="G293" i="9" s="1"/>
  <c r="F292" i="9"/>
  <c r="G292" i="9" s="1"/>
  <c r="F291" i="9"/>
  <c r="G291" i="9" s="1"/>
  <c r="F290" i="9"/>
  <c r="G290" i="9" s="1"/>
  <c r="F289" i="9"/>
  <c r="G289" i="9" s="1"/>
  <c r="F288" i="9"/>
  <c r="G288" i="9" s="1"/>
  <c r="F287" i="9"/>
  <c r="G287" i="9" s="1"/>
  <c r="F286" i="9"/>
  <c r="G286" i="9" s="1"/>
  <c r="F285" i="9"/>
  <c r="G285" i="9" s="1"/>
  <c r="F284" i="9"/>
  <c r="G284" i="9" s="1"/>
  <c r="F283" i="9"/>
  <c r="G283" i="9" s="1"/>
  <c r="F282" i="9"/>
  <c r="G282" i="9" s="1"/>
  <c r="F281" i="9"/>
  <c r="G281" i="9" s="1"/>
  <c r="F280" i="9"/>
  <c r="G280" i="9" s="1"/>
  <c r="F279" i="9"/>
  <c r="G279" i="9" s="1"/>
  <c r="F278" i="9"/>
  <c r="G278" i="9" s="1"/>
  <c r="F277" i="9"/>
  <c r="G277" i="9" s="1"/>
  <c r="F276" i="9"/>
  <c r="G276" i="9" s="1"/>
  <c r="F275" i="9"/>
  <c r="G275" i="9" s="1"/>
  <c r="F274" i="9"/>
  <c r="G274" i="9" s="1"/>
  <c r="F273" i="9"/>
  <c r="G273" i="9" s="1"/>
  <c r="F272" i="9"/>
  <c r="G272" i="9" s="1"/>
  <c r="F271" i="9"/>
  <c r="G271" i="9" s="1"/>
  <c r="F270" i="9"/>
  <c r="G270" i="9" s="1"/>
  <c r="F269" i="9"/>
  <c r="G269" i="9" s="1"/>
  <c r="F268" i="9"/>
  <c r="G268" i="9" s="1"/>
  <c r="F267" i="9"/>
  <c r="G267" i="9" s="1"/>
  <c r="F266" i="9"/>
  <c r="G266" i="9" s="1"/>
  <c r="F265" i="9"/>
  <c r="G265" i="9" s="1"/>
  <c r="F264" i="9"/>
  <c r="G264" i="9" s="1"/>
  <c r="F263" i="9"/>
  <c r="G263" i="9" s="1"/>
  <c r="F262" i="9"/>
  <c r="G262" i="9" s="1"/>
  <c r="F261" i="9"/>
  <c r="G261" i="9" s="1"/>
  <c r="F260" i="9"/>
  <c r="G260" i="9" s="1"/>
  <c r="F259" i="9"/>
  <c r="G259" i="9" s="1"/>
  <c r="F258" i="9"/>
  <c r="G258" i="9" s="1"/>
  <c r="F257" i="9"/>
  <c r="G257" i="9" s="1"/>
  <c r="F256" i="9"/>
  <c r="G256" i="9" s="1"/>
  <c r="F255" i="9"/>
  <c r="G255" i="9" s="1"/>
  <c r="F254" i="9"/>
  <c r="G254" i="9" s="1"/>
  <c r="F253" i="9"/>
  <c r="G253" i="9" s="1"/>
  <c r="F252" i="9"/>
  <c r="G252" i="9" s="1"/>
  <c r="F251" i="9"/>
  <c r="G251" i="9" s="1"/>
  <c r="F250" i="9"/>
  <c r="G250" i="9" s="1"/>
  <c r="F249" i="9"/>
  <c r="G249" i="9" s="1"/>
  <c r="F248" i="9"/>
  <c r="G248" i="9" s="1"/>
  <c r="F247" i="9"/>
  <c r="G247" i="9" s="1"/>
  <c r="F246" i="9"/>
  <c r="G246" i="9" s="1"/>
  <c r="F245" i="9"/>
  <c r="G245" i="9" s="1"/>
  <c r="F244" i="9"/>
  <c r="G244" i="9" s="1"/>
  <c r="F243" i="9"/>
  <c r="G243" i="9" s="1"/>
  <c r="F242" i="9"/>
  <c r="G242" i="9" s="1"/>
  <c r="F241" i="9"/>
  <c r="G241" i="9" s="1"/>
  <c r="F240" i="9"/>
  <c r="G240" i="9" s="1"/>
  <c r="F239" i="9"/>
  <c r="G239" i="9" s="1"/>
  <c r="F238" i="9"/>
  <c r="G238" i="9" s="1"/>
  <c r="F237" i="9"/>
  <c r="G237" i="9" s="1"/>
  <c r="F236" i="9"/>
  <c r="G236" i="9" s="1"/>
  <c r="F235" i="9"/>
  <c r="G235" i="9" s="1"/>
  <c r="F234" i="9"/>
  <c r="G234" i="9" s="1"/>
  <c r="F233" i="9"/>
  <c r="G233" i="9" s="1"/>
  <c r="F232" i="9"/>
  <c r="G232" i="9" s="1"/>
  <c r="F231" i="9"/>
  <c r="G231" i="9" s="1"/>
  <c r="F230" i="9"/>
  <c r="G230" i="9" s="1"/>
  <c r="F229" i="9"/>
  <c r="G229" i="9" s="1"/>
  <c r="F228" i="9"/>
  <c r="G228" i="9" s="1"/>
  <c r="F227" i="9"/>
  <c r="G227" i="9" s="1"/>
  <c r="F226" i="9"/>
  <c r="G226" i="9" s="1"/>
  <c r="F225" i="9"/>
  <c r="G225" i="9" s="1"/>
  <c r="F224" i="9"/>
  <c r="G224" i="9" s="1"/>
  <c r="F223" i="9"/>
  <c r="G223" i="9" s="1"/>
  <c r="F222" i="9"/>
  <c r="G222" i="9" s="1"/>
  <c r="F221" i="9"/>
  <c r="G221" i="9" s="1"/>
  <c r="F220" i="9"/>
  <c r="G220" i="9" s="1"/>
  <c r="F219" i="9"/>
  <c r="G219" i="9" s="1"/>
  <c r="F218" i="9"/>
  <c r="G218" i="9" s="1"/>
  <c r="F217" i="9"/>
  <c r="G217" i="9" s="1"/>
  <c r="F216" i="9"/>
  <c r="G216" i="9" s="1"/>
  <c r="F215" i="9"/>
  <c r="G215" i="9" s="1"/>
  <c r="F214" i="9"/>
  <c r="G214" i="9" s="1"/>
  <c r="F213" i="9"/>
  <c r="G213" i="9" s="1"/>
  <c r="F212" i="9"/>
  <c r="G212" i="9" s="1"/>
  <c r="F211" i="9"/>
  <c r="G211" i="9" s="1"/>
  <c r="F210" i="9"/>
  <c r="G210" i="9" s="1"/>
  <c r="F209" i="9"/>
  <c r="G209" i="9" s="1"/>
  <c r="F208" i="9"/>
  <c r="G208" i="9" s="1"/>
  <c r="F207" i="9"/>
  <c r="G207" i="9" s="1"/>
  <c r="F206" i="9"/>
  <c r="G206" i="9" s="1"/>
  <c r="F205" i="9"/>
  <c r="G205" i="9" s="1"/>
  <c r="F204" i="9"/>
  <c r="G204" i="9" s="1"/>
  <c r="F203" i="9"/>
  <c r="G203" i="9" s="1"/>
  <c r="F202" i="9"/>
  <c r="G202" i="9" s="1"/>
  <c r="F201" i="9"/>
  <c r="G201" i="9" s="1"/>
  <c r="F200" i="9"/>
  <c r="G200" i="9" s="1"/>
  <c r="F199" i="9"/>
  <c r="G199" i="9" s="1"/>
  <c r="F198" i="9"/>
  <c r="G198" i="9" s="1"/>
  <c r="F197" i="9"/>
  <c r="G197" i="9" s="1"/>
  <c r="F196" i="9"/>
  <c r="G196" i="9" s="1"/>
  <c r="F195" i="9"/>
  <c r="G195" i="9" s="1"/>
  <c r="F194" i="9"/>
  <c r="G194" i="9" s="1"/>
  <c r="F193" i="9"/>
  <c r="G193" i="9" s="1"/>
  <c r="F192" i="9"/>
  <c r="G192" i="9" s="1"/>
  <c r="F191" i="9"/>
  <c r="G191" i="9" s="1"/>
  <c r="F190" i="9"/>
  <c r="G190" i="9" s="1"/>
  <c r="F189" i="9"/>
  <c r="G189" i="9" s="1"/>
  <c r="F188" i="9"/>
  <c r="G188" i="9" s="1"/>
  <c r="F187" i="9"/>
  <c r="G187" i="9" s="1"/>
  <c r="F186" i="9"/>
  <c r="G186" i="9" s="1"/>
  <c r="F185" i="9"/>
  <c r="G185" i="9" s="1"/>
  <c r="F184" i="9"/>
  <c r="G184" i="9" s="1"/>
  <c r="F183" i="9"/>
  <c r="G183" i="9" s="1"/>
  <c r="F182" i="9"/>
  <c r="G182" i="9" s="1"/>
  <c r="F181" i="9"/>
  <c r="G181" i="9" s="1"/>
  <c r="F180" i="9"/>
  <c r="G180" i="9" s="1"/>
  <c r="F179" i="9"/>
  <c r="G179" i="9" s="1"/>
  <c r="F178" i="9"/>
  <c r="G178" i="9" s="1"/>
  <c r="F177" i="9"/>
  <c r="G177" i="9" s="1"/>
  <c r="F176" i="9"/>
  <c r="G176" i="9" s="1"/>
  <c r="F175" i="9"/>
  <c r="G175" i="9" s="1"/>
  <c r="F174" i="9"/>
  <c r="G174" i="9" s="1"/>
  <c r="F173" i="9"/>
  <c r="G173" i="9" s="1"/>
  <c r="F172" i="9"/>
  <c r="G172" i="9" s="1"/>
  <c r="F171" i="9"/>
  <c r="G171" i="9" s="1"/>
  <c r="F170" i="9"/>
  <c r="G170" i="9" s="1"/>
  <c r="F169" i="9"/>
  <c r="G169" i="9" s="1"/>
  <c r="F168" i="9"/>
  <c r="G168" i="9" s="1"/>
  <c r="F167" i="9"/>
  <c r="G167" i="9" s="1"/>
  <c r="F166" i="9"/>
  <c r="G166" i="9" s="1"/>
  <c r="F165" i="9"/>
  <c r="G165" i="9" s="1"/>
  <c r="F164" i="9"/>
  <c r="G164" i="9" s="1"/>
  <c r="F163" i="9"/>
  <c r="G163" i="9" s="1"/>
  <c r="F162" i="9"/>
  <c r="G162" i="9" s="1"/>
  <c r="F161" i="9"/>
  <c r="G161" i="9" s="1"/>
  <c r="F160" i="9"/>
  <c r="G160" i="9" s="1"/>
  <c r="F159" i="9"/>
  <c r="G159" i="9" s="1"/>
  <c r="F158" i="9"/>
  <c r="G158" i="9" s="1"/>
  <c r="F157" i="9"/>
  <c r="G157" i="9" s="1"/>
  <c r="F156" i="9"/>
  <c r="G156" i="9" s="1"/>
  <c r="F155" i="9"/>
  <c r="G155" i="9" s="1"/>
  <c r="F154" i="9"/>
  <c r="G154" i="9" s="1"/>
  <c r="F153" i="9"/>
  <c r="G153" i="9" s="1"/>
  <c r="F152" i="9"/>
  <c r="G152" i="9" s="1"/>
  <c r="F151" i="9"/>
  <c r="G151" i="9" s="1"/>
  <c r="F150" i="9"/>
  <c r="G150" i="9" s="1"/>
  <c r="F149" i="9"/>
  <c r="G149" i="9" s="1"/>
  <c r="F148" i="9"/>
  <c r="G148" i="9" s="1"/>
  <c r="F147" i="9"/>
  <c r="G147" i="9" s="1"/>
  <c r="F146" i="9"/>
  <c r="G146" i="9" s="1"/>
  <c r="F145" i="9"/>
  <c r="G145" i="9" s="1"/>
  <c r="F144" i="9"/>
  <c r="G144" i="9" s="1"/>
  <c r="F143" i="9"/>
  <c r="G143" i="9" s="1"/>
  <c r="F142" i="9"/>
  <c r="G142" i="9" s="1"/>
  <c r="F141" i="9"/>
  <c r="G141" i="9" s="1"/>
  <c r="F140" i="9"/>
  <c r="G140" i="9" s="1"/>
  <c r="F139" i="9"/>
  <c r="G139" i="9" s="1"/>
  <c r="F138" i="9"/>
  <c r="G138" i="9" s="1"/>
  <c r="F137" i="9"/>
  <c r="G137" i="9" s="1"/>
  <c r="F136" i="9"/>
  <c r="G136" i="9" s="1"/>
  <c r="F135" i="9"/>
  <c r="G135" i="9" s="1"/>
  <c r="F134" i="9"/>
  <c r="G134" i="9" s="1"/>
  <c r="F133" i="9"/>
  <c r="G133" i="9" s="1"/>
  <c r="F132" i="9"/>
  <c r="G132" i="9" s="1"/>
  <c r="F131" i="9"/>
  <c r="G131" i="9" s="1"/>
  <c r="F130" i="9"/>
  <c r="G130" i="9" s="1"/>
  <c r="F129" i="9"/>
  <c r="G129" i="9" s="1"/>
  <c r="F128" i="9"/>
  <c r="G128" i="9" s="1"/>
  <c r="F127" i="9"/>
  <c r="G127" i="9" s="1"/>
  <c r="F126" i="9"/>
  <c r="G126" i="9" s="1"/>
  <c r="F125" i="9"/>
  <c r="G125" i="9" s="1"/>
  <c r="F124" i="9"/>
  <c r="G124" i="9" s="1"/>
  <c r="F123" i="9"/>
  <c r="G123" i="9" s="1"/>
  <c r="F122" i="9"/>
  <c r="G122" i="9" s="1"/>
  <c r="F121" i="9"/>
  <c r="G121" i="9" s="1"/>
  <c r="F120" i="9"/>
  <c r="G120" i="9" s="1"/>
  <c r="F119" i="9"/>
  <c r="G119" i="9" s="1"/>
  <c r="F118" i="9"/>
  <c r="G118" i="9" s="1"/>
  <c r="F117" i="9"/>
  <c r="G117" i="9" s="1"/>
  <c r="F116" i="9"/>
  <c r="G116" i="9" s="1"/>
  <c r="F115" i="9"/>
  <c r="G115" i="9" s="1"/>
  <c r="F114" i="9"/>
  <c r="G114" i="9" s="1"/>
  <c r="F113" i="9"/>
  <c r="G113" i="9" s="1"/>
  <c r="F112" i="9"/>
  <c r="G112" i="9" s="1"/>
  <c r="F111" i="9"/>
  <c r="G111" i="9" s="1"/>
  <c r="F110" i="9"/>
  <c r="G110" i="9" s="1"/>
  <c r="F109" i="9"/>
  <c r="G109" i="9" s="1"/>
  <c r="F108" i="9"/>
  <c r="G108" i="9" s="1"/>
  <c r="F107" i="9"/>
  <c r="G107" i="9" s="1"/>
  <c r="F106" i="9"/>
  <c r="G106" i="9" s="1"/>
  <c r="F105" i="9"/>
  <c r="G105" i="9" s="1"/>
  <c r="F104" i="9"/>
  <c r="G104" i="9" s="1"/>
  <c r="F103" i="9"/>
  <c r="G103" i="9" s="1"/>
  <c r="F102" i="9"/>
  <c r="G102" i="9" s="1"/>
  <c r="F101" i="9"/>
  <c r="G101" i="9" s="1"/>
  <c r="F100" i="9"/>
  <c r="G100" i="9" s="1"/>
  <c r="F99" i="9"/>
  <c r="G99" i="9" s="1"/>
  <c r="F98" i="9"/>
  <c r="G98" i="9" s="1"/>
  <c r="F97" i="9"/>
  <c r="G97" i="9" s="1"/>
  <c r="F96" i="9"/>
  <c r="G96" i="9" s="1"/>
  <c r="F95" i="9"/>
  <c r="G95" i="9" s="1"/>
  <c r="F94" i="9"/>
  <c r="G94" i="9" s="1"/>
  <c r="F93" i="9"/>
  <c r="G93" i="9" s="1"/>
  <c r="F92" i="9"/>
  <c r="G92" i="9" s="1"/>
  <c r="F91" i="9"/>
  <c r="G91" i="9" s="1"/>
  <c r="F90" i="9"/>
  <c r="G90" i="9" s="1"/>
  <c r="F89" i="9"/>
  <c r="G89" i="9" s="1"/>
  <c r="F88" i="9"/>
  <c r="G88" i="9" s="1"/>
  <c r="F87" i="9"/>
  <c r="G87" i="9" s="1"/>
  <c r="F86" i="9"/>
  <c r="G86" i="9" s="1"/>
  <c r="F85" i="9"/>
  <c r="G85" i="9" s="1"/>
  <c r="F84" i="9"/>
  <c r="G84" i="9" s="1"/>
  <c r="F83" i="9"/>
  <c r="G83" i="9" s="1"/>
  <c r="F82" i="9"/>
  <c r="G82" i="9" s="1"/>
  <c r="F81" i="9"/>
  <c r="G81" i="9" s="1"/>
  <c r="F80" i="9"/>
  <c r="G80" i="9" s="1"/>
  <c r="F79" i="9"/>
  <c r="G79" i="9" s="1"/>
  <c r="F78" i="9"/>
  <c r="G78" i="9" s="1"/>
  <c r="F77" i="9"/>
  <c r="G77" i="9" s="1"/>
  <c r="F76" i="9"/>
  <c r="G76" i="9" s="1"/>
  <c r="F75" i="9"/>
  <c r="G75" i="9" s="1"/>
  <c r="F74" i="9"/>
  <c r="G74" i="9" s="1"/>
  <c r="F73" i="9"/>
  <c r="G73" i="9" s="1"/>
  <c r="F72" i="9"/>
  <c r="G72" i="9" s="1"/>
  <c r="F71" i="9"/>
  <c r="G71" i="9" s="1"/>
  <c r="F70" i="9"/>
  <c r="G70" i="9" s="1"/>
  <c r="F69" i="9"/>
  <c r="G69" i="9" s="1"/>
  <c r="F68" i="9"/>
  <c r="G68" i="9" s="1"/>
  <c r="F67" i="9"/>
  <c r="G67" i="9" s="1"/>
  <c r="F66" i="9"/>
  <c r="G66" i="9" s="1"/>
  <c r="F65" i="9"/>
  <c r="G65" i="9" s="1"/>
  <c r="F64" i="9"/>
  <c r="G64" i="9" s="1"/>
  <c r="F63" i="9"/>
  <c r="G63" i="9" s="1"/>
  <c r="F62" i="9"/>
  <c r="G62" i="9" s="1"/>
  <c r="F61" i="9"/>
  <c r="G61" i="9" s="1"/>
  <c r="F60" i="9"/>
  <c r="G60" i="9" s="1"/>
  <c r="F59" i="9"/>
  <c r="G59" i="9" s="1"/>
  <c r="F58" i="9"/>
  <c r="G58" i="9" s="1"/>
  <c r="F57" i="9"/>
  <c r="G57" i="9" s="1"/>
  <c r="F56" i="9"/>
  <c r="G56" i="9" s="1"/>
  <c r="F55" i="9"/>
  <c r="G55" i="9" s="1"/>
  <c r="F54" i="9"/>
  <c r="G54" i="9" s="1"/>
  <c r="F53" i="9"/>
  <c r="G53" i="9" s="1"/>
  <c r="F52" i="9"/>
  <c r="G52" i="9" s="1"/>
  <c r="F51" i="9"/>
  <c r="G51" i="9" s="1"/>
  <c r="F50" i="9"/>
  <c r="G50" i="9" s="1"/>
  <c r="F49" i="9"/>
  <c r="G49" i="9" s="1"/>
  <c r="F48" i="9"/>
  <c r="G48" i="9" s="1"/>
  <c r="F47" i="9"/>
  <c r="G47" i="9" s="1"/>
  <c r="F46" i="9"/>
  <c r="G46" i="9" s="1"/>
  <c r="F45" i="9"/>
  <c r="G45" i="9" s="1"/>
  <c r="F44" i="9"/>
  <c r="G44" i="9" s="1"/>
  <c r="F43" i="9"/>
  <c r="G43" i="9" s="1"/>
  <c r="F42" i="9"/>
  <c r="G42" i="9" s="1"/>
  <c r="F41" i="9"/>
  <c r="G41" i="9" s="1"/>
  <c r="F40" i="9"/>
  <c r="G40" i="9" s="1"/>
  <c r="F39" i="9"/>
  <c r="G39" i="9" s="1"/>
  <c r="F38" i="9"/>
  <c r="G38" i="9" s="1"/>
  <c r="F37" i="9"/>
  <c r="G37" i="9" s="1"/>
  <c r="F36" i="9"/>
  <c r="G36" i="9" s="1"/>
  <c r="F35" i="9"/>
  <c r="G35" i="9" s="1"/>
  <c r="F34" i="9"/>
  <c r="G34" i="9" s="1"/>
  <c r="F33" i="9"/>
  <c r="G33" i="9" s="1"/>
  <c r="F32" i="9"/>
  <c r="G32" i="9" s="1"/>
  <c r="F31" i="9"/>
  <c r="G31" i="9" s="1"/>
  <c r="F30" i="9"/>
  <c r="G30" i="9" s="1"/>
  <c r="F29" i="9"/>
  <c r="G29" i="9" s="1"/>
  <c r="F28" i="9"/>
  <c r="G28" i="9" s="1"/>
  <c r="F27" i="9"/>
  <c r="G27" i="9" s="1"/>
  <c r="F26" i="9"/>
  <c r="G26" i="9" s="1"/>
  <c r="F25" i="9"/>
  <c r="G25" i="9" s="1"/>
  <c r="F24" i="9"/>
  <c r="G24" i="9" s="1"/>
  <c r="F23" i="9"/>
  <c r="G23" i="9" s="1"/>
  <c r="F22" i="9"/>
  <c r="G22" i="9" s="1"/>
  <c r="F21" i="9"/>
  <c r="G21" i="9" s="1"/>
  <c r="F20" i="9"/>
  <c r="G20" i="9" s="1"/>
  <c r="F19" i="9"/>
  <c r="G19" i="9" s="1"/>
  <c r="F18" i="9"/>
  <c r="G18" i="9" s="1"/>
  <c r="F17" i="9"/>
  <c r="G17" i="9" s="1"/>
  <c r="F16" i="9"/>
  <c r="G16" i="9" s="1"/>
  <c r="F15" i="9"/>
  <c r="G15" i="9" s="1"/>
  <c r="F14" i="9"/>
  <c r="G14" i="9" s="1"/>
  <c r="F13" i="9"/>
  <c r="G13" i="9" s="1"/>
  <c r="F12" i="9"/>
  <c r="G12" i="9" s="1"/>
  <c r="F11" i="9"/>
  <c r="G11" i="9" s="1"/>
  <c r="F10" i="9"/>
  <c r="G10" i="9" s="1"/>
  <c r="F9" i="9"/>
  <c r="G9" i="9" s="1"/>
  <c r="F8" i="9"/>
  <c r="G8" i="9" s="1"/>
  <c r="F7" i="9"/>
  <c r="G7" i="9" s="1"/>
  <c r="F6" i="9"/>
  <c r="G6" i="9" s="1"/>
  <c r="F5" i="9"/>
  <c r="G5" i="9" s="1"/>
  <c r="F4" i="9"/>
  <c r="G4" i="9" s="1"/>
  <c r="F3" i="9"/>
  <c r="F298" i="8"/>
  <c r="G298" i="8" s="1"/>
  <c r="F297" i="8"/>
  <c r="G297" i="8" s="1"/>
  <c r="F296" i="8"/>
  <c r="G296" i="8" s="1"/>
  <c r="F295" i="8"/>
  <c r="G295" i="8" s="1"/>
  <c r="F294" i="8"/>
  <c r="G294" i="8" s="1"/>
  <c r="F293" i="8"/>
  <c r="G293" i="8" s="1"/>
  <c r="F292" i="8"/>
  <c r="G292" i="8" s="1"/>
  <c r="F291" i="8"/>
  <c r="G291" i="8" s="1"/>
  <c r="F290" i="8"/>
  <c r="G290" i="8" s="1"/>
  <c r="F289" i="8"/>
  <c r="G289" i="8" s="1"/>
  <c r="F288" i="8"/>
  <c r="G288" i="8" s="1"/>
  <c r="F287" i="8"/>
  <c r="G287" i="8" s="1"/>
  <c r="F286" i="8"/>
  <c r="G286" i="8" s="1"/>
  <c r="F285" i="8"/>
  <c r="G285" i="8" s="1"/>
  <c r="F284" i="8"/>
  <c r="G284" i="8" s="1"/>
  <c r="F283" i="8"/>
  <c r="G283" i="8" s="1"/>
  <c r="F282" i="8"/>
  <c r="G282" i="8" s="1"/>
  <c r="F281" i="8"/>
  <c r="G281" i="8" s="1"/>
  <c r="F280" i="8"/>
  <c r="G280" i="8" s="1"/>
  <c r="F279" i="8"/>
  <c r="G279" i="8" s="1"/>
  <c r="F278" i="8"/>
  <c r="G278" i="8" s="1"/>
  <c r="F277" i="8"/>
  <c r="G277" i="8" s="1"/>
  <c r="F276" i="8"/>
  <c r="G276" i="8" s="1"/>
  <c r="F275" i="8"/>
  <c r="G275" i="8" s="1"/>
  <c r="F274" i="8"/>
  <c r="G274" i="8" s="1"/>
  <c r="F273" i="8"/>
  <c r="G273" i="8" s="1"/>
  <c r="F272" i="8"/>
  <c r="G272" i="8" s="1"/>
  <c r="F271" i="8"/>
  <c r="G271" i="8" s="1"/>
  <c r="F270" i="8"/>
  <c r="G270" i="8" s="1"/>
  <c r="F269" i="8"/>
  <c r="G269" i="8" s="1"/>
  <c r="F268" i="8"/>
  <c r="G268" i="8" s="1"/>
  <c r="F267" i="8"/>
  <c r="G267" i="8" s="1"/>
  <c r="F266" i="8"/>
  <c r="G266" i="8" s="1"/>
  <c r="F265" i="8"/>
  <c r="G265" i="8" s="1"/>
  <c r="F264" i="8"/>
  <c r="G264" i="8" s="1"/>
  <c r="F263" i="8"/>
  <c r="G263" i="8" s="1"/>
  <c r="F262" i="8"/>
  <c r="G262" i="8" s="1"/>
  <c r="F261" i="8"/>
  <c r="G261" i="8" s="1"/>
  <c r="F260" i="8"/>
  <c r="G260" i="8" s="1"/>
  <c r="F259" i="8"/>
  <c r="G259" i="8" s="1"/>
  <c r="F258" i="8"/>
  <c r="G258" i="8" s="1"/>
  <c r="F257" i="8"/>
  <c r="G257" i="8" s="1"/>
  <c r="F256" i="8"/>
  <c r="G256" i="8" s="1"/>
  <c r="F255" i="8"/>
  <c r="G255" i="8" s="1"/>
  <c r="F254" i="8"/>
  <c r="G254" i="8" s="1"/>
  <c r="F253" i="8"/>
  <c r="G253" i="8" s="1"/>
  <c r="F252" i="8"/>
  <c r="G252" i="8" s="1"/>
  <c r="F251" i="8"/>
  <c r="G251" i="8" s="1"/>
  <c r="F250" i="8"/>
  <c r="G250" i="8" s="1"/>
  <c r="F249" i="8"/>
  <c r="G249" i="8" s="1"/>
  <c r="F248" i="8"/>
  <c r="G248" i="8" s="1"/>
  <c r="F247" i="8"/>
  <c r="G247" i="8" s="1"/>
  <c r="F246" i="8"/>
  <c r="G246" i="8" s="1"/>
  <c r="F245" i="8"/>
  <c r="G245" i="8" s="1"/>
  <c r="F244" i="8"/>
  <c r="G244" i="8" s="1"/>
  <c r="F243" i="8"/>
  <c r="G243" i="8" s="1"/>
  <c r="F242" i="8"/>
  <c r="G242" i="8" s="1"/>
  <c r="F241" i="8"/>
  <c r="G241" i="8" s="1"/>
  <c r="F240" i="8"/>
  <c r="G240" i="8" s="1"/>
  <c r="F239" i="8"/>
  <c r="G239" i="8" s="1"/>
  <c r="F238" i="8"/>
  <c r="G238" i="8" s="1"/>
  <c r="F237" i="8"/>
  <c r="G237" i="8" s="1"/>
  <c r="F236" i="8"/>
  <c r="G236" i="8" s="1"/>
  <c r="F235" i="8"/>
  <c r="G235" i="8" s="1"/>
  <c r="F234" i="8"/>
  <c r="G234" i="8" s="1"/>
  <c r="F233" i="8"/>
  <c r="G233" i="8" s="1"/>
  <c r="F232" i="8"/>
  <c r="G232" i="8" s="1"/>
  <c r="F231" i="8"/>
  <c r="G231" i="8" s="1"/>
  <c r="F230" i="8"/>
  <c r="G230" i="8" s="1"/>
  <c r="F229" i="8"/>
  <c r="G229" i="8" s="1"/>
  <c r="F228" i="8"/>
  <c r="G228" i="8" s="1"/>
  <c r="F227" i="8"/>
  <c r="G227" i="8" s="1"/>
  <c r="F226" i="8"/>
  <c r="G226" i="8" s="1"/>
  <c r="F225" i="8"/>
  <c r="G225" i="8" s="1"/>
  <c r="F224" i="8"/>
  <c r="G224" i="8" s="1"/>
  <c r="F223" i="8"/>
  <c r="G223" i="8" s="1"/>
  <c r="F222" i="8"/>
  <c r="G222" i="8" s="1"/>
  <c r="F221" i="8"/>
  <c r="G221" i="8" s="1"/>
  <c r="F220" i="8"/>
  <c r="G220" i="8" s="1"/>
  <c r="F219" i="8"/>
  <c r="G219" i="8" s="1"/>
  <c r="F218" i="8"/>
  <c r="G218" i="8" s="1"/>
  <c r="F217" i="8"/>
  <c r="G217" i="8" s="1"/>
  <c r="F216" i="8"/>
  <c r="G216" i="8" s="1"/>
  <c r="F215" i="8"/>
  <c r="G215" i="8" s="1"/>
  <c r="F214" i="8"/>
  <c r="G214" i="8" s="1"/>
  <c r="F213" i="8"/>
  <c r="G213" i="8" s="1"/>
  <c r="F212" i="8"/>
  <c r="G212" i="8" s="1"/>
  <c r="F211" i="8"/>
  <c r="G211" i="8" s="1"/>
  <c r="F210" i="8"/>
  <c r="G210" i="8" s="1"/>
  <c r="F209" i="8"/>
  <c r="G209" i="8" s="1"/>
  <c r="F208" i="8"/>
  <c r="G208" i="8" s="1"/>
  <c r="F207" i="8"/>
  <c r="G207" i="8" s="1"/>
  <c r="F206" i="8"/>
  <c r="G206" i="8" s="1"/>
  <c r="F205" i="8"/>
  <c r="G205" i="8" s="1"/>
  <c r="F204" i="8"/>
  <c r="G204" i="8" s="1"/>
  <c r="F203" i="8"/>
  <c r="G203" i="8" s="1"/>
  <c r="F202" i="8"/>
  <c r="G202" i="8" s="1"/>
  <c r="F201" i="8"/>
  <c r="G201" i="8" s="1"/>
  <c r="F200" i="8"/>
  <c r="G200" i="8" s="1"/>
  <c r="G199" i="8"/>
  <c r="F199" i="8"/>
  <c r="F198" i="8"/>
  <c r="G198" i="8" s="1"/>
  <c r="F197" i="8"/>
  <c r="G197" i="8" s="1"/>
  <c r="F196" i="8"/>
  <c r="G196" i="8" s="1"/>
  <c r="F195" i="8"/>
  <c r="G195" i="8" s="1"/>
  <c r="F194" i="8"/>
  <c r="G194" i="8" s="1"/>
  <c r="F193" i="8"/>
  <c r="G193" i="8" s="1"/>
  <c r="F192" i="8"/>
  <c r="G192" i="8" s="1"/>
  <c r="F191" i="8"/>
  <c r="G191" i="8" s="1"/>
  <c r="F190" i="8"/>
  <c r="G190" i="8" s="1"/>
  <c r="F189" i="8"/>
  <c r="G189" i="8" s="1"/>
  <c r="F188" i="8"/>
  <c r="G188" i="8" s="1"/>
  <c r="F187" i="8"/>
  <c r="G187" i="8" s="1"/>
  <c r="F186" i="8"/>
  <c r="G186" i="8" s="1"/>
  <c r="F185" i="8"/>
  <c r="G185" i="8" s="1"/>
  <c r="F184" i="8"/>
  <c r="G184" i="8" s="1"/>
  <c r="F183" i="8"/>
  <c r="G183" i="8" s="1"/>
  <c r="F182" i="8"/>
  <c r="G182" i="8" s="1"/>
  <c r="F181" i="8"/>
  <c r="G181" i="8" s="1"/>
  <c r="F180" i="8"/>
  <c r="G180" i="8" s="1"/>
  <c r="F179" i="8"/>
  <c r="G179" i="8" s="1"/>
  <c r="F178" i="8"/>
  <c r="G178" i="8" s="1"/>
  <c r="F177" i="8"/>
  <c r="G177" i="8" s="1"/>
  <c r="F176" i="8"/>
  <c r="G176" i="8" s="1"/>
  <c r="F175" i="8"/>
  <c r="G175" i="8" s="1"/>
  <c r="F174" i="8"/>
  <c r="G174" i="8" s="1"/>
  <c r="F173" i="8"/>
  <c r="G173" i="8" s="1"/>
  <c r="F172" i="8"/>
  <c r="G172" i="8" s="1"/>
  <c r="F171" i="8"/>
  <c r="G171" i="8" s="1"/>
  <c r="F170" i="8"/>
  <c r="G170" i="8" s="1"/>
  <c r="F169" i="8"/>
  <c r="G169" i="8" s="1"/>
  <c r="F168" i="8"/>
  <c r="G168" i="8" s="1"/>
  <c r="F167" i="8"/>
  <c r="G167" i="8" s="1"/>
  <c r="F166" i="8"/>
  <c r="G166" i="8" s="1"/>
  <c r="F165" i="8"/>
  <c r="G165" i="8" s="1"/>
  <c r="F164" i="8"/>
  <c r="G164" i="8" s="1"/>
  <c r="F163" i="8"/>
  <c r="G163" i="8" s="1"/>
  <c r="F162" i="8"/>
  <c r="G162" i="8" s="1"/>
  <c r="F161" i="8"/>
  <c r="G161" i="8" s="1"/>
  <c r="F160" i="8"/>
  <c r="G160" i="8" s="1"/>
  <c r="F159" i="8"/>
  <c r="G159" i="8" s="1"/>
  <c r="F158" i="8"/>
  <c r="G158" i="8" s="1"/>
  <c r="F157" i="8"/>
  <c r="G157" i="8" s="1"/>
  <c r="F156" i="8"/>
  <c r="G156" i="8" s="1"/>
  <c r="F155" i="8"/>
  <c r="G155" i="8" s="1"/>
  <c r="F154" i="8"/>
  <c r="G154" i="8" s="1"/>
  <c r="F153" i="8"/>
  <c r="G153" i="8" s="1"/>
  <c r="F152" i="8"/>
  <c r="G152" i="8" s="1"/>
  <c r="F151" i="8"/>
  <c r="G151" i="8" s="1"/>
  <c r="F150" i="8"/>
  <c r="G150" i="8" s="1"/>
  <c r="F149" i="8"/>
  <c r="G149" i="8" s="1"/>
  <c r="F148" i="8"/>
  <c r="G148" i="8" s="1"/>
  <c r="F147" i="8"/>
  <c r="G147" i="8" s="1"/>
  <c r="F146" i="8"/>
  <c r="G146" i="8" s="1"/>
  <c r="F145" i="8"/>
  <c r="G145" i="8" s="1"/>
  <c r="F144" i="8"/>
  <c r="G144" i="8" s="1"/>
  <c r="F143" i="8"/>
  <c r="G143" i="8" s="1"/>
  <c r="F142" i="8"/>
  <c r="G142" i="8" s="1"/>
  <c r="F141" i="8"/>
  <c r="G141" i="8" s="1"/>
  <c r="F140" i="8"/>
  <c r="G140" i="8" s="1"/>
  <c r="F139" i="8"/>
  <c r="G139" i="8" s="1"/>
  <c r="F138" i="8"/>
  <c r="G138" i="8" s="1"/>
  <c r="F137" i="8"/>
  <c r="G137" i="8" s="1"/>
  <c r="F136" i="8"/>
  <c r="G136" i="8" s="1"/>
  <c r="F135" i="8"/>
  <c r="G135" i="8" s="1"/>
  <c r="F134" i="8"/>
  <c r="G134" i="8" s="1"/>
  <c r="F133" i="8"/>
  <c r="G133" i="8" s="1"/>
  <c r="F132" i="8"/>
  <c r="G132" i="8" s="1"/>
  <c r="F131" i="8"/>
  <c r="G131" i="8" s="1"/>
  <c r="F130" i="8"/>
  <c r="G130" i="8" s="1"/>
  <c r="F129" i="8"/>
  <c r="G129" i="8" s="1"/>
  <c r="F128" i="8"/>
  <c r="G128" i="8" s="1"/>
  <c r="F127" i="8"/>
  <c r="G127" i="8" s="1"/>
  <c r="F126" i="8"/>
  <c r="G126" i="8" s="1"/>
  <c r="F125" i="8"/>
  <c r="G125" i="8" s="1"/>
  <c r="F124" i="8"/>
  <c r="G124" i="8" s="1"/>
  <c r="F123" i="8"/>
  <c r="G123" i="8" s="1"/>
  <c r="F122" i="8"/>
  <c r="G122" i="8" s="1"/>
  <c r="F121" i="8"/>
  <c r="G121" i="8" s="1"/>
  <c r="F120" i="8"/>
  <c r="G120" i="8" s="1"/>
  <c r="F119" i="8"/>
  <c r="G119" i="8" s="1"/>
  <c r="F118" i="8"/>
  <c r="G118" i="8" s="1"/>
  <c r="F117" i="8"/>
  <c r="G117" i="8" s="1"/>
  <c r="F116" i="8"/>
  <c r="G116" i="8" s="1"/>
  <c r="F115" i="8"/>
  <c r="G115" i="8" s="1"/>
  <c r="F114" i="8"/>
  <c r="G114" i="8" s="1"/>
  <c r="F113" i="8"/>
  <c r="G113" i="8" s="1"/>
  <c r="F112" i="8"/>
  <c r="G112" i="8" s="1"/>
  <c r="F111" i="8"/>
  <c r="G111" i="8" s="1"/>
  <c r="F110" i="8"/>
  <c r="G110" i="8" s="1"/>
  <c r="F109" i="8"/>
  <c r="G109" i="8" s="1"/>
  <c r="F108" i="8"/>
  <c r="G108" i="8" s="1"/>
  <c r="F107" i="8"/>
  <c r="G107" i="8" s="1"/>
  <c r="F106" i="8"/>
  <c r="G106" i="8" s="1"/>
  <c r="F105" i="8"/>
  <c r="G105" i="8" s="1"/>
  <c r="F104" i="8"/>
  <c r="G104" i="8" s="1"/>
  <c r="F103" i="8"/>
  <c r="G103" i="8" s="1"/>
  <c r="F102" i="8"/>
  <c r="G102" i="8" s="1"/>
  <c r="F101" i="8"/>
  <c r="G101" i="8" s="1"/>
  <c r="F100" i="8"/>
  <c r="G100" i="8" s="1"/>
  <c r="F99" i="8"/>
  <c r="G99" i="8" s="1"/>
  <c r="F98" i="8"/>
  <c r="G98" i="8" s="1"/>
  <c r="F97" i="8"/>
  <c r="G97" i="8" s="1"/>
  <c r="F96" i="8"/>
  <c r="G96" i="8" s="1"/>
  <c r="F95" i="8"/>
  <c r="G95" i="8" s="1"/>
  <c r="F94" i="8"/>
  <c r="G94" i="8" s="1"/>
  <c r="F93" i="8"/>
  <c r="G93" i="8" s="1"/>
  <c r="F92" i="8"/>
  <c r="G92" i="8" s="1"/>
  <c r="F91" i="8"/>
  <c r="G91" i="8" s="1"/>
  <c r="F90" i="8"/>
  <c r="G90" i="8" s="1"/>
  <c r="F89" i="8"/>
  <c r="G89" i="8" s="1"/>
  <c r="F88" i="8"/>
  <c r="G88" i="8" s="1"/>
  <c r="F87" i="8"/>
  <c r="G87" i="8" s="1"/>
  <c r="F86" i="8"/>
  <c r="G86" i="8" s="1"/>
  <c r="F85" i="8"/>
  <c r="G85" i="8" s="1"/>
  <c r="F84" i="8"/>
  <c r="G84" i="8" s="1"/>
  <c r="F83" i="8"/>
  <c r="G83" i="8" s="1"/>
  <c r="F82" i="8"/>
  <c r="G82" i="8" s="1"/>
  <c r="F81" i="8"/>
  <c r="G81" i="8" s="1"/>
  <c r="F80" i="8"/>
  <c r="G80" i="8" s="1"/>
  <c r="F79" i="8"/>
  <c r="G79" i="8" s="1"/>
  <c r="F78" i="8"/>
  <c r="G78" i="8" s="1"/>
  <c r="F77" i="8"/>
  <c r="G77" i="8" s="1"/>
  <c r="F76" i="8"/>
  <c r="G76" i="8" s="1"/>
  <c r="F75" i="8"/>
  <c r="G75" i="8" s="1"/>
  <c r="F74" i="8"/>
  <c r="G74" i="8" s="1"/>
  <c r="F73" i="8"/>
  <c r="G73" i="8" s="1"/>
  <c r="F72" i="8"/>
  <c r="G72" i="8" s="1"/>
  <c r="F71" i="8"/>
  <c r="G71" i="8" s="1"/>
  <c r="F70" i="8"/>
  <c r="G70" i="8" s="1"/>
  <c r="F69" i="8"/>
  <c r="G69" i="8" s="1"/>
  <c r="F68" i="8"/>
  <c r="G68" i="8" s="1"/>
  <c r="F67" i="8"/>
  <c r="G67" i="8" s="1"/>
  <c r="F66" i="8"/>
  <c r="G66" i="8" s="1"/>
  <c r="F65" i="8"/>
  <c r="G65" i="8" s="1"/>
  <c r="F64" i="8"/>
  <c r="G64" i="8" s="1"/>
  <c r="F63" i="8"/>
  <c r="G63" i="8" s="1"/>
  <c r="F62" i="8"/>
  <c r="G62" i="8" s="1"/>
  <c r="F61" i="8"/>
  <c r="G61" i="8" s="1"/>
  <c r="F60" i="8"/>
  <c r="G60" i="8" s="1"/>
  <c r="F59" i="8"/>
  <c r="G59" i="8" s="1"/>
  <c r="F58" i="8"/>
  <c r="G58" i="8" s="1"/>
  <c r="F57" i="8"/>
  <c r="G57" i="8" s="1"/>
  <c r="F56" i="8"/>
  <c r="G56" i="8" s="1"/>
  <c r="F55" i="8"/>
  <c r="G55" i="8" s="1"/>
  <c r="F54" i="8"/>
  <c r="G54" i="8" s="1"/>
  <c r="F53" i="8"/>
  <c r="G53" i="8" s="1"/>
  <c r="F52" i="8"/>
  <c r="G52" i="8" s="1"/>
  <c r="F51" i="8"/>
  <c r="G51" i="8" s="1"/>
  <c r="F50" i="8"/>
  <c r="G50" i="8" s="1"/>
  <c r="F49" i="8"/>
  <c r="G49" i="8" s="1"/>
  <c r="F48" i="8"/>
  <c r="G48" i="8" s="1"/>
  <c r="F47" i="8"/>
  <c r="G47" i="8" s="1"/>
  <c r="F46" i="8"/>
  <c r="G46" i="8" s="1"/>
  <c r="F45" i="8"/>
  <c r="G45" i="8" s="1"/>
  <c r="F44" i="8"/>
  <c r="G44" i="8" s="1"/>
  <c r="F43" i="8"/>
  <c r="G43" i="8" s="1"/>
  <c r="F42" i="8"/>
  <c r="G42" i="8" s="1"/>
  <c r="F41" i="8"/>
  <c r="G41" i="8" s="1"/>
  <c r="F40" i="8"/>
  <c r="G40" i="8" s="1"/>
  <c r="F39" i="8"/>
  <c r="G39" i="8" s="1"/>
  <c r="F38" i="8"/>
  <c r="G38" i="8" s="1"/>
  <c r="F37" i="8"/>
  <c r="G37" i="8" s="1"/>
  <c r="F36" i="8"/>
  <c r="G36" i="8" s="1"/>
  <c r="F35" i="8"/>
  <c r="G35" i="8" s="1"/>
  <c r="F34" i="8"/>
  <c r="G34" i="8" s="1"/>
  <c r="F33" i="8"/>
  <c r="G33" i="8" s="1"/>
  <c r="F32" i="8"/>
  <c r="G32" i="8" s="1"/>
  <c r="F31" i="8"/>
  <c r="G31" i="8" s="1"/>
  <c r="G30" i="8"/>
  <c r="F30" i="8"/>
  <c r="F29" i="8"/>
  <c r="G29" i="8" s="1"/>
  <c r="F28" i="8"/>
  <c r="G28" i="8" s="1"/>
  <c r="F27" i="8"/>
  <c r="G27" i="8" s="1"/>
  <c r="F26" i="8"/>
  <c r="G26" i="8" s="1"/>
  <c r="F25" i="8"/>
  <c r="G25" i="8" s="1"/>
  <c r="F24" i="8"/>
  <c r="G24" i="8" s="1"/>
  <c r="F23" i="8"/>
  <c r="G23" i="8" s="1"/>
  <c r="F22" i="8"/>
  <c r="G22" i="8" s="1"/>
  <c r="F21" i="8"/>
  <c r="G21" i="8" s="1"/>
  <c r="F20" i="8"/>
  <c r="G20" i="8" s="1"/>
  <c r="F19" i="8"/>
  <c r="G19" i="8" s="1"/>
  <c r="F18" i="8"/>
  <c r="G18" i="8" s="1"/>
  <c r="F17" i="8"/>
  <c r="G17" i="8" s="1"/>
  <c r="F16" i="8"/>
  <c r="G16" i="8" s="1"/>
  <c r="F15" i="8"/>
  <c r="G15" i="8" s="1"/>
  <c r="F14" i="8"/>
  <c r="G14" i="8" s="1"/>
  <c r="F13" i="8"/>
  <c r="G13" i="8" s="1"/>
  <c r="F12" i="8"/>
  <c r="G12" i="8" s="1"/>
  <c r="F11" i="8"/>
  <c r="G11" i="8" s="1"/>
  <c r="F10" i="8"/>
  <c r="G10" i="8" s="1"/>
  <c r="F9" i="8"/>
  <c r="G9" i="8" s="1"/>
  <c r="F8" i="8"/>
  <c r="G8" i="8" s="1"/>
  <c r="F7" i="8"/>
  <c r="G7" i="8" s="1"/>
  <c r="F6" i="8"/>
  <c r="G6" i="8" s="1"/>
  <c r="F5" i="8"/>
  <c r="G5" i="8" s="1"/>
  <c r="F4" i="8"/>
  <c r="G4" i="8" s="1"/>
  <c r="F3" i="8"/>
  <c r="G3" i="8" s="1"/>
  <c r="F298" i="7"/>
  <c r="G298" i="7" s="1"/>
  <c r="F297" i="7"/>
  <c r="G297" i="7" s="1"/>
  <c r="F296" i="7"/>
  <c r="G296" i="7" s="1"/>
  <c r="G295" i="7"/>
  <c r="F295" i="7"/>
  <c r="F294" i="7"/>
  <c r="G294" i="7" s="1"/>
  <c r="F293" i="7"/>
  <c r="G293" i="7" s="1"/>
  <c r="F292" i="7"/>
  <c r="G292" i="7" s="1"/>
  <c r="F291" i="7"/>
  <c r="G291" i="7" s="1"/>
  <c r="F290" i="7"/>
  <c r="G290" i="7" s="1"/>
  <c r="F289" i="7"/>
  <c r="G289" i="7" s="1"/>
  <c r="F288" i="7"/>
  <c r="G288" i="7" s="1"/>
  <c r="F287" i="7"/>
  <c r="G287" i="7" s="1"/>
  <c r="F286" i="7"/>
  <c r="G286" i="7" s="1"/>
  <c r="F285" i="7"/>
  <c r="G285" i="7" s="1"/>
  <c r="F284" i="7"/>
  <c r="G284" i="7" s="1"/>
  <c r="F283" i="7"/>
  <c r="G283" i="7" s="1"/>
  <c r="F282" i="7"/>
  <c r="G282" i="7" s="1"/>
  <c r="F281" i="7"/>
  <c r="G281" i="7" s="1"/>
  <c r="F280" i="7"/>
  <c r="G280" i="7" s="1"/>
  <c r="F279" i="7"/>
  <c r="G279" i="7" s="1"/>
  <c r="F278" i="7"/>
  <c r="G278" i="7" s="1"/>
  <c r="F277" i="7"/>
  <c r="G277" i="7" s="1"/>
  <c r="F276" i="7"/>
  <c r="G276" i="7" s="1"/>
  <c r="F275" i="7"/>
  <c r="G275" i="7" s="1"/>
  <c r="F274" i="7"/>
  <c r="G274" i="7" s="1"/>
  <c r="F273" i="7"/>
  <c r="G273" i="7" s="1"/>
  <c r="F272" i="7"/>
  <c r="G272" i="7" s="1"/>
  <c r="F271" i="7"/>
  <c r="G271" i="7" s="1"/>
  <c r="F270" i="7"/>
  <c r="G270" i="7" s="1"/>
  <c r="F269" i="7"/>
  <c r="G269" i="7" s="1"/>
  <c r="F268" i="7"/>
  <c r="G268" i="7" s="1"/>
  <c r="F267" i="7"/>
  <c r="G267" i="7" s="1"/>
  <c r="F266" i="7"/>
  <c r="G266" i="7" s="1"/>
  <c r="F265" i="7"/>
  <c r="G265" i="7" s="1"/>
  <c r="F264" i="7"/>
  <c r="G264" i="7" s="1"/>
  <c r="F263" i="7"/>
  <c r="G263" i="7" s="1"/>
  <c r="F262" i="7"/>
  <c r="G262" i="7" s="1"/>
  <c r="F261" i="7"/>
  <c r="G261" i="7" s="1"/>
  <c r="F260" i="7"/>
  <c r="G260" i="7" s="1"/>
  <c r="F259" i="7"/>
  <c r="G259" i="7" s="1"/>
  <c r="F258" i="7"/>
  <c r="G258" i="7" s="1"/>
  <c r="F257" i="7"/>
  <c r="G257" i="7" s="1"/>
  <c r="F256" i="7"/>
  <c r="G256" i="7" s="1"/>
  <c r="F255" i="7"/>
  <c r="G255" i="7" s="1"/>
  <c r="F254" i="7"/>
  <c r="G254" i="7" s="1"/>
  <c r="F253" i="7"/>
  <c r="G253" i="7" s="1"/>
  <c r="F252" i="7"/>
  <c r="G252" i="7" s="1"/>
  <c r="F251" i="7"/>
  <c r="G251" i="7" s="1"/>
  <c r="F250" i="7"/>
  <c r="G250" i="7" s="1"/>
  <c r="F249" i="7"/>
  <c r="G249" i="7" s="1"/>
  <c r="F248" i="7"/>
  <c r="G248" i="7" s="1"/>
  <c r="F247" i="7"/>
  <c r="G247" i="7" s="1"/>
  <c r="F246" i="7"/>
  <c r="G246" i="7" s="1"/>
  <c r="F245" i="7"/>
  <c r="G245" i="7" s="1"/>
  <c r="F244" i="7"/>
  <c r="G244" i="7" s="1"/>
  <c r="F243" i="7"/>
  <c r="G243" i="7" s="1"/>
  <c r="F242" i="7"/>
  <c r="G242" i="7" s="1"/>
  <c r="F241" i="7"/>
  <c r="G241" i="7" s="1"/>
  <c r="F240" i="7"/>
  <c r="G240" i="7" s="1"/>
  <c r="F239" i="7"/>
  <c r="G239" i="7" s="1"/>
  <c r="F238" i="7"/>
  <c r="G238" i="7" s="1"/>
  <c r="F237" i="7"/>
  <c r="G237" i="7" s="1"/>
  <c r="F236" i="7"/>
  <c r="G236" i="7" s="1"/>
  <c r="F235" i="7"/>
  <c r="G235" i="7" s="1"/>
  <c r="F234" i="7"/>
  <c r="G234" i="7" s="1"/>
  <c r="F233" i="7"/>
  <c r="G233" i="7" s="1"/>
  <c r="F232" i="7"/>
  <c r="G232" i="7" s="1"/>
  <c r="F231" i="7"/>
  <c r="G231" i="7" s="1"/>
  <c r="F230" i="7"/>
  <c r="G230" i="7" s="1"/>
  <c r="F229" i="7"/>
  <c r="G229" i="7" s="1"/>
  <c r="F228" i="7"/>
  <c r="G228" i="7" s="1"/>
  <c r="F227" i="7"/>
  <c r="G227" i="7" s="1"/>
  <c r="F226" i="7"/>
  <c r="G226" i="7" s="1"/>
  <c r="F225" i="7"/>
  <c r="G225" i="7" s="1"/>
  <c r="F224" i="7"/>
  <c r="G224" i="7" s="1"/>
  <c r="F223" i="7"/>
  <c r="G223" i="7" s="1"/>
  <c r="F222" i="7"/>
  <c r="G222" i="7" s="1"/>
  <c r="F221" i="7"/>
  <c r="G221" i="7" s="1"/>
  <c r="F220" i="7"/>
  <c r="G220" i="7" s="1"/>
  <c r="F219" i="7"/>
  <c r="G219" i="7" s="1"/>
  <c r="F218" i="7"/>
  <c r="G218" i="7" s="1"/>
  <c r="F217" i="7"/>
  <c r="G217" i="7" s="1"/>
  <c r="F216" i="7"/>
  <c r="G216" i="7" s="1"/>
  <c r="F215" i="7"/>
  <c r="G215" i="7" s="1"/>
  <c r="F214" i="7"/>
  <c r="G214" i="7" s="1"/>
  <c r="F213" i="7"/>
  <c r="G213" i="7" s="1"/>
  <c r="F212" i="7"/>
  <c r="G212" i="7" s="1"/>
  <c r="F211" i="7"/>
  <c r="G211" i="7" s="1"/>
  <c r="F210" i="7"/>
  <c r="G210" i="7" s="1"/>
  <c r="F209" i="7"/>
  <c r="G209" i="7" s="1"/>
  <c r="F208" i="7"/>
  <c r="G208" i="7" s="1"/>
  <c r="F207" i="7"/>
  <c r="G207" i="7" s="1"/>
  <c r="F206" i="7"/>
  <c r="G206" i="7" s="1"/>
  <c r="F205" i="7"/>
  <c r="G205" i="7" s="1"/>
  <c r="F204" i="7"/>
  <c r="G204" i="7" s="1"/>
  <c r="F203" i="7"/>
  <c r="G203" i="7" s="1"/>
  <c r="F202" i="7"/>
  <c r="G202" i="7" s="1"/>
  <c r="F201" i="7"/>
  <c r="G201" i="7" s="1"/>
  <c r="F200" i="7"/>
  <c r="G200" i="7" s="1"/>
  <c r="F199" i="7"/>
  <c r="G199" i="7" s="1"/>
  <c r="F198" i="7"/>
  <c r="G198" i="7" s="1"/>
  <c r="F197" i="7"/>
  <c r="G197" i="7" s="1"/>
  <c r="F196" i="7"/>
  <c r="G196" i="7" s="1"/>
  <c r="F195" i="7"/>
  <c r="G195" i="7" s="1"/>
  <c r="F194" i="7"/>
  <c r="G194" i="7" s="1"/>
  <c r="F193" i="7"/>
  <c r="G193" i="7" s="1"/>
  <c r="F192" i="7"/>
  <c r="G192" i="7" s="1"/>
  <c r="F191" i="7"/>
  <c r="G191" i="7" s="1"/>
  <c r="F190" i="7"/>
  <c r="G190" i="7" s="1"/>
  <c r="F189" i="7"/>
  <c r="G189" i="7" s="1"/>
  <c r="F188" i="7"/>
  <c r="G188" i="7" s="1"/>
  <c r="F187" i="7"/>
  <c r="G187" i="7" s="1"/>
  <c r="F186" i="7"/>
  <c r="G186" i="7" s="1"/>
  <c r="F185" i="7"/>
  <c r="G185" i="7" s="1"/>
  <c r="F184" i="7"/>
  <c r="G184" i="7" s="1"/>
  <c r="F183" i="7"/>
  <c r="G183" i="7" s="1"/>
  <c r="F182" i="7"/>
  <c r="G182" i="7" s="1"/>
  <c r="F181" i="7"/>
  <c r="G181" i="7" s="1"/>
  <c r="F180" i="7"/>
  <c r="G180" i="7" s="1"/>
  <c r="F179" i="7"/>
  <c r="G179" i="7" s="1"/>
  <c r="F178" i="7"/>
  <c r="G178" i="7" s="1"/>
  <c r="F177" i="7"/>
  <c r="G177" i="7" s="1"/>
  <c r="F176" i="7"/>
  <c r="G176" i="7" s="1"/>
  <c r="F175" i="7"/>
  <c r="G175" i="7" s="1"/>
  <c r="F174" i="7"/>
  <c r="G174" i="7" s="1"/>
  <c r="F173" i="7"/>
  <c r="G173" i="7" s="1"/>
  <c r="F172" i="7"/>
  <c r="G172" i="7" s="1"/>
  <c r="F171" i="7"/>
  <c r="G171" i="7" s="1"/>
  <c r="F170" i="7"/>
  <c r="G170" i="7" s="1"/>
  <c r="F169" i="7"/>
  <c r="G169" i="7" s="1"/>
  <c r="F168" i="7"/>
  <c r="G168" i="7" s="1"/>
  <c r="F167" i="7"/>
  <c r="G167" i="7" s="1"/>
  <c r="F166" i="7"/>
  <c r="G166" i="7" s="1"/>
  <c r="F165" i="7"/>
  <c r="G165" i="7" s="1"/>
  <c r="F164" i="7"/>
  <c r="G164" i="7" s="1"/>
  <c r="F163" i="7"/>
  <c r="G163" i="7" s="1"/>
  <c r="F162" i="7"/>
  <c r="G162" i="7" s="1"/>
  <c r="F161" i="7"/>
  <c r="G161" i="7" s="1"/>
  <c r="F160" i="7"/>
  <c r="G160" i="7" s="1"/>
  <c r="F159" i="7"/>
  <c r="G159" i="7" s="1"/>
  <c r="F158" i="7"/>
  <c r="G158" i="7" s="1"/>
  <c r="F157" i="7"/>
  <c r="G157" i="7" s="1"/>
  <c r="F156" i="7"/>
  <c r="G156" i="7" s="1"/>
  <c r="F155" i="7"/>
  <c r="G155" i="7" s="1"/>
  <c r="F154" i="7"/>
  <c r="G154" i="7" s="1"/>
  <c r="F153" i="7"/>
  <c r="G153" i="7" s="1"/>
  <c r="F152" i="7"/>
  <c r="G152" i="7" s="1"/>
  <c r="F151" i="7"/>
  <c r="G151" i="7" s="1"/>
  <c r="F150" i="7"/>
  <c r="G150" i="7" s="1"/>
  <c r="F149" i="7"/>
  <c r="G149" i="7" s="1"/>
  <c r="F148" i="7"/>
  <c r="G148" i="7" s="1"/>
  <c r="F147" i="7"/>
  <c r="G147" i="7" s="1"/>
  <c r="F146" i="7"/>
  <c r="G146" i="7" s="1"/>
  <c r="F145" i="7"/>
  <c r="G145" i="7" s="1"/>
  <c r="F144" i="7"/>
  <c r="G144" i="7" s="1"/>
  <c r="F143" i="7"/>
  <c r="G143" i="7" s="1"/>
  <c r="F142" i="7"/>
  <c r="G142" i="7" s="1"/>
  <c r="F141" i="7"/>
  <c r="G141" i="7" s="1"/>
  <c r="F140" i="7"/>
  <c r="G140" i="7" s="1"/>
  <c r="F139" i="7"/>
  <c r="G139" i="7" s="1"/>
  <c r="F138" i="7"/>
  <c r="G138" i="7" s="1"/>
  <c r="F137" i="7"/>
  <c r="G137" i="7" s="1"/>
  <c r="F136" i="7"/>
  <c r="G136" i="7" s="1"/>
  <c r="F135" i="7"/>
  <c r="G135" i="7" s="1"/>
  <c r="F134" i="7"/>
  <c r="G134" i="7" s="1"/>
  <c r="F133" i="7"/>
  <c r="G133" i="7" s="1"/>
  <c r="F132" i="7"/>
  <c r="G132" i="7" s="1"/>
  <c r="F131" i="7"/>
  <c r="G131" i="7" s="1"/>
  <c r="F130" i="7"/>
  <c r="G130" i="7" s="1"/>
  <c r="F129" i="7"/>
  <c r="G129" i="7" s="1"/>
  <c r="F128" i="7"/>
  <c r="G128" i="7" s="1"/>
  <c r="F127" i="7"/>
  <c r="G127" i="7" s="1"/>
  <c r="F126" i="7"/>
  <c r="G126" i="7" s="1"/>
  <c r="F125" i="7"/>
  <c r="G125" i="7" s="1"/>
  <c r="F124" i="7"/>
  <c r="G124" i="7" s="1"/>
  <c r="F123" i="7"/>
  <c r="G123" i="7" s="1"/>
  <c r="F122" i="7"/>
  <c r="G122" i="7" s="1"/>
  <c r="F121" i="7"/>
  <c r="G121" i="7" s="1"/>
  <c r="F120" i="7"/>
  <c r="G120" i="7" s="1"/>
  <c r="F119" i="7"/>
  <c r="G119" i="7" s="1"/>
  <c r="F118" i="7"/>
  <c r="G118" i="7" s="1"/>
  <c r="F117" i="7"/>
  <c r="G117" i="7" s="1"/>
  <c r="F116" i="7"/>
  <c r="G116" i="7" s="1"/>
  <c r="F115" i="7"/>
  <c r="G115" i="7" s="1"/>
  <c r="F114" i="7"/>
  <c r="G114" i="7" s="1"/>
  <c r="F113" i="7"/>
  <c r="G113" i="7" s="1"/>
  <c r="F112" i="7"/>
  <c r="G112" i="7" s="1"/>
  <c r="F111" i="7"/>
  <c r="G111" i="7" s="1"/>
  <c r="F110" i="7"/>
  <c r="G110" i="7" s="1"/>
  <c r="F109" i="7"/>
  <c r="G109" i="7" s="1"/>
  <c r="F108" i="7"/>
  <c r="G108" i="7" s="1"/>
  <c r="F107" i="7"/>
  <c r="G107" i="7" s="1"/>
  <c r="F106" i="7"/>
  <c r="G106" i="7" s="1"/>
  <c r="F105" i="7"/>
  <c r="G105" i="7" s="1"/>
  <c r="F104" i="7"/>
  <c r="G104" i="7" s="1"/>
  <c r="F103" i="7"/>
  <c r="G103" i="7" s="1"/>
  <c r="F102" i="7"/>
  <c r="G102" i="7" s="1"/>
  <c r="F101" i="7"/>
  <c r="G101" i="7" s="1"/>
  <c r="F100" i="7"/>
  <c r="G100" i="7" s="1"/>
  <c r="F99" i="7"/>
  <c r="G99" i="7" s="1"/>
  <c r="F98" i="7"/>
  <c r="G98" i="7" s="1"/>
  <c r="F97" i="7"/>
  <c r="G97" i="7" s="1"/>
  <c r="F96" i="7"/>
  <c r="G96" i="7" s="1"/>
  <c r="F95" i="7"/>
  <c r="G95" i="7" s="1"/>
  <c r="F94" i="7"/>
  <c r="G94" i="7" s="1"/>
  <c r="F93" i="7"/>
  <c r="G93" i="7" s="1"/>
  <c r="F92" i="7"/>
  <c r="G92" i="7" s="1"/>
  <c r="F91" i="7"/>
  <c r="G91" i="7" s="1"/>
  <c r="F90" i="7"/>
  <c r="G90" i="7" s="1"/>
  <c r="F89" i="7"/>
  <c r="G89" i="7" s="1"/>
  <c r="F88" i="7"/>
  <c r="G88" i="7" s="1"/>
  <c r="F87" i="7"/>
  <c r="G87" i="7" s="1"/>
  <c r="F86" i="7"/>
  <c r="G86" i="7" s="1"/>
  <c r="F85" i="7"/>
  <c r="G85" i="7" s="1"/>
  <c r="F84" i="7"/>
  <c r="G84" i="7" s="1"/>
  <c r="F83" i="7"/>
  <c r="G83" i="7" s="1"/>
  <c r="F82" i="7"/>
  <c r="G82" i="7" s="1"/>
  <c r="F81" i="7"/>
  <c r="G81" i="7" s="1"/>
  <c r="F80" i="7"/>
  <c r="G80" i="7" s="1"/>
  <c r="F79" i="7"/>
  <c r="G79" i="7" s="1"/>
  <c r="F78" i="7"/>
  <c r="G78" i="7" s="1"/>
  <c r="F77" i="7"/>
  <c r="G77" i="7" s="1"/>
  <c r="F76" i="7"/>
  <c r="G76" i="7" s="1"/>
  <c r="F75" i="7"/>
  <c r="G75" i="7" s="1"/>
  <c r="F74" i="7"/>
  <c r="G74" i="7" s="1"/>
  <c r="F73" i="7"/>
  <c r="G73" i="7" s="1"/>
  <c r="F72" i="7"/>
  <c r="G72" i="7" s="1"/>
  <c r="F71" i="7"/>
  <c r="G71" i="7" s="1"/>
  <c r="F70" i="7"/>
  <c r="G70" i="7" s="1"/>
  <c r="F69" i="7"/>
  <c r="G69" i="7" s="1"/>
  <c r="F68" i="7"/>
  <c r="G68" i="7" s="1"/>
  <c r="F67" i="7"/>
  <c r="G67" i="7" s="1"/>
  <c r="F66" i="7"/>
  <c r="G66" i="7" s="1"/>
  <c r="F65" i="7"/>
  <c r="G65" i="7" s="1"/>
  <c r="F64" i="7"/>
  <c r="G64" i="7" s="1"/>
  <c r="F63" i="7"/>
  <c r="G63" i="7" s="1"/>
  <c r="F62" i="7"/>
  <c r="G62" i="7" s="1"/>
  <c r="F61" i="7"/>
  <c r="G61" i="7" s="1"/>
  <c r="F60" i="7"/>
  <c r="G60" i="7" s="1"/>
  <c r="F59" i="7"/>
  <c r="G59" i="7" s="1"/>
  <c r="F58" i="7"/>
  <c r="G58" i="7" s="1"/>
  <c r="F57" i="7"/>
  <c r="G57" i="7" s="1"/>
  <c r="F56" i="7"/>
  <c r="G56" i="7" s="1"/>
  <c r="F55" i="7"/>
  <c r="G55" i="7" s="1"/>
  <c r="F54" i="7"/>
  <c r="G54" i="7" s="1"/>
  <c r="F53" i="7"/>
  <c r="G53" i="7" s="1"/>
  <c r="F52" i="7"/>
  <c r="G52" i="7" s="1"/>
  <c r="F51" i="7"/>
  <c r="G51" i="7" s="1"/>
  <c r="F50" i="7"/>
  <c r="G50" i="7" s="1"/>
  <c r="F49" i="7"/>
  <c r="G49" i="7" s="1"/>
  <c r="F48" i="7"/>
  <c r="G48" i="7" s="1"/>
  <c r="F47" i="7"/>
  <c r="G47" i="7" s="1"/>
  <c r="F46" i="7"/>
  <c r="G46" i="7" s="1"/>
  <c r="F45" i="7"/>
  <c r="G45" i="7" s="1"/>
  <c r="F44" i="7"/>
  <c r="G44" i="7" s="1"/>
  <c r="F43" i="7"/>
  <c r="G43" i="7" s="1"/>
  <c r="F42" i="7"/>
  <c r="G42" i="7" s="1"/>
  <c r="F41" i="7"/>
  <c r="G41" i="7" s="1"/>
  <c r="F40" i="7"/>
  <c r="G40" i="7" s="1"/>
  <c r="F39" i="7"/>
  <c r="G39" i="7" s="1"/>
  <c r="F38" i="7"/>
  <c r="G38" i="7" s="1"/>
  <c r="F37" i="7"/>
  <c r="G37" i="7" s="1"/>
  <c r="F36" i="7"/>
  <c r="G36" i="7" s="1"/>
  <c r="F35" i="7"/>
  <c r="G35" i="7" s="1"/>
  <c r="F34" i="7"/>
  <c r="G34" i="7" s="1"/>
  <c r="F33" i="7"/>
  <c r="G33" i="7" s="1"/>
  <c r="F32" i="7"/>
  <c r="G32" i="7" s="1"/>
  <c r="F31" i="7"/>
  <c r="G31" i="7" s="1"/>
  <c r="F30" i="7"/>
  <c r="G30" i="7" s="1"/>
  <c r="F29" i="7"/>
  <c r="G29" i="7" s="1"/>
  <c r="F28" i="7"/>
  <c r="G28" i="7" s="1"/>
  <c r="F27" i="7"/>
  <c r="G27" i="7" s="1"/>
  <c r="F26" i="7"/>
  <c r="G26" i="7" s="1"/>
  <c r="F25" i="7"/>
  <c r="G25" i="7" s="1"/>
  <c r="F24" i="7"/>
  <c r="G24" i="7" s="1"/>
  <c r="F23" i="7"/>
  <c r="G23" i="7" s="1"/>
  <c r="F22" i="7"/>
  <c r="G22" i="7" s="1"/>
  <c r="F21" i="7"/>
  <c r="G21" i="7" s="1"/>
  <c r="F20" i="7"/>
  <c r="G20" i="7" s="1"/>
  <c r="F19" i="7"/>
  <c r="G19" i="7" s="1"/>
  <c r="G18" i="7"/>
  <c r="F18" i="7"/>
  <c r="F17" i="7"/>
  <c r="G17" i="7" s="1"/>
  <c r="F16" i="7"/>
  <c r="G16" i="7" s="1"/>
  <c r="F15" i="7"/>
  <c r="G15" i="7" s="1"/>
  <c r="F14" i="7"/>
  <c r="G14" i="7" s="1"/>
  <c r="F13" i="7"/>
  <c r="G13" i="7" s="1"/>
  <c r="F12" i="7"/>
  <c r="G12" i="7" s="1"/>
  <c r="F11" i="7"/>
  <c r="G11" i="7" s="1"/>
  <c r="F10" i="7"/>
  <c r="G10" i="7" s="1"/>
  <c r="F9" i="7"/>
  <c r="G9" i="7" s="1"/>
  <c r="F8" i="7"/>
  <c r="G8" i="7" s="1"/>
  <c r="F7" i="7"/>
  <c r="G7" i="7" s="1"/>
  <c r="F6" i="7"/>
  <c r="G6" i="7" s="1"/>
  <c r="F5" i="7"/>
  <c r="G5" i="7" s="1"/>
  <c r="F4" i="7"/>
  <c r="G4" i="7" s="1"/>
  <c r="F3" i="7"/>
  <c r="F298" i="6"/>
  <c r="G298" i="6" s="1"/>
  <c r="F297" i="6"/>
  <c r="G297" i="6" s="1"/>
  <c r="F296" i="6"/>
  <c r="G296" i="6" s="1"/>
  <c r="F295" i="6"/>
  <c r="G295" i="6" s="1"/>
  <c r="F294" i="6"/>
  <c r="G294" i="6" s="1"/>
  <c r="F293" i="6"/>
  <c r="G293" i="6" s="1"/>
  <c r="F292" i="6"/>
  <c r="G292" i="6" s="1"/>
  <c r="F291" i="6"/>
  <c r="G291" i="6" s="1"/>
  <c r="F290" i="6"/>
  <c r="G290" i="6" s="1"/>
  <c r="F289" i="6"/>
  <c r="G289" i="6" s="1"/>
  <c r="F288" i="6"/>
  <c r="G288" i="6" s="1"/>
  <c r="F287" i="6"/>
  <c r="G287" i="6" s="1"/>
  <c r="F286" i="6"/>
  <c r="G286" i="6" s="1"/>
  <c r="F285" i="6"/>
  <c r="G285" i="6" s="1"/>
  <c r="F284" i="6"/>
  <c r="G284" i="6" s="1"/>
  <c r="F283" i="6"/>
  <c r="G283" i="6" s="1"/>
  <c r="F282" i="6"/>
  <c r="G282" i="6" s="1"/>
  <c r="F281" i="6"/>
  <c r="G281" i="6" s="1"/>
  <c r="F280" i="6"/>
  <c r="G280" i="6" s="1"/>
  <c r="F279" i="6"/>
  <c r="G279" i="6" s="1"/>
  <c r="F278" i="6"/>
  <c r="G278" i="6" s="1"/>
  <c r="F277" i="6"/>
  <c r="G277" i="6" s="1"/>
  <c r="F276" i="6"/>
  <c r="G276" i="6" s="1"/>
  <c r="F275" i="6"/>
  <c r="G275" i="6" s="1"/>
  <c r="F274" i="6"/>
  <c r="G274" i="6" s="1"/>
  <c r="F273" i="6"/>
  <c r="G273" i="6" s="1"/>
  <c r="F272" i="6"/>
  <c r="G272" i="6" s="1"/>
  <c r="F271" i="6"/>
  <c r="G271" i="6" s="1"/>
  <c r="F270" i="6"/>
  <c r="G270" i="6" s="1"/>
  <c r="F269" i="6"/>
  <c r="G269" i="6" s="1"/>
  <c r="F268" i="6"/>
  <c r="G268" i="6" s="1"/>
  <c r="F267" i="6"/>
  <c r="G267" i="6" s="1"/>
  <c r="F266" i="6"/>
  <c r="G266" i="6" s="1"/>
  <c r="F265" i="6"/>
  <c r="G265" i="6" s="1"/>
  <c r="F264" i="6"/>
  <c r="G264" i="6" s="1"/>
  <c r="F263" i="6"/>
  <c r="G263" i="6" s="1"/>
  <c r="F262" i="6"/>
  <c r="G262" i="6" s="1"/>
  <c r="F261" i="6"/>
  <c r="G261" i="6" s="1"/>
  <c r="F260" i="6"/>
  <c r="G260" i="6" s="1"/>
  <c r="F259" i="6"/>
  <c r="G259" i="6" s="1"/>
  <c r="F258" i="6"/>
  <c r="G258" i="6" s="1"/>
  <c r="F257" i="6"/>
  <c r="G257" i="6" s="1"/>
  <c r="F256" i="6"/>
  <c r="G256" i="6" s="1"/>
  <c r="F255" i="6"/>
  <c r="G255" i="6" s="1"/>
  <c r="F254" i="6"/>
  <c r="G254" i="6" s="1"/>
  <c r="F253" i="6"/>
  <c r="G253" i="6" s="1"/>
  <c r="F252" i="6"/>
  <c r="G252" i="6" s="1"/>
  <c r="F251" i="6"/>
  <c r="G251" i="6" s="1"/>
  <c r="F250" i="6"/>
  <c r="G250" i="6" s="1"/>
  <c r="F249" i="6"/>
  <c r="G249" i="6" s="1"/>
  <c r="F248" i="6"/>
  <c r="G248" i="6" s="1"/>
  <c r="F247" i="6"/>
  <c r="G247" i="6" s="1"/>
  <c r="F246" i="6"/>
  <c r="G246" i="6" s="1"/>
  <c r="F245" i="6"/>
  <c r="G245" i="6" s="1"/>
  <c r="F244" i="6"/>
  <c r="G244" i="6" s="1"/>
  <c r="F243" i="6"/>
  <c r="G243" i="6" s="1"/>
  <c r="F242" i="6"/>
  <c r="G242" i="6" s="1"/>
  <c r="F241" i="6"/>
  <c r="G241" i="6" s="1"/>
  <c r="F240" i="6"/>
  <c r="G240" i="6" s="1"/>
  <c r="F239" i="6"/>
  <c r="G239" i="6" s="1"/>
  <c r="F238" i="6"/>
  <c r="G238" i="6" s="1"/>
  <c r="F237" i="6"/>
  <c r="G237" i="6" s="1"/>
  <c r="F236" i="6"/>
  <c r="G236" i="6" s="1"/>
  <c r="F235" i="6"/>
  <c r="G235" i="6" s="1"/>
  <c r="F234" i="6"/>
  <c r="G234" i="6" s="1"/>
  <c r="F233" i="6"/>
  <c r="G233" i="6" s="1"/>
  <c r="F232" i="6"/>
  <c r="G232" i="6" s="1"/>
  <c r="F231" i="6"/>
  <c r="G231" i="6" s="1"/>
  <c r="F230" i="6"/>
  <c r="G230" i="6" s="1"/>
  <c r="F229" i="6"/>
  <c r="G229" i="6" s="1"/>
  <c r="F228" i="6"/>
  <c r="G228" i="6" s="1"/>
  <c r="F227" i="6"/>
  <c r="G227" i="6" s="1"/>
  <c r="F226" i="6"/>
  <c r="G226" i="6" s="1"/>
  <c r="F225" i="6"/>
  <c r="G225" i="6" s="1"/>
  <c r="F224" i="6"/>
  <c r="G224" i="6" s="1"/>
  <c r="F223" i="6"/>
  <c r="G223" i="6" s="1"/>
  <c r="F222" i="6"/>
  <c r="G222" i="6" s="1"/>
  <c r="F221" i="6"/>
  <c r="G221" i="6" s="1"/>
  <c r="F220" i="6"/>
  <c r="G220" i="6" s="1"/>
  <c r="F219" i="6"/>
  <c r="G219" i="6" s="1"/>
  <c r="F218" i="6"/>
  <c r="G218" i="6" s="1"/>
  <c r="F217" i="6"/>
  <c r="G217" i="6" s="1"/>
  <c r="F216" i="6"/>
  <c r="G216" i="6" s="1"/>
  <c r="F215" i="6"/>
  <c r="G215" i="6" s="1"/>
  <c r="F214" i="6"/>
  <c r="G214" i="6" s="1"/>
  <c r="F213" i="6"/>
  <c r="G213" i="6" s="1"/>
  <c r="F212" i="6"/>
  <c r="G212" i="6" s="1"/>
  <c r="F211" i="6"/>
  <c r="G211" i="6" s="1"/>
  <c r="F210" i="6"/>
  <c r="G210" i="6" s="1"/>
  <c r="F209" i="6"/>
  <c r="G209" i="6" s="1"/>
  <c r="F208" i="6"/>
  <c r="G208" i="6" s="1"/>
  <c r="F207" i="6"/>
  <c r="G207" i="6" s="1"/>
  <c r="F206" i="6"/>
  <c r="G206" i="6" s="1"/>
  <c r="F205" i="6"/>
  <c r="G205" i="6" s="1"/>
  <c r="F204" i="6"/>
  <c r="G204" i="6" s="1"/>
  <c r="F203" i="6"/>
  <c r="G203" i="6" s="1"/>
  <c r="F202" i="6"/>
  <c r="G202" i="6" s="1"/>
  <c r="F201" i="6"/>
  <c r="G201" i="6" s="1"/>
  <c r="F200" i="6"/>
  <c r="G200" i="6" s="1"/>
  <c r="F199" i="6"/>
  <c r="G199" i="6" s="1"/>
  <c r="F198" i="6"/>
  <c r="G198" i="6" s="1"/>
  <c r="F197" i="6"/>
  <c r="G197" i="6" s="1"/>
  <c r="F196" i="6"/>
  <c r="G196" i="6" s="1"/>
  <c r="F195" i="6"/>
  <c r="G195" i="6" s="1"/>
  <c r="F194" i="6"/>
  <c r="G194" i="6" s="1"/>
  <c r="F193" i="6"/>
  <c r="G193" i="6" s="1"/>
  <c r="F192" i="6"/>
  <c r="G192" i="6" s="1"/>
  <c r="F191" i="6"/>
  <c r="G191" i="6" s="1"/>
  <c r="F190" i="6"/>
  <c r="G190" i="6" s="1"/>
  <c r="F189" i="6"/>
  <c r="G189" i="6" s="1"/>
  <c r="F188" i="6"/>
  <c r="G188" i="6" s="1"/>
  <c r="F187" i="6"/>
  <c r="G187" i="6" s="1"/>
  <c r="F186" i="6"/>
  <c r="G186" i="6" s="1"/>
  <c r="F185" i="6"/>
  <c r="G185" i="6" s="1"/>
  <c r="F184" i="6"/>
  <c r="G184" i="6" s="1"/>
  <c r="F183" i="6"/>
  <c r="G183" i="6" s="1"/>
  <c r="F182" i="6"/>
  <c r="G182" i="6" s="1"/>
  <c r="F181" i="6"/>
  <c r="G181" i="6" s="1"/>
  <c r="F180" i="6"/>
  <c r="G180" i="6" s="1"/>
  <c r="F179" i="6"/>
  <c r="G179" i="6" s="1"/>
  <c r="F178" i="6"/>
  <c r="G178" i="6" s="1"/>
  <c r="F177" i="6"/>
  <c r="G177" i="6" s="1"/>
  <c r="F176" i="6"/>
  <c r="G176" i="6" s="1"/>
  <c r="F175" i="6"/>
  <c r="G175" i="6" s="1"/>
  <c r="F174" i="6"/>
  <c r="G174" i="6" s="1"/>
  <c r="F173" i="6"/>
  <c r="G173" i="6" s="1"/>
  <c r="F172" i="6"/>
  <c r="G172" i="6" s="1"/>
  <c r="F171" i="6"/>
  <c r="G171" i="6" s="1"/>
  <c r="F170" i="6"/>
  <c r="G170" i="6" s="1"/>
  <c r="F169" i="6"/>
  <c r="G169" i="6" s="1"/>
  <c r="F168" i="6"/>
  <c r="G168" i="6" s="1"/>
  <c r="F167" i="6"/>
  <c r="G167" i="6" s="1"/>
  <c r="F166" i="6"/>
  <c r="G166" i="6" s="1"/>
  <c r="F165" i="6"/>
  <c r="G165" i="6" s="1"/>
  <c r="F164" i="6"/>
  <c r="G164" i="6" s="1"/>
  <c r="F163" i="6"/>
  <c r="G163" i="6" s="1"/>
  <c r="F162" i="6"/>
  <c r="G162" i="6" s="1"/>
  <c r="F161" i="6"/>
  <c r="G161" i="6" s="1"/>
  <c r="F160" i="6"/>
  <c r="G160" i="6" s="1"/>
  <c r="F159" i="6"/>
  <c r="G159" i="6" s="1"/>
  <c r="F158" i="6"/>
  <c r="G158" i="6" s="1"/>
  <c r="F157" i="6"/>
  <c r="G157" i="6" s="1"/>
  <c r="F156" i="6"/>
  <c r="G156" i="6" s="1"/>
  <c r="F155" i="6"/>
  <c r="G155" i="6" s="1"/>
  <c r="F154" i="6"/>
  <c r="G154" i="6" s="1"/>
  <c r="F153" i="6"/>
  <c r="G153" i="6" s="1"/>
  <c r="F152" i="6"/>
  <c r="G152" i="6" s="1"/>
  <c r="F151" i="6"/>
  <c r="G151" i="6" s="1"/>
  <c r="F150" i="6"/>
  <c r="G150" i="6" s="1"/>
  <c r="F149" i="6"/>
  <c r="G149" i="6" s="1"/>
  <c r="F148" i="6"/>
  <c r="G148" i="6" s="1"/>
  <c r="F147" i="6"/>
  <c r="G147" i="6" s="1"/>
  <c r="F146" i="6"/>
  <c r="G146" i="6" s="1"/>
  <c r="F145" i="6"/>
  <c r="G145" i="6" s="1"/>
  <c r="F144" i="6"/>
  <c r="G144" i="6" s="1"/>
  <c r="F143" i="6"/>
  <c r="G143" i="6" s="1"/>
  <c r="F142" i="6"/>
  <c r="G142" i="6" s="1"/>
  <c r="F141" i="6"/>
  <c r="G141" i="6" s="1"/>
  <c r="F140" i="6"/>
  <c r="G140" i="6" s="1"/>
  <c r="F139" i="6"/>
  <c r="G139" i="6" s="1"/>
  <c r="F138" i="6"/>
  <c r="G138" i="6" s="1"/>
  <c r="F137" i="6"/>
  <c r="G137" i="6" s="1"/>
  <c r="F136" i="6"/>
  <c r="G136" i="6" s="1"/>
  <c r="F135" i="6"/>
  <c r="G135" i="6" s="1"/>
  <c r="F134" i="6"/>
  <c r="G134" i="6" s="1"/>
  <c r="F133" i="6"/>
  <c r="G133" i="6" s="1"/>
  <c r="F132" i="6"/>
  <c r="G132" i="6" s="1"/>
  <c r="F131" i="6"/>
  <c r="G131" i="6" s="1"/>
  <c r="F130" i="6"/>
  <c r="G130" i="6" s="1"/>
  <c r="F129" i="6"/>
  <c r="G129" i="6" s="1"/>
  <c r="F128" i="6"/>
  <c r="G128" i="6" s="1"/>
  <c r="F127" i="6"/>
  <c r="G127" i="6" s="1"/>
  <c r="F126" i="6"/>
  <c r="G126" i="6" s="1"/>
  <c r="F125" i="6"/>
  <c r="G125" i="6" s="1"/>
  <c r="F124" i="6"/>
  <c r="G124" i="6" s="1"/>
  <c r="F123" i="6"/>
  <c r="G123" i="6" s="1"/>
  <c r="F122" i="6"/>
  <c r="G122" i="6" s="1"/>
  <c r="F121" i="6"/>
  <c r="G121" i="6" s="1"/>
  <c r="F120" i="6"/>
  <c r="G120" i="6" s="1"/>
  <c r="F119" i="6"/>
  <c r="G119" i="6" s="1"/>
  <c r="F118" i="6"/>
  <c r="G118" i="6" s="1"/>
  <c r="F117" i="6"/>
  <c r="G117" i="6" s="1"/>
  <c r="F116" i="6"/>
  <c r="G116" i="6" s="1"/>
  <c r="F115" i="6"/>
  <c r="G115" i="6" s="1"/>
  <c r="F114" i="6"/>
  <c r="G114" i="6" s="1"/>
  <c r="F113" i="6"/>
  <c r="G113" i="6" s="1"/>
  <c r="F112" i="6"/>
  <c r="G112" i="6" s="1"/>
  <c r="F111" i="6"/>
  <c r="G111" i="6" s="1"/>
  <c r="F110" i="6"/>
  <c r="G110" i="6" s="1"/>
  <c r="F109" i="6"/>
  <c r="G109" i="6" s="1"/>
  <c r="F108" i="6"/>
  <c r="G108" i="6" s="1"/>
  <c r="F107" i="6"/>
  <c r="G107" i="6" s="1"/>
  <c r="F106" i="6"/>
  <c r="G106" i="6" s="1"/>
  <c r="F105" i="6"/>
  <c r="G105" i="6" s="1"/>
  <c r="F104" i="6"/>
  <c r="G104" i="6" s="1"/>
  <c r="F103" i="6"/>
  <c r="G103" i="6" s="1"/>
  <c r="F102" i="6"/>
  <c r="G102" i="6" s="1"/>
  <c r="F101" i="6"/>
  <c r="G101" i="6" s="1"/>
  <c r="F100" i="6"/>
  <c r="G100" i="6" s="1"/>
  <c r="F99" i="6"/>
  <c r="G99" i="6" s="1"/>
  <c r="F98" i="6"/>
  <c r="G98" i="6" s="1"/>
  <c r="F97" i="6"/>
  <c r="G97" i="6" s="1"/>
  <c r="F96" i="6"/>
  <c r="G96" i="6" s="1"/>
  <c r="F95" i="6"/>
  <c r="G95" i="6" s="1"/>
  <c r="F94" i="6"/>
  <c r="G94" i="6" s="1"/>
  <c r="F93" i="6"/>
  <c r="G93" i="6" s="1"/>
  <c r="F92" i="6"/>
  <c r="G92" i="6" s="1"/>
  <c r="F91" i="6"/>
  <c r="G91" i="6" s="1"/>
  <c r="F90" i="6"/>
  <c r="G90" i="6" s="1"/>
  <c r="F89" i="6"/>
  <c r="G89" i="6" s="1"/>
  <c r="F88" i="6"/>
  <c r="G88" i="6" s="1"/>
  <c r="F87" i="6"/>
  <c r="G87" i="6" s="1"/>
  <c r="F86" i="6"/>
  <c r="G86" i="6" s="1"/>
  <c r="F85" i="6"/>
  <c r="G85" i="6" s="1"/>
  <c r="F84" i="6"/>
  <c r="G84" i="6" s="1"/>
  <c r="F83" i="6"/>
  <c r="G83" i="6" s="1"/>
  <c r="F82" i="6"/>
  <c r="G82" i="6" s="1"/>
  <c r="F81" i="6"/>
  <c r="G81" i="6" s="1"/>
  <c r="F80" i="6"/>
  <c r="G80" i="6" s="1"/>
  <c r="F79" i="6"/>
  <c r="G79" i="6" s="1"/>
  <c r="F78" i="6"/>
  <c r="G78" i="6" s="1"/>
  <c r="F77" i="6"/>
  <c r="G77" i="6" s="1"/>
  <c r="F76" i="6"/>
  <c r="G76" i="6" s="1"/>
  <c r="F75" i="6"/>
  <c r="G75" i="6" s="1"/>
  <c r="F74" i="6"/>
  <c r="G74" i="6" s="1"/>
  <c r="F73" i="6"/>
  <c r="G73" i="6" s="1"/>
  <c r="F72" i="6"/>
  <c r="G72" i="6" s="1"/>
  <c r="F71" i="6"/>
  <c r="G71" i="6" s="1"/>
  <c r="F70" i="6"/>
  <c r="G70" i="6" s="1"/>
  <c r="F69" i="6"/>
  <c r="G69" i="6" s="1"/>
  <c r="F68" i="6"/>
  <c r="G68" i="6" s="1"/>
  <c r="F67" i="6"/>
  <c r="G67" i="6" s="1"/>
  <c r="F66" i="6"/>
  <c r="G66" i="6" s="1"/>
  <c r="F65" i="6"/>
  <c r="G65" i="6" s="1"/>
  <c r="F64" i="6"/>
  <c r="G64" i="6" s="1"/>
  <c r="F63" i="6"/>
  <c r="G63" i="6" s="1"/>
  <c r="F62" i="6"/>
  <c r="G62" i="6" s="1"/>
  <c r="F61" i="6"/>
  <c r="G61" i="6" s="1"/>
  <c r="F60" i="6"/>
  <c r="G60" i="6" s="1"/>
  <c r="F59" i="6"/>
  <c r="G59" i="6" s="1"/>
  <c r="F58" i="6"/>
  <c r="G58" i="6" s="1"/>
  <c r="F57" i="6"/>
  <c r="G57" i="6" s="1"/>
  <c r="F56" i="6"/>
  <c r="G56" i="6" s="1"/>
  <c r="F55" i="6"/>
  <c r="G55" i="6" s="1"/>
  <c r="F54" i="6"/>
  <c r="G54" i="6" s="1"/>
  <c r="F53" i="6"/>
  <c r="G53" i="6" s="1"/>
  <c r="F52" i="6"/>
  <c r="G52" i="6" s="1"/>
  <c r="F51" i="6"/>
  <c r="G51" i="6" s="1"/>
  <c r="F50" i="6"/>
  <c r="G50" i="6" s="1"/>
  <c r="F49" i="6"/>
  <c r="G49" i="6" s="1"/>
  <c r="F48" i="6"/>
  <c r="G48" i="6" s="1"/>
  <c r="F47" i="6"/>
  <c r="G47" i="6" s="1"/>
  <c r="F46" i="6"/>
  <c r="G46" i="6" s="1"/>
  <c r="F45" i="6"/>
  <c r="G45" i="6" s="1"/>
  <c r="F44" i="6"/>
  <c r="G44" i="6" s="1"/>
  <c r="F43" i="6"/>
  <c r="G43" i="6" s="1"/>
  <c r="F42" i="6"/>
  <c r="G42" i="6" s="1"/>
  <c r="F41" i="6"/>
  <c r="G41" i="6" s="1"/>
  <c r="F40" i="6"/>
  <c r="G40" i="6" s="1"/>
  <c r="F39" i="6"/>
  <c r="G39" i="6" s="1"/>
  <c r="F38" i="6"/>
  <c r="G38" i="6" s="1"/>
  <c r="F37" i="6"/>
  <c r="G37" i="6" s="1"/>
  <c r="F36" i="6"/>
  <c r="G36" i="6" s="1"/>
  <c r="F35" i="6"/>
  <c r="G35" i="6" s="1"/>
  <c r="F34" i="6"/>
  <c r="G34" i="6" s="1"/>
  <c r="F33" i="6"/>
  <c r="G33" i="6" s="1"/>
  <c r="F32" i="6"/>
  <c r="G32" i="6" s="1"/>
  <c r="F31" i="6"/>
  <c r="G31" i="6" s="1"/>
  <c r="F30" i="6"/>
  <c r="G30" i="6" s="1"/>
  <c r="F29" i="6"/>
  <c r="G29" i="6" s="1"/>
  <c r="F28" i="6"/>
  <c r="G28" i="6" s="1"/>
  <c r="F27" i="6"/>
  <c r="G27" i="6" s="1"/>
  <c r="F26" i="6"/>
  <c r="G26" i="6" s="1"/>
  <c r="F25" i="6"/>
  <c r="G25" i="6" s="1"/>
  <c r="F24" i="6"/>
  <c r="G24" i="6" s="1"/>
  <c r="F23" i="6"/>
  <c r="G23" i="6" s="1"/>
  <c r="F22" i="6"/>
  <c r="G22" i="6" s="1"/>
  <c r="F21" i="6"/>
  <c r="G21" i="6" s="1"/>
  <c r="F20" i="6"/>
  <c r="G20" i="6" s="1"/>
  <c r="F19" i="6"/>
  <c r="G19" i="6" s="1"/>
  <c r="F18" i="6"/>
  <c r="G18" i="6" s="1"/>
  <c r="F17" i="6"/>
  <c r="G17" i="6" s="1"/>
  <c r="F16" i="6"/>
  <c r="G16" i="6" s="1"/>
  <c r="F15" i="6"/>
  <c r="G15" i="6" s="1"/>
  <c r="F14" i="6"/>
  <c r="G14" i="6" s="1"/>
  <c r="F13" i="6"/>
  <c r="G13" i="6" s="1"/>
  <c r="F12" i="6"/>
  <c r="G12" i="6" s="1"/>
  <c r="F11" i="6"/>
  <c r="G11" i="6" s="1"/>
  <c r="F10" i="6"/>
  <c r="G10" i="6" s="1"/>
  <c r="F9" i="6"/>
  <c r="G9" i="6" s="1"/>
  <c r="F8" i="6"/>
  <c r="G8" i="6" s="1"/>
  <c r="F7" i="6"/>
  <c r="G7" i="6" s="1"/>
  <c r="F6" i="6"/>
  <c r="G6" i="6" s="1"/>
  <c r="F5" i="6"/>
  <c r="G5" i="6" s="1"/>
  <c r="F4" i="6"/>
  <c r="G4" i="6" s="1"/>
  <c r="F3" i="6"/>
  <c r="I299" i="5"/>
  <c r="G3" i="9" l="1"/>
  <c r="G3" i="7"/>
  <c r="G3" i="6"/>
  <c r="F298" i="5"/>
  <c r="G298" i="5" s="1"/>
  <c r="F297" i="5"/>
  <c r="G297" i="5" s="1"/>
  <c r="F296" i="5"/>
  <c r="G296" i="5" s="1"/>
  <c r="F295" i="5"/>
  <c r="G295" i="5" s="1"/>
  <c r="F294" i="5"/>
  <c r="G294" i="5" s="1"/>
  <c r="F293" i="5"/>
  <c r="G293" i="5" s="1"/>
  <c r="F292" i="5"/>
  <c r="G292" i="5" s="1"/>
  <c r="F291" i="5"/>
  <c r="G291" i="5" s="1"/>
  <c r="F290" i="5"/>
  <c r="G290" i="5" s="1"/>
  <c r="F289" i="5"/>
  <c r="G289" i="5" s="1"/>
  <c r="F288" i="5"/>
  <c r="G288" i="5" s="1"/>
  <c r="F287" i="5"/>
  <c r="G287" i="5" s="1"/>
  <c r="F286" i="5"/>
  <c r="G286" i="5" s="1"/>
  <c r="F285" i="5"/>
  <c r="G285" i="5" s="1"/>
  <c r="F284" i="5"/>
  <c r="G284" i="5" s="1"/>
  <c r="F283" i="5"/>
  <c r="G283" i="5" s="1"/>
  <c r="F282" i="5"/>
  <c r="G282" i="5" s="1"/>
  <c r="F281" i="5"/>
  <c r="G281" i="5" s="1"/>
  <c r="F280" i="5"/>
  <c r="G280" i="5" s="1"/>
  <c r="F279" i="5"/>
  <c r="G279" i="5" s="1"/>
  <c r="F278" i="5"/>
  <c r="G278" i="5" s="1"/>
  <c r="F277" i="5"/>
  <c r="G277" i="5" s="1"/>
  <c r="F276" i="5"/>
  <c r="G276" i="5" s="1"/>
  <c r="F275" i="5"/>
  <c r="G275" i="5" s="1"/>
  <c r="F274" i="5"/>
  <c r="G274" i="5" s="1"/>
  <c r="F273" i="5"/>
  <c r="G273" i="5" s="1"/>
  <c r="F272" i="5"/>
  <c r="G272" i="5" s="1"/>
  <c r="F271" i="5"/>
  <c r="G271" i="5" s="1"/>
  <c r="F270" i="5"/>
  <c r="G270" i="5" s="1"/>
  <c r="F269" i="5"/>
  <c r="G269" i="5" s="1"/>
  <c r="F268" i="5"/>
  <c r="G268" i="5" s="1"/>
  <c r="F267" i="5"/>
  <c r="G267" i="5" s="1"/>
  <c r="F266" i="5"/>
  <c r="G266" i="5" s="1"/>
  <c r="F265" i="5"/>
  <c r="G265" i="5" s="1"/>
  <c r="F264" i="5"/>
  <c r="G264" i="5" s="1"/>
  <c r="F263" i="5"/>
  <c r="G263" i="5" s="1"/>
  <c r="F262" i="5"/>
  <c r="G262" i="5" s="1"/>
  <c r="F261" i="5"/>
  <c r="G261" i="5" s="1"/>
  <c r="F260" i="5"/>
  <c r="G260" i="5" s="1"/>
  <c r="F259" i="5"/>
  <c r="G259" i="5" s="1"/>
  <c r="F258" i="5"/>
  <c r="G258" i="5" s="1"/>
  <c r="F257" i="5"/>
  <c r="G257" i="5" s="1"/>
  <c r="F256" i="5"/>
  <c r="G256" i="5" s="1"/>
  <c r="F255" i="5"/>
  <c r="G255" i="5" s="1"/>
  <c r="F254" i="5"/>
  <c r="G254" i="5" s="1"/>
  <c r="F253" i="5"/>
  <c r="G253" i="5" s="1"/>
  <c r="F252" i="5"/>
  <c r="G252" i="5" s="1"/>
  <c r="F251" i="5"/>
  <c r="G251" i="5" s="1"/>
  <c r="F250" i="5"/>
  <c r="G250" i="5" s="1"/>
  <c r="F249" i="5"/>
  <c r="G249" i="5" s="1"/>
  <c r="F248" i="5"/>
  <c r="G248" i="5" s="1"/>
  <c r="F247" i="5"/>
  <c r="G247" i="5" s="1"/>
  <c r="F246" i="5"/>
  <c r="G246" i="5" s="1"/>
  <c r="F245" i="5"/>
  <c r="G245" i="5" s="1"/>
  <c r="F244" i="5"/>
  <c r="G244" i="5" s="1"/>
  <c r="F243" i="5"/>
  <c r="G243" i="5" s="1"/>
  <c r="F242" i="5"/>
  <c r="G242" i="5" s="1"/>
  <c r="F241" i="5"/>
  <c r="G241" i="5" s="1"/>
  <c r="F240" i="5"/>
  <c r="G240" i="5" s="1"/>
  <c r="F239" i="5"/>
  <c r="G239" i="5" s="1"/>
  <c r="F238" i="5"/>
  <c r="G238" i="5" s="1"/>
  <c r="F237" i="5"/>
  <c r="G237" i="5" s="1"/>
  <c r="F236" i="5"/>
  <c r="G236" i="5" s="1"/>
  <c r="F235" i="5"/>
  <c r="G235" i="5" s="1"/>
  <c r="F234" i="5"/>
  <c r="G234" i="5" s="1"/>
  <c r="F233" i="5"/>
  <c r="G233" i="5" s="1"/>
  <c r="F232" i="5"/>
  <c r="G232" i="5" s="1"/>
  <c r="F231" i="5"/>
  <c r="G231" i="5" s="1"/>
  <c r="F230" i="5"/>
  <c r="G230" i="5" s="1"/>
  <c r="F229" i="5"/>
  <c r="G229" i="5" s="1"/>
  <c r="F228" i="5"/>
  <c r="G228" i="5" s="1"/>
  <c r="F227" i="5"/>
  <c r="G227" i="5" s="1"/>
  <c r="F226" i="5"/>
  <c r="G226" i="5" s="1"/>
  <c r="F225" i="5"/>
  <c r="G225" i="5" s="1"/>
  <c r="F224" i="5"/>
  <c r="G224" i="5" s="1"/>
  <c r="F223" i="5"/>
  <c r="G223" i="5" s="1"/>
  <c r="F222" i="5"/>
  <c r="G222" i="5" s="1"/>
  <c r="F221" i="5"/>
  <c r="G221" i="5" s="1"/>
  <c r="F220" i="5"/>
  <c r="G220" i="5" s="1"/>
  <c r="F219" i="5"/>
  <c r="G219" i="5" s="1"/>
  <c r="F218" i="5"/>
  <c r="G218" i="5" s="1"/>
  <c r="F217" i="5"/>
  <c r="G217" i="5" s="1"/>
  <c r="F216" i="5"/>
  <c r="G216" i="5" s="1"/>
  <c r="F215" i="5"/>
  <c r="G215" i="5" s="1"/>
  <c r="F214" i="5"/>
  <c r="G214" i="5" s="1"/>
  <c r="F213" i="5"/>
  <c r="G213" i="5" s="1"/>
  <c r="F212" i="5"/>
  <c r="G212" i="5" s="1"/>
  <c r="F211" i="5"/>
  <c r="G211" i="5" s="1"/>
  <c r="F210" i="5"/>
  <c r="G210" i="5" s="1"/>
  <c r="F209" i="5"/>
  <c r="G209" i="5" s="1"/>
  <c r="F208" i="5"/>
  <c r="G208" i="5" s="1"/>
  <c r="F207" i="5"/>
  <c r="G207" i="5" s="1"/>
  <c r="F206" i="5"/>
  <c r="G206" i="5" s="1"/>
  <c r="F205" i="5"/>
  <c r="G205" i="5" s="1"/>
  <c r="F204" i="5"/>
  <c r="G204" i="5" s="1"/>
  <c r="F203" i="5"/>
  <c r="G203" i="5" s="1"/>
  <c r="F202" i="5"/>
  <c r="G202" i="5" s="1"/>
  <c r="F201" i="5"/>
  <c r="G201" i="5" s="1"/>
  <c r="F200" i="5"/>
  <c r="G200" i="5" s="1"/>
  <c r="F199" i="5"/>
  <c r="G199" i="5" s="1"/>
  <c r="F198" i="5"/>
  <c r="G198" i="5" s="1"/>
  <c r="F197" i="5"/>
  <c r="G197" i="5" s="1"/>
  <c r="F196" i="5"/>
  <c r="G196" i="5" s="1"/>
  <c r="F195" i="5"/>
  <c r="G195" i="5" s="1"/>
  <c r="F194" i="5"/>
  <c r="G194" i="5" s="1"/>
  <c r="F193" i="5"/>
  <c r="G193" i="5" s="1"/>
  <c r="F192" i="5"/>
  <c r="G192" i="5" s="1"/>
  <c r="F191" i="5"/>
  <c r="G191" i="5" s="1"/>
  <c r="F190" i="5"/>
  <c r="G190" i="5" s="1"/>
  <c r="F189" i="5"/>
  <c r="G189" i="5" s="1"/>
  <c r="F188" i="5"/>
  <c r="G188" i="5" s="1"/>
  <c r="F187" i="5"/>
  <c r="G187" i="5" s="1"/>
  <c r="F186" i="5"/>
  <c r="G186" i="5" s="1"/>
  <c r="F185" i="5"/>
  <c r="G185" i="5" s="1"/>
  <c r="F184" i="5"/>
  <c r="G184" i="5" s="1"/>
  <c r="F183" i="5"/>
  <c r="G183" i="5" s="1"/>
  <c r="F182" i="5"/>
  <c r="G182" i="5" s="1"/>
  <c r="F181" i="5"/>
  <c r="G181" i="5" s="1"/>
  <c r="F180" i="5"/>
  <c r="G180" i="5" s="1"/>
  <c r="F179" i="5"/>
  <c r="G179" i="5" s="1"/>
  <c r="F178" i="5"/>
  <c r="G178" i="5" s="1"/>
  <c r="F177" i="5"/>
  <c r="G177" i="5" s="1"/>
  <c r="F176" i="5"/>
  <c r="G176" i="5" s="1"/>
  <c r="F175" i="5"/>
  <c r="G175" i="5" s="1"/>
  <c r="F174" i="5"/>
  <c r="G174" i="5" s="1"/>
  <c r="F173" i="5"/>
  <c r="G173" i="5" s="1"/>
  <c r="F172" i="5"/>
  <c r="G172" i="5" s="1"/>
  <c r="F171" i="5"/>
  <c r="G171" i="5" s="1"/>
  <c r="F170" i="5"/>
  <c r="G170" i="5" s="1"/>
  <c r="F169" i="5"/>
  <c r="G169" i="5" s="1"/>
  <c r="F168" i="5"/>
  <c r="G168" i="5" s="1"/>
  <c r="F167" i="5"/>
  <c r="G167" i="5" s="1"/>
  <c r="F166" i="5"/>
  <c r="G166" i="5" s="1"/>
  <c r="F165" i="5"/>
  <c r="G165" i="5" s="1"/>
  <c r="F164" i="5"/>
  <c r="G164" i="5" s="1"/>
  <c r="F163" i="5"/>
  <c r="G163" i="5" s="1"/>
  <c r="F162" i="5"/>
  <c r="G162" i="5" s="1"/>
  <c r="F161" i="5"/>
  <c r="G161" i="5" s="1"/>
  <c r="F160" i="5"/>
  <c r="G160" i="5" s="1"/>
  <c r="F159" i="5"/>
  <c r="G159" i="5" s="1"/>
  <c r="F158" i="5"/>
  <c r="G158" i="5" s="1"/>
  <c r="F157" i="5"/>
  <c r="G157" i="5" s="1"/>
  <c r="F156" i="5"/>
  <c r="G156" i="5" s="1"/>
  <c r="F155" i="5"/>
  <c r="G155" i="5" s="1"/>
  <c r="F154" i="5"/>
  <c r="G154" i="5" s="1"/>
  <c r="F153" i="5"/>
  <c r="G153" i="5" s="1"/>
  <c r="F152" i="5"/>
  <c r="G152" i="5" s="1"/>
  <c r="F151" i="5"/>
  <c r="G151" i="5" s="1"/>
  <c r="F150" i="5"/>
  <c r="G150" i="5" s="1"/>
  <c r="F149" i="5"/>
  <c r="G149" i="5" s="1"/>
  <c r="F148" i="5"/>
  <c r="G148" i="5" s="1"/>
  <c r="F147" i="5"/>
  <c r="G147" i="5" s="1"/>
  <c r="F146" i="5"/>
  <c r="G146" i="5" s="1"/>
  <c r="F145" i="5"/>
  <c r="G145" i="5" s="1"/>
  <c r="F144" i="5"/>
  <c r="G144" i="5" s="1"/>
  <c r="F143" i="5"/>
  <c r="G143" i="5" s="1"/>
  <c r="F142" i="5"/>
  <c r="G142" i="5" s="1"/>
  <c r="F141" i="5"/>
  <c r="G141" i="5" s="1"/>
  <c r="F140" i="5"/>
  <c r="G140" i="5" s="1"/>
  <c r="F139" i="5"/>
  <c r="G139" i="5" s="1"/>
  <c r="F138" i="5"/>
  <c r="G138" i="5" s="1"/>
  <c r="F137" i="5"/>
  <c r="G137" i="5" s="1"/>
  <c r="F136" i="5"/>
  <c r="G136" i="5" s="1"/>
  <c r="F135" i="5"/>
  <c r="G135" i="5" s="1"/>
  <c r="F134" i="5"/>
  <c r="G134" i="5" s="1"/>
  <c r="F133" i="5"/>
  <c r="G133" i="5" s="1"/>
  <c r="F132" i="5"/>
  <c r="G132" i="5" s="1"/>
  <c r="F131" i="5"/>
  <c r="G131" i="5" s="1"/>
  <c r="F130" i="5"/>
  <c r="G130" i="5" s="1"/>
  <c r="F129" i="5"/>
  <c r="G129" i="5" s="1"/>
  <c r="F128" i="5"/>
  <c r="G128" i="5" s="1"/>
  <c r="F127" i="5"/>
  <c r="G127" i="5" s="1"/>
  <c r="F126" i="5"/>
  <c r="G126" i="5" s="1"/>
  <c r="F125" i="5"/>
  <c r="G125" i="5" s="1"/>
  <c r="F124" i="5"/>
  <c r="G124" i="5" s="1"/>
  <c r="F123" i="5"/>
  <c r="G123" i="5" s="1"/>
  <c r="F122" i="5"/>
  <c r="G122" i="5" s="1"/>
  <c r="F121" i="5"/>
  <c r="G121" i="5" s="1"/>
  <c r="F120" i="5"/>
  <c r="G120" i="5" s="1"/>
  <c r="F119" i="5"/>
  <c r="G119" i="5" s="1"/>
  <c r="F118" i="5"/>
  <c r="G118" i="5" s="1"/>
  <c r="F117" i="5"/>
  <c r="G117" i="5" s="1"/>
  <c r="F116" i="5"/>
  <c r="G116" i="5" s="1"/>
  <c r="F115" i="5"/>
  <c r="G115" i="5" s="1"/>
  <c r="F114" i="5"/>
  <c r="G114" i="5" s="1"/>
  <c r="F113" i="5"/>
  <c r="G113" i="5" s="1"/>
  <c r="F112" i="5"/>
  <c r="G112" i="5" s="1"/>
  <c r="F111" i="5"/>
  <c r="G111" i="5" s="1"/>
  <c r="F110" i="5"/>
  <c r="G110" i="5" s="1"/>
  <c r="F109" i="5"/>
  <c r="G109" i="5" s="1"/>
  <c r="F108" i="5"/>
  <c r="G108" i="5" s="1"/>
  <c r="F107" i="5"/>
  <c r="G107" i="5" s="1"/>
  <c r="F106" i="5"/>
  <c r="G106" i="5" s="1"/>
  <c r="F105" i="5"/>
  <c r="G105" i="5" s="1"/>
  <c r="F104" i="5"/>
  <c r="G104" i="5" s="1"/>
  <c r="F103" i="5"/>
  <c r="G103" i="5" s="1"/>
  <c r="F102" i="5"/>
  <c r="G102" i="5" s="1"/>
  <c r="F101" i="5"/>
  <c r="G101" i="5" s="1"/>
  <c r="F100" i="5"/>
  <c r="G100" i="5" s="1"/>
  <c r="F99" i="5"/>
  <c r="G99" i="5" s="1"/>
  <c r="F98" i="5"/>
  <c r="G98" i="5" s="1"/>
  <c r="F97" i="5"/>
  <c r="G97" i="5" s="1"/>
  <c r="F96" i="5"/>
  <c r="G96" i="5" s="1"/>
  <c r="F95" i="5"/>
  <c r="G95" i="5" s="1"/>
  <c r="F94" i="5"/>
  <c r="G94" i="5" s="1"/>
  <c r="F93" i="5"/>
  <c r="G93" i="5" s="1"/>
  <c r="F92" i="5"/>
  <c r="G92" i="5" s="1"/>
  <c r="F91" i="5"/>
  <c r="G91" i="5" s="1"/>
  <c r="F90" i="5"/>
  <c r="G90" i="5" s="1"/>
  <c r="F89" i="5"/>
  <c r="G89" i="5" s="1"/>
  <c r="F88" i="5"/>
  <c r="G88" i="5" s="1"/>
  <c r="F87" i="5"/>
  <c r="G87" i="5" s="1"/>
  <c r="F86" i="5"/>
  <c r="G86" i="5" s="1"/>
  <c r="F85" i="5"/>
  <c r="G85" i="5" s="1"/>
  <c r="F84" i="5"/>
  <c r="G84" i="5" s="1"/>
  <c r="F83" i="5"/>
  <c r="G83" i="5" s="1"/>
  <c r="F82" i="5"/>
  <c r="G82" i="5" s="1"/>
  <c r="F81" i="5"/>
  <c r="G81" i="5" s="1"/>
  <c r="F80" i="5"/>
  <c r="G80" i="5" s="1"/>
  <c r="F79" i="5"/>
  <c r="G79" i="5" s="1"/>
  <c r="F78" i="5"/>
  <c r="G78" i="5" s="1"/>
  <c r="F77" i="5"/>
  <c r="G77" i="5" s="1"/>
  <c r="F76" i="5"/>
  <c r="G76" i="5" s="1"/>
  <c r="F75" i="5"/>
  <c r="G75" i="5" s="1"/>
  <c r="F74" i="5"/>
  <c r="G74" i="5" s="1"/>
  <c r="F73" i="5"/>
  <c r="G73" i="5" s="1"/>
  <c r="F72" i="5"/>
  <c r="G72" i="5" s="1"/>
  <c r="F71" i="5"/>
  <c r="G71" i="5" s="1"/>
  <c r="F70" i="5"/>
  <c r="G70" i="5" s="1"/>
  <c r="F69" i="5"/>
  <c r="G69" i="5" s="1"/>
  <c r="F68" i="5"/>
  <c r="G68" i="5" s="1"/>
  <c r="F67" i="5"/>
  <c r="G67" i="5" s="1"/>
  <c r="F66" i="5"/>
  <c r="G66" i="5" s="1"/>
  <c r="F65" i="5"/>
  <c r="G65" i="5" s="1"/>
  <c r="F64" i="5"/>
  <c r="G64" i="5" s="1"/>
  <c r="F63" i="5"/>
  <c r="G63" i="5" s="1"/>
  <c r="F62" i="5"/>
  <c r="G62" i="5" s="1"/>
  <c r="F61" i="5"/>
  <c r="G61" i="5" s="1"/>
  <c r="F60" i="5"/>
  <c r="G60" i="5" s="1"/>
  <c r="F59" i="5"/>
  <c r="G59" i="5" s="1"/>
  <c r="F58" i="5"/>
  <c r="G58" i="5" s="1"/>
  <c r="F57" i="5"/>
  <c r="G57" i="5" s="1"/>
  <c r="F56" i="5"/>
  <c r="G56" i="5" s="1"/>
  <c r="F55" i="5"/>
  <c r="G55" i="5" s="1"/>
  <c r="F54" i="5"/>
  <c r="G54" i="5" s="1"/>
  <c r="F53" i="5"/>
  <c r="G53" i="5" s="1"/>
  <c r="F52" i="5"/>
  <c r="G52" i="5" s="1"/>
  <c r="F51" i="5"/>
  <c r="G51" i="5" s="1"/>
  <c r="F50" i="5"/>
  <c r="G50" i="5" s="1"/>
  <c r="F49" i="5"/>
  <c r="G49" i="5" s="1"/>
  <c r="F48" i="5"/>
  <c r="G48" i="5" s="1"/>
  <c r="F47" i="5"/>
  <c r="G47" i="5" s="1"/>
  <c r="F46" i="5"/>
  <c r="G46" i="5" s="1"/>
  <c r="F45" i="5"/>
  <c r="G45" i="5" s="1"/>
  <c r="F44" i="5"/>
  <c r="G44" i="5" s="1"/>
  <c r="F43" i="5"/>
  <c r="G43" i="5" s="1"/>
  <c r="F42" i="5"/>
  <c r="G42" i="5" s="1"/>
  <c r="F41" i="5"/>
  <c r="G41" i="5" s="1"/>
  <c r="F40" i="5"/>
  <c r="G40" i="5" s="1"/>
  <c r="F39" i="5"/>
  <c r="G39" i="5" s="1"/>
  <c r="F38" i="5"/>
  <c r="G38" i="5" s="1"/>
  <c r="F37" i="5"/>
  <c r="G37" i="5" s="1"/>
  <c r="F36" i="5"/>
  <c r="G36" i="5" s="1"/>
  <c r="F35" i="5"/>
  <c r="G35" i="5" s="1"/>
  <c r="F34" i="5"/>
  <c r="G34" i="5" s="1"/>
  <c r="F33" i="5"/>
  <c r="G33" i="5" s="1"/>
  <c r="F32" i="5"/>
  <c r="G32" i="5" s="1"/>
  <c r="F31" i="5"/>
  <c r="G31" i="5" s="1"/>
  <c r="F30" i="5"/>
  <c r="G30" i="5" s="1"/>
  <c r="F29" i="5"/>
  <c r="G29" i="5" s="1"/>
  <c r="F28" i="5"/>
  <c r="G28" i="5" s="1"/>
  <c r="F27" i="5"/>
  <c r="G27" i="5" s="1"/>
  <c r="F26" i="5"/>
  <c r="G26" i="5" s="1"/>
  <c r="F25" i="5"/>
  <c r="G25" i="5" s="1"/>
  <c r="F24" i="5"/>
  <c r="G24" i="5" s="1"/>
  <c r="F23" i="5"/>
  <c r="G23" i="5" s="1"/>
  <c r="F22" i="5"/>
  <c r="G22" i="5" s="1"/>
  <c r="F21" i="5"/>
  <c r="G21" i="5" s="1"/>
  <c r="F20" i="5"/>
  <c r="G20" i="5" s="1"/>
  <c r="F19" i="5"/>
  <c r="G19" i="5" s="1"/>
  <c r="F18" i="5"/>
  <c r="G18" i="5" s="1"/>
  <c r="F17" i="5"/>
  <c r="G17" i="5" s="1"/>
  <c r="F16" i="5"/>
  <c r="G16" i="5" s="1"/>
  <c r="F15" i="5"/>
  <c r="G15" i="5" s="1"/>
  <c r="F14" i="5"/>
  <c r="G14" i="5" s="1"/>
  <c r="F13" i="5"/>
  <c r="G13" i="5" s="1"/>
  <c r="F12" i="5"/>
  <c r="G12" i="5" s="1"/>
  <c r="F11" i="5"/>
  <c r="G11" i="5" s="1"/>
  <c r="F10" i="5"/>
  <c r="G10" i="5" s="1"/>
  <c r="F9" i="5"/>
  <c r="G9" i="5" s="1"/>
  <c r="F8" i="5"/>
  <c r="G8" i="5" s="1"/>
  <c r="F7" i="5"/>
  <c r="G7" i="5" s="1"/>
  <c r="F6" i="5"/>
  <c r="G6" i="5" s="1"/>
  <c r="F5" i="5"/>
  <c r="G5" i="5" s="1"/>
  <c r="F4" i="5"/>
  <c r="G4" i="5" s="1"/>
  <c r="F3" i="5"/>
  <c r="G3" i="5" l="1"/>
</calcChain>
</file>

<file path=xl/sharedStrings.xml><?xml version="1.0" encoding="utf-8"?>
<sst xmlns="http://schemas.openxmlformats.org/spreadsheetml/2006/main" count="10984" uniqueCount="457">
  <si>
    <t>Transformatorlar Sentabr Holatiga Ko'ra</t>
  </si>
  <si>
    <t>Podstansiya</t>
  </si>
  <si>
    <t>Fider</t>
  </si>
  <si>
    <t>TP Nomi</t>
  </si>
  <si>
    <t xml:space="preserve">Umumiy oqim
</t>
  </si>
  <si>
    <t>Foydali oqim</t>
  </si>
  <si>
    <t xml:space="preserve">Yo’qotish
</t>
  </si>
  <si>
    <t>Aloqadagi abonentlar</t>
  </si>
  <si>
    <t>Aloqadan chiqqan abonentlar</t>
  </si>
  <si>
    <t>Manzil</t>
  </si>
  <si>
    <t>Lokatsiya (Lat)</t>
  </si>
  <si>
    <t>Lokatsiya (Long)</t>
  </si>
  <si>
    <t>Quvvati (KVA)</t>
  </si>
  <si>
    <t>Чинобод-110/35-10 кВ</t>
  </si>
  <si>
    <t>Ифтихор</t>
  </si>
  <si>
    <t>Шур</t>
  </si>
  <si>
    <t>Нурафшон</t>
  </si>
  <si>
    <t>Омонарик</t>
  </si>
  <si>
    <t>Захкаш</t>
  </si>
  <si>
    <t>Сарнавул</t>
  </si>
  <si>
    <t>Дарё буйи</t>
  </si>
  <si>
    <t>Ботир</t>
  </si>
  <si>
    <t>Кахрамон</t>
  </si>
  <si>
    <t>Кияли</t>
  </si>
  <si>
    <t>Туда</t>
  </si>
  <si>
    <t>Гузар</t>
  </si>
  <si>
    <t>47А</t>
  </si>
  <si>
    <t>Кургонча</t>
  </si>
  <si>
    <t>Фаровон</t>
  </si>
  <si>
    <t>Тумор</t>
  </si>
  <si>
    <t>Куштепасарой 35-10кВ</t>
  </si>
  <si>
    <t>Илгор</t>
  </si>
  <si>
    <t>Догистон</t>
  </si>
  <si>
    <t>Файзобод</t>
  </si>
  <si>
    <t>Гулшан</t>
  </si>
  <si>
    <t>Товулди (Пучугой)</t>
  </si>
  <si>
    <t>Товулди</t>
  </si>
  <si>
    <t>Тулкиобод</t>
  </si>
  <si>
    <t>Алам</t>
  </si>
  <si>
    <t>Эскихакулобод</t>
  </si>
  <si>
    <t>Кумтепа</t>
  </si>
  <si>
    <t>Сирмок</t>
  </si>
  <si>
    <t>Аълам</t>
  </si>
  <si>
    <t>Адолат</t>
  </si>
  <si>
    <t>Улмас</t>
  </si>
  <si>
    <t>Олтинкўл 35-10 кВ</t>
  </si>
  <si>
    <t>Навнихол</t>
  </si>
  <si>
    <t>Сиза</t>
  </si>
  <si>
    <t>Октепа</t>
  </si>
  <si>
    <t>Насриддинобод</t>
  </si>
  <si>
    <t>Янгихаёт</t>
  </si>
  <si>
    <t>Юз чинор</t>
  </si>
  <si>
    <t>Ниёзматчек</t>
  </si>
  <si>
    <t>Маллчек</t>
  </si>
  <si>
    <t>Ўлмас</t>
  </si>
  <si>
    <t>Омонарик МФЙ</t>
  </si>
  <si>
    <t>Навнихол МФЙ</t>
  </si>
  <si>
    <t xml:space="preserve">ИФТИХОР МФЙ  </t>
  </si>
  <si>
    <t xml:space="preserve">ИФТИХОР МФЙ </t>
  </si>
  <si>
    <t>Нурафшон МФЙ</t>
  </si>
  <si>
    <t>Ботир МФЙ</t>
  </si>
  <si>
    <t xml:space="preserve">ИФТИХОР МФЙ   </t>
  </si>
  <si>
    <t>Чинобод МФЙ</t>
  </si>
  <si>
    <t>Сиза ш\х чегара</t>
  </si>
  <si>
    <t>Тўмор МФЙ</t>
  </si>
  <si>
    <t>Ўлмас МФЙ</t>
  </si>
  <si>
    <t>Кияли МФЙ</t>
  </si>
  <si>
    <t>Омонрик МФЙ</t>
  </si>
  <si>
    <t>Догистон МФЙ</t>
  </si>
  <si>
    <t>Илгор МФЙ</t>
  </si>
  <si>
    <t>Фаровон МФЙ</t>
  </si>
  <si>
    <t>Тулкобод МФЙ</t>
  </si>
  <si>
    <t>Товулди МФЙ</t>
  </si>
  <si>
    <t>Сирмок МФЙ</t>
  </si>
  <si>
    <t>Кумтепа МФЙ</t>
  </si>
  <si>
    <t>Сарнавул МФЙ</t>
  </si>
  <si>
    <t>Алам МФЙ</t>
  </si>
  <si>
    <t>Адолат МФЙ</t>
  </si>
  <si>
    <t>Насриддинобод МФЙ</t>
  </si>
  <si>
    <t>Аълам МФЙ</t>
  </si>
  <si>
    <t>Маллачек МФЙ</t>
  </si>
  <si>
    <t>Кахрамон МФЙ</t>
  </si>
  <si>
    <t>Шур МФЙ</t>
  </si>
  <si>
    <t>ишламиди</t>
  </si>
  <si>
    <t>Сарнаул МФЙ</t>
  </si>
  <si>
    <t>Кургонча МФЙ</t>
  </si>
  <si>
    <t>Ифтихор МФЙ</t>
  </si>
  <si>
    <t>Ботир, Тўмор МФЙ</t>
  </si>
  <si>
    <t>Бирлик</t>
  </si>
  <si>
    <t>1</t>
  </si>
  <si>
    <t>340</t>
  </si>
  <si>
    <t>28A</t>
  </si>
  <si>
    <t>85</t>
  </si>
  <si>
    <t>84</t>
  </si>
  <si>
    <t>167</t>
  </si>
  <si>
    <t>364</t>
  </si>
  <si>
    <t>186</t>
  </si>
  <si>
    <t>292</t>
  </si>
  <si>
    <t>96</t>
  </si>
  <si>
    <t>153А</t>
  </si>
  <si>
    <t>269</t>
  </si>
  <si>
    <t>76</t>
  </si>
  <si>
    <t>1A</t>
  </si>
  <si>
    <t>167A</t>
  </si>
  <si>
    <t>105</t>
  </si>
  <si>
    <t>95</t>
  </si>
  <si>
    <t>29A</t>
  </si>
  <si>
    <t>81</t>
  </si>
  <si>
    <t>83</t>
  </si>
  <si>
    <t>28</t>
  </si>
  <si>
    <t>90</t>
  </si>
  <si>
    <t>88</t>
  </si>
  <si>
    <t>286</t>
  </si>
  <si>
    <t>82</t>
  </si>
  <si>
    <t>83A</t>
  </si>
  <si>
    <t>94</t>
  </si>
  <si>
    <t>295</t>
  </si>
  <si>
    <t>99</t>
  </si>
  <si>
    <t>358</t>
  </si>
  <si>
    <t>91</t>
  </si>
  <si>
    <t>167/1</t>
  </si>
  <si>
    <t>130</t>
  </si>
  <si>
    <t>105A</t>
  </si>
  <si>
    <t>6</t>
  </si>
  <si>
    <t>7</t>
  </si>
  <si>
    <t>8</t>
  </si>
  <si>
    <t>10</t>
  </si>
  <si>
    <t>12</t>
  </si>
  <si>
    <t>14</t>
  </si>
  <si>
    <t>15</t>
  </si>
  <si>
    <t>19</t>
  </si>
  <si>
    <t>20</t>
  </si>
  <si>
    <t>24</t>
  </si>
  <si>
    <t>27</t>
  </si>
  <si>
    <t>29</t>
  </si>
  <si>
    <t>30</t>
  </si>
  <si>
    <t>33</t>
  </si>
  <si>
    <t>34</t>
  </si>
  <si>
    <t>36</t>
  </si>
  <si>
    <t>39</t>
  </si>
  <si>
    <t>40</t>
  </si>
  <si>
    <t>41</t>
  </si>
  <si>
    <t>42</t>
  </si>
  <si>
    <t>43</t>
  </si>
  <si>
    <t>44</t>
  </si>
  <si>
    <t>47</t>
  </si>
  <si>
    <t>48</t>
  </si>
  <si>
    <t>49</t>
  </si>
  <si>
    <t>50</t>
  </si>
  <si>
    <t>51</t>
  </si>
  <si>
    <t>52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</si>
  <si>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</si>
  <si>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</si>
  <si>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</si>
  <si>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</si>
  <si>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</si>
  <si>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</si>
  <si>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</si>
  <si>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</si>
  <si>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</si>
  <si>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</si>
  <si>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</si>
  <si>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</si>
  <si>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</si>
  <si>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</si>
  <si>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</si>
  <si>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</si>
  <si>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71</t>
  </si>
  <si>
    <t>72</t>
  </si>
  <si>
    <t>73</t>
  </si>
  <si>
    <t>74</t>
  </si>
  <si>
    <t>75</t>
  </si>
  <si>
    <t>77</t>
  </si>
  <si>
    <t>78</t>
  </si>
  <si>
    <t>79</t>
  </si>
  <si>
    <t>86</t>
  </si>
  <si>
    <t>87</t>
  </si>
  <si>
    <t>89</t>
  </si>
  <si>
    <t>97</t>
  </si>
  <si>
    <t>100</t>
  </si>
  <si>
    <t>102</t>
  </si>
  <si>
    <t>104</t>
  </si>
  <si>
    <t>106</t>
  </si>
  <si>
    <t>109</t>
  </si>
  <si>
    <t>112</t>
  </si>
  <si>
    <t>113</t>
  </si>
  <si>
    <t>116</t>
  </si>
  <si>
    <t>117</t>
  </si>
  <si>
    <t>118</t>
  </si>
  <si>
    <t>122</t>
  </si>
  <si>
    <t>123</t>
  </si>
  <si>
    <t>124</t>
  </si>
  <si>
    <t>125</t>
  </si>
  <si>
    <t>126</t>
  </si>
  <si>
    <t>128</t>
  </si>
  <si>
    <t>131</t>
  </si>
  <si>
    <t>133</t>
  </si>
  <si>
    <t>134</t>
  </si>
  <si>
    <t>135</t>
  </si>
  <si>
    <t>136</t>
  </si>
  <si>
    <t>138</t>
  </si>
  <si>
    <t>139</t>
  </si>
  <si>
    <t>141</t>
  </si>
  <si>
    <t>144</t>
  </si>
  <si>
    <t>146</t>
  </si>
  <si>
    <t>147</t>
  </si>
  <si>
    <t>150</t>
  </si>
  <si>
    <t>151</t>
  </si>
  <si>
    <t>152</t>
  </si>
  <si>
    <t>153</t>
  </si>
  <si>
    <t>155</t>
  </si>
  <si>
    <t>156</t>
  </si>
  <si>
    <t>157</t>
  </si>
  <si>
    <t>158</t>
  </si>
  <si>
    <t>160</t>
  </si>
  <si>
    <t>163</t>
  </si>
  <si>
    <t>164</t>
  </si>
  <si>
    <t>165</t>
  </si>
  <si>
    <t>166</t>
  </si>
  <si>
    <t>169</t>
  </si>
  <si>
    <t>170</t>
  </si>
  <si>
    <t>171</t>
  </si>
  <si>
    <t>173</t>
  </si>
  <si>
    <t>174</t>
  </si>
  <si>
    <t>175</t>
  </si>
  <si>
    <t>176</t>
  </si>
  <si>
    <t>179</t>
  </si>
  <si>
    <t>180</t>
  </si>
  <si>
    <t>181</t>
  </si>
  <si>
    <t>182</t>
  </si>
  <si>
    <t>183</t>
  </si>
  <si>
    <t>184</t>
  </si>
  <si>
    <t>187</t>
  </si>
  <si>
    <t>188</t>
  </si>
  <si>
    <t>190</t>
  </si>
  <si>
    <t>192</t>
  </si>
  <si>
    <t>193</t>
  </si>
  <si>
    <t>194</t>
  </si>
  <si>
    <t>197</t>
  </si>
  <si>
    <t>199</t>
  </si>
  <si>
    <t>200</t>
  </si>
  <si>
    <t>203</t>
  </si>
  <si>
    <t>204</t>
  </si>
  <si>
    <t>205</t>
  </si>
  <si>
    <t>206</t>
  </si>
  <si>
    <t>208</t>
  </si>
  <si>
    <t>209</t>
  </si>
  <si>
    <t>210</t>
  </si>
  <si>
    <t>213</t>
  </si>
  <si>
    <t>214</t>
  </si>
  <si>
    <t>215</t>
  </si>
  <si>
    <t>217</t>
  </si>
  <si>
    <t>219</t>
  </si>
  <si>
    <t>220</t>
  </si>
  <si>
    <t>222</t>
  </si>
  <si>
    <t>223</t>
  </si>
  <si>
    <t>224</t>
  </si>
  <si>
    <t>226</t>
  </si>
  <si>
    <t>228</t>
  </si>
  <si>
    <t>229</t>
  </si>
  <si>
    <t>233</t>
  </si>
  <si>
    <t>251</t>
  </si>
  <si>
    <t>256</t>
  </si>
  <si>
    <t>257</t>
  </si>
  <si>
    <t>258</t>
  </si>
  <si>
    <t>259</t>
  </si>
  <si>
    <t>260</t>
  </si>
  <si>
    <t>261</t>
  </si>
  <si>
    <t>263</t>
  </si>
  <si>
    <t>264</t>
  </si>
  <si>
    <t>266</t>
  </si>
  <si>
    <t>267</t>
  </si>
  <si>
    <t>268</t>
  </si>
  <si>
    <t>272</t>
  </si>
  <si>
    <t>273</t>
  </si>
  <si>
    <t>274</t>
  </si>
  <si>
    <t>275</t>
  </si>
  <si>
    <t>277</t>
  </si>
  <si>
    <t>278</t>
  </si>
  <si>
    <t>279</t>
  </si>
  <si>
    <t>280</t>
  </si>
  <si>
    <t>281</t>
  </si>
  <si>
    <t>282</t>
  </si>
  <si>
    <t>284</t>
  </si>
  <si>
    <t>285</t>
  </si>
  <si>
    <t>287</t>
  </si>
  <si>
    <t>288</t>
  </si>
  <si>
    <t>289</t>
  </si>
  <si>
    <t>290</t>
  </si>
  <si>
    <t>291</t>
  </si>
  <si>
    <t>293</t>
  </si>
  <si>
    <t>294</t>
  </si>
  <si>
    <t>298</t>
  </si>
  <si>
    <t>302</t>
  </si>
  <si>
    <t>303</t>
  </si>
  <si>
    <t>304</t>
  </si>
  <si>
    <t>305</t>
  </si>
  <si>
    <t>306</t>
  </si>
  <si>
    <t>308</t>
  </si>
  <si>
    <t>309</t>
  </si>
  <si>
    <t>310</t>
  </si>
  <si>
    <t>311</t>
  </si>
  <si>
    <t>312</t>
  </si>
  <si>
    <t>313</t>
  </si>
  <si>
    <t>315</t>
  </si>
  <si>
    <t>318</t>
  </si>
  <si>
    <t>321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</si>
  <si>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</si>
  <si>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</si>
  <si>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</si>
  <si>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</si>
  <si>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</si>
  <si>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</si>
  <si>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</si>
  <si>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</si>
  <si>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</si>
  <si>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</si>
  <si>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</si>
  <si>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336</t>
  </si>
  <si>
    <t>337</t>
  </si>
  <si>
    <t>341</t>
  </si>
  <si>
    <t>347</t>
  </si>
  <si>
    <t>348</t>
  </si>
  <si>
    <t>350</t>
  </si>
  <si>
    <t>354</t>
  </si>
  <si>
    <t>355</t>
  </si>
  <si>
    <t>357</t>
  </si>
  <si>
    <t>360</t>
  </si>
  <si>
    <t>361</t>
  </si>
  <si>
    <t>362</t>
  </si>
  <si>
    <t>363</t>
  </si>
  <si>
    <t>365</t>
  </si>
  <si>
    <t>366</t>
  </si>
  <si>
    <t>371</t>
  </si>
  <si>
    <t>372</t>
  </si>
  <si>
    <t>373</t>
  </si>
  <si>
    <t>385</t>
  </si>
  <si>
    <t>386</t>
  </si>
  <si>
    <t>387</t>
  </si>
  <si>
    <t>421</t>
  </si>
  <si>
    <t>422</t>
  </si>
  <si>
    <t>423</t>
  </si>
  <si>
    <t>116A</t>
  </si>
  <si>
    <t>122A</t>
  </si>
  <si>
    <t>124A</t>
  </si>
  <si>
    <t>125-A</t>
  </si>
  <si>
    <t>130-A</t>
  </si>
  <si>
    <t>131A</t>
  </si>
  <si>
    <t>134A</t>
  </si>
  <si>
    <t>138A</t>
  </si>
  <si>
    <t>150A</t>
  </si>
  <si>
    <t>156A</t>
  </si>
  <si>
    <t>15A</t>
  </si>
  <si>
    <t>160A</t>
  </si>
  <si>
    <t>163A</t>
  </si>
  <si>
    <t>166А</t>
  </si>
  <si>
    <t>179A</t>
  </si>
  <si>
    <t>188A</t>
  </si>
  <si>
    <t>193A</t>
  </si>
  <si>
    <t>199A</t>
  </si>
  <si>
    <t>214A</t>
  </si>
  <si>
    <t>226A</t>
  </si>
  <si>
    <t>233A</t>
  </si>
  <si>
    <t>24A</t>
  </si>
  <si>
    <t>258A</t>
  </si>
  <si>
    <t>264-1</t>
  </si>
  <si>
    <t>264A</t>
  </si>
  <si>
    <t>292А</t>
  </si>
  <si>
    <t>315A</t>
  </si>
  <si>
    <t>355А</t>
  </si>
  <si>
    <t>358A</t>
  </si>
  <si>
    <t>387A</t>
  </si>
  <si>
    <t>40A</t>
  </si>
  <si>
    <t>44А</t>
  </si>
  <si>
    <t>54A</t>
  </si>
  <si>
    <t>55A</t>
  </si>
  <si>
    <t>57A</t>
  </si>
  <si>
    <t>58А</t>
  </si>
  <si>
    <t>62A</t>
  </si>
  <si>
    <t>65A</t>
  </si>
  <si>
    <t>66A</t>
  </si>
  <si>
    <t>74A</t>
  </si>
  <si>
    <t>76A</t>
  </si>
  <si>
    <t>76B</t>
  </si>
  <si>
    <t>F.Jo'jaxona</t>
  </si>
  <si>
    <t>F.Tashlama</t>
  </si>
  <si>
    <t>F.Qiyali</t>
  </si>
  <si>
    <t>F.Kamoliy</t>
  </si>
  <si>
    <t>F.Xaqulobod</t>
  </si>
  <si>
    <t>F.Sirmoq</t>
  </si>
  <si>
    <t>F.Qaxramon</t>
  </si>
  <si>
    <t>F.Yangi qishloq</t>
  </si>
  <si>
    <t>F.Alpomish</t>
  </si>
  <si>
    <t>301</t>
  </si>
  <si>
    <t>45</t>
  </si>
  <si>
    <t>307</t>
  </si>
  <si>
    <t>343</t>
  </si>
  <si>
    <t>455</t>
  </si>
  <si>
    <t>300A</t>
  </si>
  <si>
    <t>468</t>
  </si>
  <si>
    <t>230</t>
  </si>
  <si>
    <t>42A</t>
  </si>
  <si>
    <t>456</t>
  </si>
  <si>
    <t>300</t>
  </si>
  <si>
    <t>459</t>
  </si>
  <si>
    <t>46</t>
  </si>
  <si>
    <t>465</t>
  </si>
  <si>
    <t>467</t>
  </si>
  <si>
    <t>469</t>
  </si>
  <si>
    <t>474</t>
  </si>
  <si>
    <t>101</t>
  </si>
  <si>
    <t>103</t>
  </si>
  <si>
    <t>107</t>
  </si>
  <si>
    <t>114</t>
  </si>
  <si>
    <t>460</t>
  </si>
  <si>
    <t>253</t>
  </si>
  <si>
    <t>248</t>
  </si>
  <si>
    <t>462</t>
  </si>
  <si>
    <t>93</t>
  </si>
  <si>
    <t>463</t>
  </si>
  <si>
    <t>476</t>
  </si>
  <si>
    <t>478</t>
  </si>
  <si>
    <t>491</t>
  </si>
  <si>
    <t>98</t>
  </si>
  <si>
    <t>3</t>
  </si>
  <si>
    <t>253A</t>
  </si>
  <si>
    <t>297</t>
  </si>
  <si>
    <t>457</t>
  </si>
  <si>
    <t>235</t>
  </si>
  <si>
    <t>5</t>
  </si>
  <si>
    <t>262</t>
  </si>
  <si>
    <t>466</t>
  </si>
  <si>
    <t>472</t>
  </si>
  <si>
    <t>464</t>
  </si>
  <si>
    <t>483</t>
  </si>
  <si>
    <t>480</t>
  </si>
  <si>
    <t>22</t>
  </si>
  <si>
    <t>346</t>
  </si>
  <si>
    <t>492</t>
  </si>
  <si>
    <t>212</t>
  </si>
  <si>
    <t>211</t>
  </si>
  <si>
    <t>473</t>
  </si>
  <si>
    <t>461</t>
  </si>
  <si>
    <t>471</t>
  </si>
  <si>
    <t>189</t>
  </si>
  <si>
    <t>475</t>
  </si>
  <si>
    <t>162</t>
  </si>
  <si>
    <t>487</t>
  </si>
  <si>
    <t>335</t>
  </si>
  <si>
    <t>494</t>
  </si>
  <si>
    <t>127</t>
  </si>
  <si>
    <t>143</t>
  </si>
  <si>
    <t>485</t>
  </si>
  <si>
    <t>495</t>
  </si>
  <si>
    <t>470</t>
  </si>
  <si>
    <t>488</t>
  </si>
  <si>
    <t>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</si>
</sst>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1">
    <font>
      <sz val="10"/>
      <color rgb="FF000000"/>
      <name val="Arial"/>
      <scheme val="minor"/>
    </font>
    <font>
      <b/>
      <sz val="16"/>
      <color rgb="FF00FF00"/>
      <name val="Arial"/>
      <family val="2"/>
      <charset val="204"/>
      <scheme val="minor"/>
    </font>
    <font>
      <b/>
      <sz val="12"/>
      <color rgb="FFFFFF00"/>
      <name val="Arial"/>
      <family val="2"/>
      <charset val="204"/>
      <scheme val="minor"/>
    </font>
    <font>
      <sz val="12"/>
      <color theme="1"/>
      <name val="Arial"/>
      <family val="2"/>
      <charset val="204"/>
      <scheme val="minor"/>
    </font>
    <font>
      <sz val="12"/>
      <name val="Times New Roman"/>
      <family val="1"/>
      <charset val="204"/>
    </font>
    <font>
      <sz val="14"/>
      <name val="Times New Roman"/>
      <family val="1"/>
      <charset val="204"/>
    </font>
    <font>
      <sz val="13"/>
      <color indexed="8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4"/>
      <color rgb="FFFFFF00"/>
      <name val="Arial"/>
      <family val="2"/>
      <charset val="204"/>
      <scheme val="minor"/>
    </font>
    <font>
      <sz val="14"/>
      <color indexed="8"/>
      <name val="Times New Roman"/>
      <family val="1"/>
      <charset val="204"/>
    </font>
    <font>
      <sz val="14"/>
      <color indexed="10"/>
      <name val="Times New Roman"/>
      <family val="1"/>
      <charset val="204"/>
    </font>
    <font>
      <sz val="14"/>
      <color theme="1"/>
      <name val="Arial"/>
      <family val="2"/>
      <charset val="204"/>
      <scheme val="minor"/>
    </font>
    <font>
      <sz val="14"/>
      <color rgb="FF000000"/>
      <name val="Arial"/>
      <family val="2"/>
      <charset val="204"/>
      <scheme val="minor"/>
    </font>
    <font>
      <b/>
      <sz val="14"/>
      <color rgb="FFFFFF00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0"/>
      <name val="Arial"/>
      <family val="2"/>
      <charset val="204"/>
    </font>
    <font>
      <sz val="16"/>
      <color indexed="8"/>
      <name val="Calibri"/>
      <family val="2"/>
      <charset val="204"/>
    </font>
    <font>
      <sz val="16"/>
      <color theme="1"/>
      <name val="Arial"/>
      <family val="2"/>
      <charset val="204"/>
      <scheme val="minor"/>
    </font>
    <font>
      <sz val="16"/>
      <name val="微软雅黑"/>
    </font>
    <font>
      <sz val="16"/>
      <color rgb="FF000000"/>
      <name val="Arial"/>
      <family val="2"/>
      <charset val="204"/>
      <scheme val="minor"/>
    </font>
    <font>
      <sz val="11"/>
      <color indexed="8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5" fillId="0" borderId="0"/>
    <xf numFmtId="0" fontId="20" fillId="0" borderId="0"/>
  </cellStyleXfs>
  <cellXfs count="45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0" fillId="0" borderId="0" xfId="0"/>
    <xf numFmtId="0" fontId="7" fillId="0" borderId="0" xfId="0" applyFont="1"/>
    <xf numFmtId="0" fontId="12" fillId="0" borderId="0" xfId="0" applyFont="1"/>
    <xf numFmtId="164" fontId="17" fillId="0" borderId="1" xfId="0" applyNumberFormat="1" applyFont="1" applyBorder="1" applyAlignment="1">
      <alignment horizontal="center" vertical="center" wrapText="1"/>
    </xf>
    <xf numFmtId="164" fontId="16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right" vertical="center" wrapText="1"/>
    </xf>
    <xf numFmtId="0" fontId="19" fillId="0" borderId="1" xfId="0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 wrapText="1"/>
    </xf>
    <xf numFmtId="0" fontId="0" fillId="0" borderId="0" xfId="0"/>
    <xf numFmtId="0" fontId="7" fillId="0" borderId="0" xfId="0" applyFont="1"/>
    <xf numFmtId="0" fontId="12" fillId="0" borderId="0" xfId="0" applyFont="1"/>
    <xf numFmtId="3" fontId="3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7" fillId="0" borderId="0" xfId="0" applyFont="1"/>
    <xf numFmtId="0" fontId="12" fillId="0" borderId="0" xfId="0" applyFont="1"/>
    <xf numFmtId="0" fontId="0" fillId="0" borderId="1" xfId="0" applyBorder="1"/>
    <xf numFmtId="0" fontId="7" fillId="0" borderId="1" xfId="0" applyFont="1" applyBorder="1"/>
    <xf numFmtId="0" fontId="12" fillId="0" borderId="1" xfId="0" applyFont="1" applyBorder="1"/>
    <xf numFmtId="164" fontId="17" fillId="3" borderId="1" xfId="0" applyNumberFormat="1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2" xr:uid="{CD08AE27-E9CE-4CA0-BBD4-F8804BA652A2}"/>
    <cellStyle name="Обычный 2 3" xfId="1" xr:uid="{00000000-0005-0000-0000-000001000000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56C39-298B-4356-8EEF-F3C98E6BDE6C}">
  <sheetPr>
    <outlinePr summaryBelow="0" summaryRight="0"/>
  </sheetPr>
  <dimension ref="A1:N586"/>
  <sheetViews>
    <sheetView zoomScale="55" zoomScaleNormal="55" workbookViewId="0">
      <pane xSplit="1" ySplit="2" topLeftCell="B344" activePane="bottomRight" state="frozen"/>
      <selection pane="topRight" activeCell="B1" sqref="B1"/>
      <selection pane="bottomLeft" activeCell="A3" sqref="A3"/>
      <selection pane="bottomRight" activeCell="D363" sqref="D363"/>
    </sheetView>
  </sheetViews>
  <sheetFormatPr defaultColWidth="12.5703125" defaultRowHeight="15.75" customHeight="1"/>
  <cols>
    <col min="1" max="6" width="31.5703125" style="24" customWidth="1"/>
    <col min="7" max="7" width="31.5703125" style="32" customWidth="1"/>
    <col min="8" max="10" width="31.5703125" style="24" customWidth="1"/>
    <col min="11" max="12" width="31.5703125" style="25" customWidth="1"/>
    <col min="13" max="13" width="31.5703125" style="26" customWidth="1"/>
    <col min="14" max="16384" width="12.5703125" style="24"/>
  </cols>
  <sheetData>
    <row r="1" spans="1:14" ht="30" customHeight="1">
      <c r="A1" s="37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9"/>
      <c r="L1" s="39"/>
      <c r="M1" s="40"/>
    </row>
    <row r="2" spans="1:14" ht="3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/>
      <c r="H2" s="1" t="s">
        <v>7</v>
      </c>
      <c r="I2" s="1" t="s">
        <v>8</v>
      </c>
      <c r="J2" s="1" t="s">
        <v>9</v>
      </c>
      <c r="K2" s="10" t="s">
        <v>10</v>
      </c>
      <c r="L2" s="10" t="s">
        <v>11</v>
      </c>
      <c r="M2" s="8" t="s">
        <v>12</v>
      </c>
    </row>
    <row r="3" spans="1:14" ht="30" customHeight="1">
      <c r="A3" s="7" t="s">
        <v>13</v>
      </c>
      <c r="B3" s="30" t="s">
        <v>384</v>
      </c>
      <c r="C3" s="30" t="s">
        <v>89</v>
      </c>
      <c r="D3" s="27">
        <v>30609.805469516581</v>
      </c>
      <c r="E3" s="28">
        <v>19078.881545474953</v>
      </c>
      <c r="F3" s="27">
        <f>+D3-E3</f>
        <v>11530.923924041628</v>
      </c>
      <c r="G3" s="27">
        <f t="shared" ref="G3:G66" si="0">+F3*100/D3</f>
        <v>37.6706867200608</v>
      </c>
      <c r="H3" s="29">
        <v>61</v>
      </c>
      <c r="I3" s="29">
        <v>3</v>
      </c>
      <c r="J3" s="18" t="s">
        <v>14</v>
      </c>
      <c r="K3" s="30">
        <v>40.865291666700003</v>
      </c>
      <c r="L3" s="30">
        <v>71.961494999999999</v>
      </c>
      <c r="M3" s="15">
        <v>160</v>
      </c>
      <c r="N3" s="24">
        <v>3</v>
      </c>
    </row>
    <row r="4" spans="1:14" ht="30" customHeight="1">
      <c r="A4" s="7" t="s">
        <v>13</v>
      </c>
      <c r="B4" s="30" t="s">
        <v>385</v>
      </c>
      <c r="C4" s="30" t="s">
        <v>123</v>
      </c>
      <c r="D4" s="27">
        <v>32364.276179516579</v>
      </c>
      <c r="E4" s="28">
        <v>20613.851545474954</v>
      </c>
      <c r="F4" s="27">
        <f>+D4-E4</f>
        <v>11750.424634041625</v>
      </c>
      <c r="G4" s="27">
        <f t="shared" si="0"/>
        <v>36.306774076654598</v>
      </c>
      <c r="H4" s="29">
        <v>35</v>
      </c>
      <c r="I4" s="29">
        <v>7</v>
      </c>
      <c r="J4" s="4" t="s">
        <v>16</v>
      </c>
      <c r="K4" s="30">
        <v>40.859666666700001</v>
      </c>
      <c r="L4" s="30">
        <v>72.121076666700006</v>
      </c>
      <c r="M4" s="15">
        <v>63</v>
      </c>
    </row>
    <row r="5" spans="1:14" ht="30" customHeight="1">
      <c r="A5" s="7" t="s">
        <v>13</v>
      </c>
      <c r="B5" s="30" t="s">
        <v>386</v>
      </c>
      <c r="C5" s="30" t="s">
        <v>124</v>
      </c>
      <c r="D5" s="27">
        <v>34043.308889516578</v>
      </c>
      <c r="E5" s="28">
        <v>22082.821545474952</v>
      </c>
      <c r="F5" s="27">
        <f t="shared" ref="F5:F68" si="1">+D5-E5</f>
        <v>11960.487344041627</v>
      </c>
      <c r="G5" s="27">
        <f t="shared" si="0"/>
        <v>35.133151665303558</v>
      </c>
      <c r="H5" s="29">
        <v>19</v>
      </c>
      <c r="I5" s="29">
        <v>4</v>
      </c>
      <c r="J5" s="4" t="s">
        <v>15</v>
      </c>
      <c r="K5" s="30">
        <v>40.875443333299998</v>
      </c>
      <c r="L5" s="30">
        <v>71.966825</v>
      </c>
      <c r="M5" s="15">
        <v>250</v>
      </c>
    </row>
    <row r="6" spans="1:14" ht="30" customHeight="1">
      <c r="A6" s="7" t="s">
        <v>13</v>
      </c>
      <c r="B6" s="30" t="s">
        <v>387</v>
      </c>
      <c r="C6" s="30" t="s">
        <v>125</v>
      </c>
      <c r="D6" s="27">
        <v>33576.919169516579</v>
      </c>
      <c r="E6" s="28">
        <v>21674.781545474954</v>
      </c>
      <c r="F6" s="27">
        <f t="shared" si="1"/>
        <v>11902.137624041625</v>
      </c>
      <c r="G6" s="27">
        <f t="shared" si="0"/>
        <v>35.447378492209012</v>
      </c>
      <c r="H6" s="29">
        <v>69</v>
      </c>
      <c r="I6" s="29">
        <v>3</v>
      </c>
      <c r="J6" s="4" t="s">
        <v>15</v>
      </c>
      <c r="K6" s="30">
        <v>40.879336666500002</v>
      </c>
      <c r="L6" s="30">
        <v>71.986581666700005</v>
      </c>
      <c r="M6" s="15">
        <v>160</v>
      </c>
    </row>
    <row r="7" spans="1:14" ht="30" customHeight="1">
      <c r="A7" s="7" t="s">
        <v>13</v>
      </c>
      <c r="B7" s="30" t="s">
        <v>388</v>
      </c>
      <c r="C7" s="30" t="s">
        <v>126</v>
      </c>
      <c r="D7" s="27">
        <v>29738.55752951658</v>
      </c>
      <c r="E7" s="28">
        <v>18316.634878808287</v>
      </c>
      <c r="F7" s="27">
        <f t="shared" si="1"/>
        <v>11421.922650708293</v>
      </c>
      <c r="G7" s="27">
        <f t="shared" si="0"/>
        <v>38.407789750298505</v>
      </c>
      <c r="H7" s="29">
        <v>13</v>
      </c>
      <c r="I7" s="29">
        <v>3</v>
      </c>
      <c r="J7" s="4" t="s">
        <v>15</v>
      </c>
      <c r="K7" s="30">
        <v>40.874026666600002</v>
      </c>
      <c r="L7" s="30">
        <v>72.094549999700007</v>
      </c>
      <c r="M7" s="15">
        <v>400</v>
      </c>
    </row>
    <row r="8" spans="1:14" ht="30" customHeight="1">
      <c r="A8" s="7" t="s">
        <v>13</v>
      </c>
      <c r="B8" s="30" t="s">
        <v>385</v>
      </c>
      <c r="C8" s="30" t="s">
        <v>127</v>
      </c>
      <c r="D8" s="27">
        <v>33262.430339516577</v>
      </c>
      <c r="E8" s="28">
        <v>21399.638212141621</v>
      </c>
      <c r="F8" s="27">
        <f t="shared" si="1"/>
        <v>11862.792127374956</v>
      </c>
      <c r="G8" s="27">
        <f t="shared" si="0"/>
        <v>35.664237418279292</v>
      </c>
      <c r="H8" s="29">
        <v>59</v>
      </c>
      <c r="I8" s="29">
        <v>5</v>
      </c>
      <c r="J8" s="4" t="s">
        <v>17</v>
      </c>
      <c r="K8" s="30">
        <v>40.859666666700001</v>
      </c>
      <c r="L8" s="30">
        <v>72.121076666700006</v>
      </c>
      <c r="M8" s="15">
        <v>100</v>
      </c>
    </row>
    <row r="9" spans="1:14" ht="30" customHeight="1">
      <c r="A9" s="7" t="s">
        <v>13</v>
      </c>
      <c r="B9" s="30" t="s">
        <v>385</v>
      </c>
      <c r="C9" s="30" t="s">
        <v>128</v>
      </c>
      <c r="D9" s="27">
        <v>36208.337579516578</v>
      </c>
      <c r="E9" s="28">
        <v>23976.984878808289</v>
      </c>
      <c r="F9" s="27">
        <f t="shared" si="1"/>
        <v>12231.352700708288</v>
      </c>
      <c r="G9" s="27">
        <f t="shared" si="0"/>
        <v>33.780486811489766</v>
      </c>
      <c r="H9" s="29">
        <v>81</v>
      </c>
      <c r="I9" s="29">
        <v>7</v>
      </c>
      <c r="J9" s="4" t="s">
        <v>17</v>
      </c>
      <c r="K9" s="30">
        <v>40.861923333299998</v>
      </c>
      <c r="L9" s="30">
        <v>72.000451666700002</v>
      </c>
      <c r="M9" s="15">
        <v>250</v>
      </c>
    </row>
    <row r="10" spans="1:14" ht="30" customHeight="1">
      <c r="A10" s="7" t="s">
        <v>13</v>
      </c>
      <c r="B10" s="30" t="s">
        <v>388</v>
      </c>
      <c r="C10" s="30" t="s">
        <v>129</v>
      </c>
      <c r="D10" s="27">
        <v>34882.777619516579</v>
      </c>
      <c r="E10" s="28">
        <v>22817.264878808288</v>
      </c>
      <c r="F10" s="27">
        <f t="shared" si="1"/>
        <v>12065.512740708291</v>
      </c>
      <c r="G10" s="27">
        <f t="shared" si="0"/>
        <v>34.588738523957886</v>
      </c>
      <c r="H10" s="29">
        <v>97</v>
      </c>
      <c r="I10" s="29">
        <v>3</v>
      </c>
      <c r="J10" s="4" t="s">
        <v>17</v>
      </c>
      <c r="K10" s="30">
        <v>40.876303333300001</v>
      </c>
      <c r="L10" s="30">
        <v>71.989218333300002</v>
      </c>
      <c r="M10" s="15">
        <v>160</v>
      </c>
    </row>
    <row r="11" spans="1:14" ht="30" customHeight="1">
      <c r="A11" s="7" t="s">
        <v>13</v>
      </c>
      <c r="B11" s="30" t="s">
        <v>387</v>
      </c>
      <c r="C11" s="30" t="s">
        <v>130</v>
      </c>
      <c r="D11" s="27">
        <v>35264.173859516581</v>
      </c>
      <c r="E11" s="28">
        <v>23150.944878808288</v>
      </c>
      <c r="F11" s="27">
        <f t="shared" si="1"/>
        <v>12113.228980708293</v>
      </c>
      <c r="G11" s="27">
        <f t="shared" si="0"/>
        <v>34.349958201103156</v>
      </c>
      <c r="H11" s="29">
        <v>66</v>
      </c>
      <c r="I11" s="29">
        <v>3</v>
      </c>
      <c r="J11" s="4" t="s">
        <v>14</v>
      </c>
      <c r="K11" s="30">
        <v>40.880254999999998</v>
      </c>
      <c r="L11" s="30">
        <v>71.986491666700005</v>
      </c>
      <c r="M11" s="15">
        <v>400</v>
      </c>
    </row>
    <row r="12" spans="1:14" ht="30" customHeight="1">
      <c r="A12" s="7" t="s">
        <v>13</v>
      </c>
      <c r="B12" s="30" t="s">
        <v>388</v>
      </c>
      <c r="C12" s="30" t="s">
        <v>131</v>
      </c>
      <c r="D12" s="27">
        <v>32689.135829516577</v>
      </c>
      <c r="E12" s="28">
        <v>20898.068212141621</v>
      </c>
      <c r="F12" s="27">
        <f t="shared" si="1"/>
        <v>11791.067617374956</v>
      </c>
      <c r="G12" s="27">
        <f t="shared" si="0"/>
        <v>36.070294665692082</v>
      </c>
      <c r="H12" s="29">
        <v>61</v>
      </c>
      <c r="I12" s="29">
        <v>4</v>
      </c>
      <c r="J12" s="4" t="s">
        <v>16</v>
      </c>
      <c r="K12" s="30">
        <v>40.881878333300001</v>
      </c>
      <c r="L12" s="30">
        <v>71.992743333299998</v>
      </c>
      <c r="M12" s="15">
        <v>60</v>
      </c>
    </row>
    <row r="13" spans="1:14" ht="30" customHeight="1">
      <c r="A13" s="7" t="s">
        <v>13</v>
      </c>
      <c r="B13" s="30" t="s">
        <v>388</v>
      </c>
      <c r="C13" s="30" t="s">
        <v>132</v>
      </c>
      <c r="D13" s="27">
        <v>37287.805829516583</v>
      </c>
      <c r="E13" s="28">
        <v>24921.401545474953</v>
      </c>
      <c r="F13" s="27">
        <f t="shared" si="1"/>
        <v>12366.40428404163</v>
      </c>
      <c r="G13" s="27">
        <f t="shared" si="0"/>
        <v>33.164741150450133</v>
      </c>
      <c r="H13" s="29">
        <v>22</v>
      </c>
      <c r="I13" s="29">
        <v>4</v>
      </c>
      <c r="J13" s="4" t="s">
        <v>18</v>
      </c>
      <c r="K13" s="30">
        <v>40.8861933333</v>
      </c>
      <c r="L13" s="30">
        <v>71.991990000000001</v>
      </c>
      <c r="M13" s="15">
        <v>100</v>
      </c>
    </row>
    <row r="14" spans="1:14" ht="30" customHeight="1">
      <c r="A14" s="7" t="s">
        <v>13</v>
      </c>
      <c r="B14" s="30" t="s">
        <v>388</v>
      </c>
      <c r="C14" s="30" t="s">
        <v>133</v>
      </c>
      <c r="D14" s="27">
        <v>37344.010949516582</v>
      </c>
      <c r="E14" s="28">
        <v>24970.574878808289</v>
      </c>
      <c r="F14" s="27">
        <f t="shared" si="1"/>
        <v>12373.436070708292</v>
      </c>
      <c r="G14" s="27">
        <f t="shared" si="0"/>
        <v>33.133655855647895</v>
      </c>
      <c r="H14" s="29">
        <v>105</v>
      </c>
      <c r="I14" s="29">
        <v>4</v>
      </c>
      <c r="J14" s="4" t="s">
        <v>18</v>
      </c>
      <c r="K14" s="30">
        <v>40.871985000000002</v>
      </c>
      <c r="L14" s="30">
        <v>72.001351666700003</v>
      </c>
      <c r="M14" s="15">
        <v>100</v>
      </c>
    </row>
    <row r="15" spans="1:14" ht="30" customHeight="1">
      <c r="A15" s="7" t="s">
        <v>13</v>
      </c>
      <c r="B15" s="30" t="s">
        <v>384</v>
      </c>
      <c r="C15" s="30" t="s">
        <v>109</v>
      </c>
      <c r="D15" s="27">
        <v>35446.691909516579</v>
      </c>
      <c r="E15" s="28">
        <v>23310.628212141622</v>
      </c>
      <c r="F15" s="27">
        <f t="shared" si="1"/>
        <v>12136.063697374957</v>
      </c>
      <c r="G15" s="27">
        <f t="shared" si="0"/>
        <v>34.237507207595634</v>
      </c>
      <c r="H15" s="29">
        <v>67</v>
      </c>
      <c r="I15" s="29">
        <v>3</v>
      </c>
      <c r="J15" s="4" t="s">
        <v>14</v>
      </c>
      <c r="K15" s="30">
        <v>40.863475000000001</v>
      </c>
      <c r="L15" s="30">
        <v>71.947638333300006</v>
      </c>
      <c r="M15" s="15">
        <v>400</v>
      </c>
    </row>
    <row r="16" spans="1:14" ht="30" customHeight="1">
      <c r="A16" s="7" t="s">
        <v>13</v>
      </c>
      <c r="B16" s="30" t="s">
        <v>386</v>
      </c>
      <c r="C16" s="30" t="s">
        <v>134</v>
      </c>
      <c r="D16" s="27">
        <v>36014.522879516575</v>
      </c>
      <c r="E16" s="28">
        <v>23807.41821214162</v>
      </c>
      <c r="F16" s="27">
        <f t="shared" si="1"/>
        <v>12207.104667374955</v>
      </c>
      <c r="G16" s="27">
        <f t="shared" si="0"/>
        <v>33.894950401572032</v>
      </c>
      <c r="H16" s="29">
        <v>41</v>
      </c>
      <c r="I16" s="29">
        <v>3</v>
      </c>
      <c r="J16" s="4" t="s">
        <v>17</v>
      </c>
      <c r="K16" s="30">
        <v>40.867853333299998</v>
      </c>
      <c r="L16" s="30">
        <v>71.9555883333</v>
      </c>
      <c r="M16" s="15">
        <v>160</v>
      </c>
    </row>
    <row r="17" spans="1:13" ht="30" customHeight="1">
      <c r="A17" s="7" t="s">
        <v>13</v>
      </c>
      <c r="B17" s="30" t="s">
        <v>386</v>
      </c>
      <c r="C17" s="30" t="s">
        <v>135</v>
      </c>
      <c r="D17" s="27">
        <v>39234.529139516577</v>
      </c>
      <c r="E17" s="28">
        <v>26624.571545474952</v>
      </c>
      <c r="F17" s="27">
        <f t="shared" si="1"/>
        <v>12609.957594041625</v>
      </c>
      <c r="G17" s="27">
        <f t="shared" si="0"/>
        <v>32.139948842513355</v>
      </c>
      <c r="H17" s="29">
        <v>77</v>
      </c>
      <c r="I17" s="29">
        <v>4</v>
      </c>
      <c r="J17" s="4" t="s">
        <v>19</v>
      </c>
      <c r="K17" s="30">
        <v>40.871698333300003</v>
      </c>
      <c r="L17" s="30">
        <v>71.957906666699998</v>
      </c>
      <c r="M17" s="15">
        <v>160</v>
      </c>
    </row>
    <row r="18" spans="1:13" ht="30" customHeight="1">
      <c r="A18" s="7" t="s">
        <v>13</v>
      </c>
      <c r="B18" s="30" t="s">
        <v>388</v>
      </c>
      <c r="C18" s="30" t="s">
        <v>136</v>
      </c>
      <c r="D18" s="27">
        <v>35999.557199516581</v>
      </c>
      <c r="E18" s="28">
        <v>23794.324878808286</v>
      </c>
      <c r="F18" s="27">
        <f t="shared" si="1"/>
        <v>12205.232320708295</v>
      </c>
      <c r="G18" s="27">
        <f t="shared" si="0"/>
        <v>33.903840130767477</v>
      </c>
      <c r="H18" s="29">
        <v>80</v>
      </c>
      <c r="I18" s="29">
        <v>6</v>
      </c>
      <c r="J18" s="4" t="s">
        <v>16</v>
      </c>
      <c r="K18" s="30">
        <v>40.881491666700001</v>
      </c>
      <c r="L18" s="30">
        <v>72.005658333300005</v>
      </c>
      <c r="M18" s="15">
        <v>400</v>
      </c>
    </row>
    <row r="19" spans="1:13" ht="30" customHeight="1">
      <c r="A19" s="7" t="s">
        <v>13</v>
      </c>
      <c r="B19" s="30" t="s">
        <v>388</v>
      </c>
      <c r="C19" s="30" t="s">
        <v>137</v>
      </c>
      <c r="D19" s="27">
        <v>33646.767899516577</v>
      </c>
      <c r="E19" s="28">
        <v>21735.891545474951</v>
      </c>
      <c r="F19" s="27">
        <f t="shared" si="1"/>
        <v>11910.876354041626</v>
      </c>
      <c r="G19" s="27">
        <f t="shared" si="0"/>
        <v>35.399763774079339</v>
      </c>
      <c r="H19" s="29">
        <v>102</v>
      </c>
      <c r="I19" s="29">
        <v>3</v>
      </c>
      <c r="J19" s="4" t="s">
        <v>16</v>
      </c>
      <c r="K19" s="30">
        <v>40.882366666700001</v>
      </c>
      <c r="L19" s="30">
        <v>72.011693333300002</v>
      </c>
      <c r="M19" s="15">
        <v>63</v>
      </c>
    </row>
    <row r="20" spans="1:13" ht="30" customHeight="1">
      <c r="A20" s="7" t="s">
        <v>13</v>
      </c>
      <c r="B20" s="30" t="s">
        <v>387</v>
      </c>
      <c r="C20" s="30" t="s">
        <v>138</v>
      </c>
      <c r="D20" s="27">
        <v>44056.42703951658</v>
      </c>
      <c r="E20" s="28">
        <v>30843.20487880829</v>
      </c>
      <c r="F20" s="27">
        <f t="shared" si="1"/>
        <v>13213.22216070829</v>
      </c>
      <c r="G20" s="27">
        <f t="shared" si="0"/>
        <v>29.991588171361784</v>
      </c>
      <c r="H20" s="29">
        <v>4</v>
      </c>
      <c r="I20" s="29">
        <v>7</v>
      </c>
      <c r="J20" s="4" t="s">
        <v>16</v>
      </c>
      <c r="K20" s="30">
        <v>40.867094999999999</v>
      </c>
      <c r="L20" s="30">
        <v>71.968564999999998</v>
      </c>
      <c r="M20" s="15">
        <v>160</v>
      </c>
    </row>
    <row r="21" spans="1:13" ht="30" customHeight="1">
      <c r="A21" s="7" t="s">
        <v>13</v>
      </c>
      <c r="B21" s="30" t="s">
        <v>388</v>
      </c>
      <c r="C21" s="30" t="s">
        <v>139</v>
      </c>
      <c r="D21" s="27">
        <v>29597.290349516581</v>
      </c>
      <c r="E21" s="28">
        <v>18193.041545474953</v>
      </c>
      <c r="F21" s="27">
        <f t="shared" si="1"/>
        <v>11404.248804041628</v>
      </c>
      <c r="G21" s="27">
        <f t="shared" si="0"/>
        <v>38.531394831648491</v>
      </c>
      <c r="H21" s="29">
        <v>34</v>
      </c>
      <c r="I21" s="29">
        <v>4</v>
      </c>
      <c r="J21" s="4" t="s">
        <v>16</v>
      </c>
      <c r="K21" s="30">
        <v>40.865857601199998</v>
      </c>
      <c r="L21" s="30">
        <v>71.963380873199995</v>
      </c>
      <c r="M21" s="15">
        <v>160</v>
      </c>
    </row>
    <row r="22" spans="1:13" ht="30" customHeight="1">
      <c r="A22" s="7" t="s">
        <v>13</v>
      </c>
      <c r="B22" s="30" t="s">
        <v>387</v>
      </c>
      <c r="C22" s="30" t="s">
        <v>140</v>
      </c>
      <c r="D22" s="27">
        <v>31565.989739516579</v>
      </c>
      <c r="E22" s="28">
        <v>19915.43821214162</v>
      </c>
      <c r="F22" s="27">
        <f t="shared" si="1"/>
        <v>11650.551527374959</v>
      </c>
      <c r="G22" s="27">
        <f t="shared" si="0"/>
        <v>36.908557670821139</v>
      </c>
      <c r="H22" s="29">
        <v>33</v>
      </c>
      <c r="I22" s="29">
        <v>3</v>
      </c>
      <c r="J22" s="4" t="s">
        <v>16</v>
      </c>
      <c r="K22" s="30">
        <v>40.868364999999997</v>
      </c>
      <c r="L22" s="30">
        <v>71.977401666700004</v>
      </c>
      <c r="M22" s="15">
        <v>160</v>
      </c>
    </row>
    <row r="23" spans="1:13" ht="30" customHeight="1">
      <c r="A23" s="7" t="s">
        <v>13</v>
      </c>
      <c r="B23" s="30" t="s">
        <v>385</v>
      </c>
      <c r="C23" s="30" t="s">
        <v>141</v>
      </c>
      <c r="D23" s="27">
        <v>40079.282339516583</v>
      </c>
      <c r="E23" s="28">
        <v>27363.638212141625</v>
      </c>
      <c r="F23" s="27">
        <f t="shared" si="1"/>
        <v>12715.644127374959</v>
      </c>
      <c r="G23" s="27">
        <f t="shared" si="0"/>
        <v>31.726227080762467</v>
      </c>
      <c r="H23" s="29">
        <v>143</v>
      </c>
      <c r="I23" s="29">
        <v>6</v>
      </c>
      <c r="J23" s="3" t="s">
        <v>16</v>
      </c>
      <c r="K23" s="30">
        <v>40.866354999999999</v>
      </c>
      <c r="L23" s="30">
        <v>71.987798333300006</v>
      </c>
      <c r="M23" s="15">
        <v>63</v>
      </c>
    </row>
    <row r="24" spans="1:13" ht="30" customHeight="1">
      <c r="A24" s="7" t="s">
        <v>13</v>
      </c>
      <c r="B24" s="30" t="s">
        <v>385</v>
      </c>
      <c r="C24" s="30" t="s">
        <v>142</v>
      </c>
      <c r="D24" s="27">
        <v>45477.111269516579</v>
      </c>
      <c r="E24" s="28">
        <v>32086.148212141619</v>
      </c>
      <c r="F24" s="27">
        <f t="shared" si="1"/>
        <v>13390.96305737496</v>
      </c>
      <c r="G24" s="27">
        <f t="shared" si="0"/>
        <v>29.4455005684386</v>
      </c>
      <c r="H24" s="29">
        <v>198</v>
      </c>
      <c r="I24" s="29">
        <v>3</v>
      </c>
      <c r="J24" s="3" t="s">
        <v>16</v>
      </c>
      <c r="K24" s="30">
        <v>40.8589916667</v>
      </c>
      <c r="L24" s="30">
        <v>72.007035000000002</v>
      </c>
      <c r="M24" s="15">
        <v>63</v>
      </c>
    </row>
    <row r="25" spans="1:13" ht="30" customHeight="1">
      <c r="A25" s="7" t="s">
        <v>13</v>
      </c>
      <c r="B25" s="30" t="s">
        <v>387</v>
      </c>
      <c r="C25" s="30" t="s">
        <v>143</v>
      </c>
      <c r="D25" s="27">
        <v>47645.085089516579</v>
      </c>
      <c r="E25" s="28">
        <v>33982.888212141625</v>
      </c>
      <c r="F25" s="27">
        <f t="shared" si="1"/>
        <v>13662.196877374954</v>
      </c>
      <c r="G25" s="27">
        <f t="shared" si="0"/>
        <v>28.674934364596336</v>
      </c>
      <c r="H25" s="29">
        <v>45</v>
      </c>
      <c r="I25" s="29">
        <v>3</v>
      </c>
      <c r="J25" s="3" t="s">
        <v>14</v>
      </c>
      <c r="K25" s="30">
        <v>40.8780866667</v>
      </c>
      <c r="L25" s="30">
        <v>71.986896666700005</v>
      </c>
      <c r="M25" s="15">
        <v>250</v>
      </c>
    </row>
    <row r="26" spans="1:13" ht="30" customHeight="1">
      <c r="A26" s="7" t="s">
        <v>13</v>
      </c>
      <c r="B26" s="30" t="s">
        <v>388</v>
      </c>
      <c r="C26" s="30" t="s">
        <v>144</v>
      </c>
      <c r="D26" s="27">
        <v>35700.807479516581</v>
      </c>
      <c r="E26" s="28">
        <v>23532.951545474956</v>
      </c>
      <c r="F26" s="27">
        <f t="shared" si="1"/>
        <v>12167.855934041625</v>
      </c>
      <c r="G26" s="27">
        <f t="shared" si="0"/>
        <v>34.082859165084599</v>
      </c>
      <c r="H26" s="29">
        <v>174</v>
      </c>
      <c r="I26" s="29">
        <v>4</v>
      </c>
      <c r="J26" s="3" t="s">
        <v>14</v>
      </c>
      <c r="K26" s="30">
        <v>40.888159999999999</v>
      </c>
      <c r="L26" s="30">
        <v>72.008324999999999</v>
      </c>
      <c r="M26" s="15">
        <v>100</v>
      </c>
    </row>
    <row r="27" spans="1:13" ht="30" customHeight="1">
      <c r="A27" s="7" t="s">
        <v>13</v>
      </c>
      <c r="B27" s="30" t="s">
        <v>388</v>
      </c>
      <c r="C27" s="30" t="s">
        <v>145</v>
      </c>
      <c r="D27" s="27">
        <v>36933.856829516575</v>
      </c>
      <c r="E27" s="28">
        <v>24611.734878808289</v>
      </c>
      <c r="F27" s="27">
        <f t="shared" si="1"/>
        <v>12322.121950708286</v>
      </c>
      <c r="G27" s="27">
        <f t="shared" si="0"/>
        <v>33.362673190579891</v>
      </c>
      <c r="H27" s="29">
        <v>92</v>
      </c>
      <c r="I27" s="29">
        <v>12</v>
      </c>
      <c r="J27" s="17" t="s">
        <v>14</v>
      </c>
      <c r="K27" s="30">
        <v>40.879911666700004</v>
      </c>
      <c r="L27" s="30">
        <v>72.022811666699994</v>
      </c>
      <c r="M27" s="15">
        <v>100</v>
      </c>
    </row>
    <row r="28" spans="1:13" ht="30" customHeight="1">
      <c r="A28" s="7" t="s">
        <v>13</v>
      </c>
      <c r="B28" s="30" t="s">
        <v>389</v>
      </c>
      <c r="C28" s="30" t="s">
        <v>146</v>
      </c>
      <c r="D28" s="27">
        <v>37031.152799516582</v>
      </c>
      <c r="E28" s="28">
        <v>24696.858212141622</v>
      </c>
      <c r="F28" s="27">
        <f t="shared" si="1"/>
        <v>12334.29458737496</v>
      </c>
      <c r="G28" s="27">
        <f t="shared" si="0"/>
        <v>33.307887156934463</v>
      </c>
      <c r="H28" s="29">
        <v>130</v>
      </c>
      <c r="I28" s="29">
        <v>4</v>
      </c>
      <c r="J28" s="3" t="s">
        <v>14</v>
      </c>
      <c r="K28" s="30">
        <v>40.880920000000003</v>
      </c>
      <c r="L28" s="30">
        <v>72.040239999999997</v>
      </c>
      <c r="M28" s="20">
        <v>100</v>
      </c>
    </row>
    <row r="29" spans="1:13" ht="30" customHeight="1">
      <c r="A29" s="7" t="s">
        <v>13</v>
      </c>
      <c r="B29" s="30" t="s">
        <v>389</v>
      </c>
      <c r="C29" s="30" t="s">
        <v>147</v>
      </c>
      <c r="D29" s="27">
        <v>34801.418879516583</v>
      </c>
      <c r="E29" s="28">
        <v>22746.084878808288</v>
      </c>
      <c r="F29" s="27">
        <f t="shared" si="1"/>
        <v>12055.334000708295</v>
      </c>
      <c r="G29" s="27">
        <f t="shared" si="0"/>
        <v>34.64035199956696</v>
      </c>
      <c r="H29" s="29">
        <v>123</v>
      </c>
      <c r="I29" s="29">
        <v>3</v>
      </c>
      <c r="J29" s="3"/>
      <c r="K29" s="30">
        <v>40.881768333300002</v>
      </c>
      <c r="L29" s="30">
        <v>72.055153333299998</v>
      </c>
      <c r="M29" s="20">
        <v>63</v>
      </c>
    </row>
    <row r="30" spans="1:13" ht="30" customHeight="1">
      <c r="A30" s="7" t="s">
        <v>13</v>
      </c>
      <c r="B30" s="30" t="s">
        <v>389</v>
      </c>
      <c r="C30" s="30" t="s">
        <v>148</v>
      </c>
      <c r="D30" s="27">
        <v>38189.293739516579</v>
      </c>
      <c r="E30" s="28">
        <v>25710.104878808284</v>
      </c>
      <c r="F30" s="27">
        <f t="shared" si="1"/>
        <v>12479.188860708295</v>
      </c>
      <c r="G30" s="27">
        <f t="shared" si="0"/>
        <v>32.677192057614263</v>
      </c>
      <c r="H30" s="29">
        <v>160</v>
      </c>
      <c r="I30" s="29">
        <v>3</v>
      </c>
      <c r="J30" s="3" t="s">
        <v>20</v>
      </c>
      <c r="K30" s="30">
        <v>40.882671666699999</v>
      </c>
      <c r="L30" s="30">
        <v>72.072426666699997</v>
      </c>
      <c r="M30" s="21">
        <v>100</v>
      </c>
    </row>
    <row r="31" spans="1:13" ht="30" customHeight="1">
      <c r="A31" s="7" t="s">
        <v>13</v>
      </c>
      <c r="B31" s="30" t="s">
        <v>389</v>
      </c>
      <c r="C31" s="30" t="s">
        <v>149</v>
      </c>
      <c r="D31" s="27">
        <v>29873.202929516581</v>
      </c>
      <c r="E31" s="28">
        <v>18434.434878808286</v>
      </c>
      <c r="F31" s="27">
        <f t="shared" si="1"/>
        <v>11438.768050708295</v>
      </c>
      <c r="G31" s="27">
        <f t="shared" si="0"/>
        <v>38.291066671682806</v>
      </c>
      <c r="H31" s="29">
        <v>16</v>
      </c>
      <c r="I31" s="29">
        <v>3</v>
      </c>
      <c r="J31" s="3" t="s">
        <v>21</v>
      </c>
      <c r="K31" s="30">
        <v>40.877465000000001</v>
      </c>
      <c r="L31" s="30">
        <v>72.08811</v>
      </c>
      <c r="M31" s="15">
        <v>100</v>
      </c>
    </row>
    <row r="32" spans="1:13" ht="30" customHeight="1">
      <c r="A32" s="7" t="s">
        <v>13</v>
      </c>
      <c r="B32" s="30" t="s">
        <v>389</v>
      </c>
      <c r="C32" s="30" t="s">
        <v>150</v>
      </c>
      <c r="D32" s="27">
        <v>35909.058269516579</v>
      </c>
      <c r="E32" s="28">
        <v>23715.148212141619</v>
      </c>
      <c r="F32" s="27">
        <f t="shared" si="1"/>
        <v>12193.91005737496</v>
      </c>
      <c r="G32" s="27">
        <f t="shared" si="0"/>
        <v>33.957755076318577</v>
      </c>
      <c r="H32" s="29">
        <v>81</v>
      </c>
      <c r="I32" s="29">
        <v>4</v>
      </c>
      <c r="J32" s="3" t="s">
        <v>15</v>
      </c>
      <c r="K32" s="30">
        <v>40.879755000000003</v>
      </c>
      <c r="L32" s="30">
        <v>72.084291666699997</v>
      </c>
      <c r="M32" s="15">
        <v>100</v>
      </c>
    </row>
    <row r="33" spans="1:13" ht="30" customHeight="1">
      <c r="A33" s="7" t="s">
        <v>13</v>
      </c>
      <c r="B33" s="30" t="s">
        <v>390</v>
      </c>
      <c r="C33" s="30" t="s">
        <v>151</v>
      </c>
      <c r="D33" s="27">
        <v>36525.565799516582</v>
      </c>
      <c r="E33" s="28">
        <v>24254.52487880829</v>
      </c>
      <c r="F33" s="27">
        <f t="shared" si="1"/>
        <v>12271.040920708292</v>
      </c>
      <c r="G33" s="27">
        <f t="shared" si="0"/>
        <v>33.595758620310541</v>
      </c>
      <c r="H33" s="29">
        <v>107</v>
      </c>
      <c r="I33" s="29">
        <v>6</v>
      </c>
      <c r="J33" s="3" t="s">
        <v>22</v>
      </c>
      <c r="K33" s="30">
        <v>40.874026666699997</v>
      </c>
      <c r="L33" s="30">
        <v>72.094549999999998</v>
      </c>
      <c r="M33" s="15">
        <v>160</v>
      </c>
    </row>
    <row r="34" spans="1:13" ht="30" customHeight="1">
      <c r="A34" s="7" t="s">
        <v>13</v>
      </c>
      <c r="B34" s="30" t="s">
        <v>390</v>
      </c>
      <c r="C34" s="30" t="s">
        <v>152</v>
      </c>
      <c r="D34" s="27">
        <v>31887.949979516579</v>
      </c>
      <c r="E34" s="28">
        <v>20197.11821214162</v>
      </c>
      <c r="F34" s="27">
        <f t="shared" si="1"/>
        <v>11690.831767374959</v>
      </c>
      <c r="G34" s="27">
        <f t="shared" si="0"/>
        <v>36.662224366522892</v>
      </c>
      <c r="H34" s="29">
        <v>98</v>
      </c>
      <c r="I34" s="29">
        <v>3</v>
      </c>
      <c r="J34" s="3" t="s">
        <v>23</v>
      </c>
      <c r="K34" s="30">
        <v>40.863348333300003</v>
      </c>
      <c r="L34" s="30">
        <v>72.082953333299997</v>
      </c>
      <c r="M34" s="15">
        <v>160</v>
      </c>
    </row>
    <row r="35" spans="1:13" ht="30" customHeight="1">
      <c r="A35" s="7" t="s">
        <v>13</v>
      </c>
      <c r="B35" s="30" t="s">
        <v>391</v>
      </c>
      <c r="C35" s="30" t="s">
        <v>153</v>
      </c>
      <c r="D35" s="27">
        <v>30606.277409516581</v>
      </c>
      <c r="E35" s="28">
        <v>19075.794878808287</v>
      </c>
      <c r="F35" s="27">
        <f t="shared" si="1"/>
        <v>11530.482530708294</v>
      </c>
      <c r="G35" s="27">
        <f t="shared" si="0"/>
        <v>37.673586945673627</v>
      </c>
      <c r="H35" s="29">
        <v>84</v>
      </c>
      <c r="I35" s="29">
        <v>5</v>
      </c>
      <c r="J35" s="3" t="s">
        <v>23</v>
      </c>
      <c r="K35" s="30">
        <v>40.848415000000003</v>
      </c>
      <c r="L35" s="30">
        <v>72.071595000000002</v>
      </c>
      <c r="M35" s="15">
        <v>63</v>
      </c>
    </row>
    <row r="36" spans="1:13" ht="30" customHeight="1">
      <c r="A36" s="7" t="s">
        <v>13</v>
      </c>
      <c r="B36" s="30" t="s">
        <v>390</v>
      </c>
      <c r="C36" s="30" t="s">
        <v>154</v>
      </c>
      <c r="D36" s="27">
        <v>43072.726949516582</v>
      </c>
      <c r="E36" s="28">
        <v>29982.574878808286</v>
      </c>
      <c r="F36" s="27">
        <f t="shared" si="1"/>
        <v>13090.152070708296</v>
      </c>
      <c r="G36" s="27">
        <f t="shared" si="0"/>
        <v>30.390813393474289</v>
      </c>
      <c r="H36" s="29">
        <v>212</v>
      </c>
      <c r="I36" s="29">
        <v>21</v>
      </c>
      <c r="J36" s="3" t="s">
        <v>18</v>
      </c>
      <c r="K36" s="30">
        <v>40.8672316667</v>
      </c>
      <c r="L36" s="30">
        <v>72.104288333300005</v>
      </c>
      <c r="M36" s="15">
        <v>100</v>
      </c>
    </row>
    <row r="37" spans="1:13" ht="30" customHeight="1">
      <c r="A37" s="7" t="s">
        <v>13</v>
      </c>
      <c r="B37" s="30" t="s">
        <v>390</v>
      </c>
      <c r="C37" s="30" t="s">
        <v>155</v>
      </c>
      <c r="D37" s="27">
        <v>37860.330719516583</v>
      </c>
      <c r="E37" s="28">
        <v>25422.298212141621</v>
      </c>
      <c r="F37" s="27">
        <f t="shared" si="1"/>
        <v>12438.032507374963</v>
      </c>
      <c r="G37" s="27">
        <f t="shared" si="0"/>
        <v>32.852413782437701</v>
      </c>
      <c r="H37" s="29">
        <v>95</v>
      </c>
      <c r="I37" s="29">
        <v>4</v>
      </c>
      <c r="J37" s="3" t="s">
        <v>14</v>
      </c>
      <c r="K37" s="30">
        <v>40.875253333300002</v>
      </c>
      <c r="L37" s="30">
        <v>72.108715000000004</v>
      </c>
      <c r="M37" s="15">
        <v>100</v>
      </c>
    </row>
    <row r="38" spans="1:13" ht="30" customHeight="1">
      <c r="A38" s="7" t="s">
        <v>13</v>
      </c>
      <c r="B38" s="30" t="s">
        <v>390</v>
      </c>
      <c r="C38" s="30" t="s">
        <v>156</v>
      </c>
      <c r="D38" s="27">
        <v>30518.525489516578</v>
      </c>
      <c r="E38" s="28">
        <v>18999.021545474952</v>
      </c>
      <c r="F38" s="27">
        <f t="shared" si="1"/>
        <v>11519.503944041626</v>
      </c>
      <c r="G38" s="27">
        <f t="shared" si="0"/>
        <v>37.745938767581329</v>
      </c>
      <c r="H38" s="29">
        <v>103</v>
      </c>
      <c r="I38" s="29">
        <v>3</v>
      </c>
      <c r="J38" s="3" t="s">
        <v>23</v>
      </c>
      <c r="K38" s="30">
        <v>40.867996666700002</v>
      </c>
      <c r="L38" s="30">
        <v>72.122466666700006</v>
      </c>
      <c r="M38" s="15">
        <v>40</v>
      </c>
    </row>
    <row r="39" spans="1:13" ht="30" customHeight="1">
      <c r="A39" s="7" t="s">
        <v>13</v>
      </c>
      <c r="B39" s="30" t="s">
        <v>390</v>
      </c>
      <c r="C39" s="30" t="s">
        <v>157</v>
      </c>
      <c r="D39" s="27">
        <v>31998.089459516581</v>
      </c>
      <c r="E39" s="28">
        <v>20293.478212141621</v>
      </c>
      <c r="F39" s="27">
        <f t="shared" si="1"/>
        <v>11704.61124737496</v>
      </c>
      <c r="G39" s="27">
        <f t="shared" si="0"/>
        <v>36.579094080549488</v>
      </c>
      <c r="H39" s="29">
        <v>135</v>
      </c>
      <c r="I39" s="29">
        <v>4</v>
      </c>
      <c r="J39" s="3" t="s">
        <v>24</v>
      </c>
      <c r="K39" s="30">
        <v>40.856453333300003</v>
      </c>
      <c r="L39" s="30">
        <v>72.136276666699999</v>
      </c>
      <c r="M39" s="15">
        <v>100</v>
      </c>
    </row>
    <row r="40" spans="1:13" ht="30" customHeight="1">
      <c r="A40" s="7" t="s">
        <v>13</v>
      </c>
      <c r="B40" s="30" t="s">
        <v>390</v>
      </c>
      <c r="C40" s="30" t="s">
        <v>158</v>
      </c>
      <c r="D40" s="27">
        <v>37019.879009516582</v>
      </c>
      <c r="E40" s="28">
        <v>24686.994878808287</v>
      </c>
      <c r="F40" s="27">
        <f t="shared" si="1"/>
        <v>12332.884130708295</v>
      </c>
      <c r="G40" s="27">
        <f t="shared" si="0"/>
        <v>33.31422052335158</v>
      </c>
      <c r="H40" s="29">
        <v>167</v>
      </c>
      <c r="I40" s="29">
        <v>4</v>
      </c>
      <c r="J40" s="3" t="s">
        <v>24</v>
      </c>
      <c r="K40" s="30">
        <v>40.848101666700003</v>
      </c>
      <c r="L40" s="30">
        <v>72.161588333300003</v>
      </c>
      <c r="M40" s="15">
        <v>100</v>
      </c>
    </row>
    <row r="41" spans="1:13" ht="30" customHeight="1">
      <c r="A41" s="7" t="s">
        <v>13</v>
      </c>
      <c r="B41" s="30" t="s">
        <v>392</v>
      </c>
      <c r="C41" s="30" t="s">
        <v>159</v>
      </c>
      <c r="D41" s="27">
        <v>30487.01678951658</v>
      </c>
      <c r="E41" s="28">
        <v>18971.454878808287</v>
      </c>
      <c r="F41" s="27">
        <f t="shared" si="1"/>
        <v>11515.561910708293</v>
      </c>
      <c r="G41" s="27">
        <f t="shared" si="0"/>
        <v>37.772019447531164</v>
      </c>
      <c r="H41" s="29">
        <v>83</v>
      </c>
      <c r="I41" s="29">
        <v>5</v>
      </c>
      <c r="J41" s="3" t="s">
        <v>21</v>
      </c>
      <c r="K41" s="30">
        <v>40.823746666700004</v>
      </c>
      <c r="L41" s="30">
        <v>72.162056666699996</v>
      </c>
      <c r="M41" s="15">
        <v>160</v>
      </c>
    </row>
    <row r="42" spans="1:13" ht="30" customHeight="1">
      <c r="A42" s="7" t="s">
        <v>13</v>
      </c>
      <c r="B42" s="30" t="s">
        <v>391</v>
      </c>
      <c r="C42" s="30" t="s">
        <v>160</v>
      </c>
      <c r="D42" s="27">
        <v>34529.704919516582</v>
      </c>
      <c r="E42" s="28">
        <v>22508.364878808286</v>
      </c>
      <c r="F42" s="27">
        <f t="shared" si="1"/>
        <v>12021.340040708295</v>
      </c>
      <c r="G42" s="27">
        <f t="shared" si="0"/>
        <v>34.814488188440031</v>
      </c>
      <c r="H42" s="29">
        <v>95</v>
      </c>
      <c r="I42" s="29">
        <v>4</v>
      </c>
      <c r="J42" s="3" t="s">
        <v>19</v>
      </c>
      <c r="K42" s="30">
        <v>40.8202666667</v>
      </c>
      <c r="L42" s="30">
        <v>72.1321616667</v>
      </c>
      <c r="M42" s="20">
        <v>160</v>
      </c>
    </row>
    <row r="43" spans="1:13" ht="30" customHeight="1">
      <c r="A43" s="7" t="s">
        <v>13</v>
      </c>
      <c r="B43" s="30" t="s">
        <v>391</v>
      </c>
      <c r="C43" s="30" t="s">
        <v>161</v>
      </c>
      <c r="D43" s="27">
        <v>36690.603569516577</v>
      </c>
      <c r="E43" s="28">
        <v>24398.914878808286</v>
      </c>
      <c r="F43" s="27">
        <f t="shared" si="1"/>
        <v>12291.688690708292</v>
      </c>
      <c r="G43" s="27">
        <f t="shared" si="0"/>
        <v>33.500917114703768</v>
      </c>
      <c r="H43" s="29">
        <v>127</v>
      </c>
      <c r="I43" s="29">
        <v>4</v>
      </c>
      <c r="J43" s="3" t="s">
        <v>21</v>
      </c>
      <c r="K43" s="30">
        <v>40.829568333300003</v>
      </c>
      <c r="L43" s="30">
        <v>72.120596666699996</v>
      </c>
      <c r="M43" s="20">
        <v>160</v>
      </c>
    </row>
    <row r="44" spans="1:13" ht="30" customHeight="1">
      <c r="A44" s="7" t="s">
        <v>13</v>
      </c>
      <c r="B44" s="30" t="s">
        <v>391</v>
      </c>
      <c r="C44" s="30" t="s">
        <v>162</v>
      </c>
      <c r="D44" s="27">
        <v>38286.784019516577</v>
      </c>
      <c r="E44" s="28">
        <v>25795.398212141619</v>
      </c>
      <c r="F44" s="27">
        <f t="shared" si="1"/>
        <v>12491.385807374958</v>
      </c>
      <c r="G44" s="27">
        <f t="shared" si="0"/>
        <v>32.625842382080222</v>
      </c>
      <c r="H44" s="29">
        <v>162</v>
      </c>
      <c r="I44" s="29">
        <v>4</v>
      </c>
      <c r="J44" s="3" t="s">
        <v>21</v>
      </c>
      <c r="K44" s="30">
        <v>40.815874208499999</v>
      </c>
      <c r="L44" s="30">
        <v>72.111179034499997</v>
      </c>
      <c r="M44" s="20">
        <v>100</v>
      </c>
    </row>
    <row r="45" spans="1:13" ht="30" customHeight="1">
      <c r="A45" s="7" t="s">
        <v>13</v>
      </c>
      <c r="B45" s="30" t="s">
        <v>388</v>
      </c>
      <c r="C45" s="30" t="s">
        <v>163</v>
      </c>
      <c r="D45" s="27">
        <v>73164.255539516569</v>
      </c>
      <c r="E45" s="28">
        <v>56309.371545474954</v>
      </c>
      <c r="F45" s="27">
        <f t="shared" si="1"/>
        <v>16854.883994041615</v>
      </c>
      <c r="G45" s="27">
        <f t="shared" si="0"/>
        <v>23.037047079551247</v>
      </c>
      <c r="H45" s="29">
        <v>141</v>
      </c>
      <c r="I45" s="29">
        <v>3</v>
      </c>
      <c r="J45" s="3" t="s">
        <v>21</v>
      </c>
      <c r="K45" s="30">
        <v>40.875643333299998</v>
      </c>
      <c r="L45" s="30">
        <v>72.000879999999995</v>
      </c>
      <c r="M45" s="20">
        <v>160</v>
      </c>
    </row>
    <row r="46" spans="1:13" ht="30" customHeight="1">
      <c r="A46" s="7" t="s">
        <v>13</v>
      </c>
      <c r="B46" s="30" t="s">
        <v>388</v>
      </c>
      <c r="C46" s="30" t="s">
        <v>164</v>
      </c>
      <c r="D46" s="27">
        <v>33025.417859516579</v>
      </c>
      <c r="E46" s="28">
        <v>21192.27821214162</v>
      </c>
      <c r="F46" s="27">
        <f t="shared" si="1"/>
        <v>11833.139647374959</v>
      </c>
      <c r="G46" s="27">
        <f t="shared" si="0"/>
        <v>35.830400989052528</v>
      </c>
      <c r="H46" s="29">
        <v>80</v>
      </c>
      <c r="I46" s="29">
        <v>5</v>
      </c>
      <c r="J46" s="3" t="s">
        <v>20</v>
      </c>
      <c r="K46" s="30">
        <v>40.88138</v>
      </c>
      <c r="L46" s="30">
        <v>72.003778333300005</v>
      </c>
      <c r="M46" s="20">
        <v>63</v>
      </c>
    </row>
    <row r="47" spans="1:13" ht="30" customHeight="1">
      <c r="A47" s="7" t="s">
        <v>13</v>
      </c>
      <c r="B47" s="30" t="s">
        <v>389</v>
      </c>
      <c r="C47" s="30" t="s">
        <v>165</v>
      </c>
      <c r="D47" s="27">
        <v>35873.499539516575</v>
      </c>
      <c r="E47" s="28">
        <v>23684.038212141619</v>
      </c>
      <c r="F47" s="27">
        <f t="shared" si="1"/>
        <v>12189.461327374956</v>
      </c>
      <c r="G47" s="27">
        <f t="shared" si="0"/>
        <v>33.979013711633051</v>
      </c>
      <c r="H47" s="29">
        <v>114</v>
      </c>
      <c r="I47" s="29">
        <v>3</v>
      </c>
      <c r="J47" s="3" t="s">
        <v>20</v>
      </c>
      <c r="K47" s="30">
        <v>40.871155000000002</v>
      </c>
      <c r="L47" s="30">
        <v>72.043671666700007</v>
      </c>
      <c r="M47" s="20">
        <v>400</v>
      </c>
    </row>
    <row r="48" spans="1:13" ht="30" customHeight="1">
      <c r="A48" s="7" t="s">
        <v>13</v>
      </c>
      <c r="B48" s="30" t="s">
        <v>392</v>
      </c>
      <c r="C48" s="30" t="s">
        <v>166</v>
      </c>
      <c r="D48" s="27">
        <v>30467.094299516579</v>
      </c>
      <c r="E48" s="28">
        <v>18954.024878808286</v>
      </c>
      <c r="F48" s="27">
        <f t="shared" si="1"/>
        <v>11513.069420708292</v>
      </c>
      <c r="G48" s="27">
        <f t="shared" si="0"/>
        <v>37.788537717201898</v>
      </c>
      <c r="H48" s="29">
        <v>69</v>
      </c>
      <c r="I48" s="29">
        <v>3</v>
      </c>
      <c r="J48" s="3" t="s">
        <v>20</v>
      </c>
      <c r="K48" s="30">
        <v>40.820733333200003</v>
      </c>
      <c r="L48" s="30">
        <v>72.163296666700006</v>
      </c>
      <c r="M48" s="20">
        <v>160</v>
      </c>
    </row>
    <row r="49" spans="1:13" ht="30" customHeight="1">
      <c r="A49" s="7" t="s">
        <v>13</v>
      </c>
      <c r="B49" s="30" t="s">
        <v>392</v>
      </c>
      <c r="C49" s="30" t="s">
        <v>167</v>
      </c>
      <c r="D49" s="27">
        <v>34293.145829516579</v>
      </c>
      <c r="E49" s="28">
        <v>22301.401545474953</v>
      </c>
      <c r="F49" s="27">
        <f t="shared" si="1"/>
        <v>11991.744284041626</v>
      </c>
      <c r="G49" s="27">
        <f t="shared" si="0"/>
        <v>34.968341322947886</v>
      </c>
      <c r="H49" s="29">
        <v>94</v>
      </c>
      <c r="I49" s="29">
        <v>4</v>
      </c>
      <c r="J49" s="3" t="s">
        <v>25</v>
      </c>
      <c r="K49" s="30">
        <v>40.834948405699997</v>
      </c>
      <c r="L49" s="30">
        <v>72.194619056400001</v>
      </c>
      <c r="M49" s="20">
        <v>250</v>
      </c>
    </row>
    <row r="50" spans="1:13" ht="30" customHeight="1">
      <c r="A50" s="7" t="s">
        <v>13</v>
      </c>
      <c r="B50" s="30" t="s">
        <v>386</v>
      </c>
      <c r="C50" s="30" t="s">
        <v>168</v>
      </c>
      <c r="D50" s="27">
        <v>40051.135964516579</v>
      </c>
      <c r="E50" s="28">
        <v>27339.013212141625</v>
      </c>
      <c r="F50" s="27">
        <f t="shared" si="1"/>
        <v>12712.122752374955</v>
      </c>
      <c r="G50" s="27">
        <f t="shared" si="0"/>
        <v>31.739730837190979</v>
      </c>
      <c r="H50" s="29">
        <v>155</v>
      </c>
      <c r="I50" s="29">
        <v>3</v>
      </c>
      <c r="J50" s="3" t="s">
        <v>25</v>
      </c>
      <c r="K50" s="30">
        <v>40.878189999999996</v>
      </c>
      <c r="L50" s="30">
        <v>71.958991666700001</v>
      </c>
      <c r="M50" s="20">
        <v>160</v>
      </c>
    </row>
    <row r="51" spans="1:13" ht="30" customHeight="1">
      <c r="A51" s="7" t="s">
        <v>13</v>
      </c>
      <c r="B51" s="30" t="s">
        <v>386</v>
      </c>
      <c r="C51" s="30" t="s">
        <v>169</v>
      </c>
      <c r="D51" s="27">
        <v>36062.749859516582</v>
      </c>
      <c r="E51" s="28">
        <v>23849.611545474952</v>
      </c>
      <c r="F51" s="27">
        <f t="shared" si="1"/>
        <v>12213.138314041629</v>
      </c>
      <c r="G51" s="27">
        <f t="shared" si="0"/>
        <v>33.866353402384014</v>
      </c>
      <c r="H51" s="29">
        <v>110</v>
      </c>
      <c r="I51" s="29">
        <v>4</v>
      </c>
      <c r="J51" s="3" t="s">
        <v>22</v>
      </c>
      <c r="K51" s="30">
        <v>40.870921666699999</v>
      </c>
      <c r="L51" s="30">
        <v>71.95438</v>
      </c>
      <c r="M51" s="20">
        <v>250</v>
      </c>
    </row>
    <row r="52" spans="1:13" ht="30" customHeight="1">
      <c r="A52" s="7" t="s">
        <v>13</v>
      </c>
      <c r="B52" s="30" t="s">
        <v>390</v>
      </c>
      <c r="C52" s="30" t="s">
        <v>170</v>
      </c>
      <c r="D52" s="27">
        <v>32686.948889516578</v>
      </c>
      <c r="E52" s="28">
        <v>20896.154878808287</v>
      </c>
      <c r="F52" s="27">
        <f t="shared" si="1"/>
        <v>11790.79401070829</v>
      </c>
      <c r="G52" s="27">
        <f t="shared" si="0"/>
        <v>36.071870918762492</v>
      </c>
      <c r="H52" s="29">
        <v>72</v>
      </c>
      <c r="I52" s="29">
        <v>3</v>
      </c>
      <c r="J52" s="3" t="s">
        <v>22</v>
      </c>
      <c r="K52" s="30">
        <v>40.872001666700001</v>
      </c>
      <c r="L52" s="30">
        <v>72.092106666700005</v>
      </c>
      <c r="M52" s="20">
        <v>160</v>
      </c>
    </row>
    <row r="53" spans="1:13" ht="30" customHeight="1">
      <c r="A53" s="7" t="s">
        <v>13</v>
      </c>
      <c r="B53" s="30" t="s">
        <v>386</v>
      </c>
      <c r="C53" s="30" t="s">
        <v>171</v>
      </c>
      <c r="D53" s="27">
        <v>34859.479469516577</v>
      </c>
      <c r="E53" s="28">
        <v>22796.881545474953</v>
      </c>
      <c r="F53" s="27">
        <f t="shared" si="1"/>
        <v>12062.597924041624</v>
      </c>
      <c r="G53" s="27">
        <f t="shared" si="0"/>
        <v>34.603494107219689</v>
      </c>
      <c r="H53" s="29">
        <v>115</v>
      </c>
      <c r="I53" s="29">
        <v>3</v>
      </c>
      <c r="J53" s="3" t="s">
        <v>22</v>
      </c>
      <c r="K53" s="30">
        <v>40.872906666699997</v>
      </c>
      <c r="L53" s="30">
        <v>71.953943333300003</v>
      </c>
      <c r="M53" s="20">
        <v>40</v>
      </c>
    </row>
    <row r="54" spans="1:13" ht="30" customHeight="1">
      <c r="A54" s="7" t="s">
        <v>13</v>
      </c>
      <c r="B54" s="30" t="s">
        <v>384</v>
      </c>
      <c r="C54" s="30" t="s">
        <v>101</v>
      </c>
      <c r="D54" s="27">
        <v>33437.576039516578</v>
      </c>
      <c r="E54" s="28">
        <v>21552.871545474954</v>
      </c>
      <c r="F54" s="27">
        <f t="shared" si="1"/>
        <v>11884.704494041624</v>
      </c>
      <c r="G54" s="27">
        <f t="shared" si="0"/>
        <v>35.542960650007231</v>
      </c>
      <c r="H54" s="29">
        <v>73</v>
      </c>
      <c r="I54" s="29">
        <v>7</v>
      </c>
      <c r="J54" s="3" t="s">
        <v>17</v>
      </c>
      <c r="K54" s="30">
        <v>40.877846666700002</v>
      </c>
      <c r="L54" s="30">
        <v>71.933464999999998</v>
      </c>
      <c r="M54" s="20">
        <v>63</v>
      </c>
    </row>
    <row r="55" spans="1:13" ht="30" customHeight="1">
      <c r="A55" s="7" t="s">
        <v>13</v>
      </c>
      <c r="B55" s="30" t="s">
        <v>386</v>
      </c>
      <c r="C55" s="30" t="s">
        <v>172</v>
      </c>
      <c r="D55" s="27">
        <v>35248.019459516581</v>
      </c>
      <c r="E55" s="28">
        <v>23136.811545474953</v>
      </c>
      <c r="F55" s="27">
        <f t="shared" si="1"/>
        <v>12111.207914041628</v>
      </c>
      <c r="G55" s="27">
        <f t="shared" si="0"/>
        <v>34.359967169082275</v>
      </c>
      <c r="H55" s="29">
        <v>103</v>
      </c>
      <c r="I55" s="29">
        <v>4</v>
      </c>
      <c r="J55" s="3" t="s">
        <v>17</v>
      </c>
      <c r="K55" s="30">
        <v>40.873988333299998</v>
      </c>
      <c r="L55" s="30">
        <v>71.962540000000004</v>
      </c>
      <c r="M55" s="20">
        <v>100</v>
      </c>
    </row>
    <row r="56" spans="1:13" ht="30" customHeight="1">
      <c r="A56" s="7" t="s">
        <v>13</v>
      </c>
      <c r="B56" s="30" t="s">
        <v>386</v>
      </c>
      <c r="C56" s="30" t="s">
        <v>173</v>
      </c>
      <c r="D56" s="27">
        <v>30565.899029516579</v>
      </c>
      <c r="E56" s="28">
        <v>19040.468212141619</v>
      </c>
      <c r="F56" s="27">
        <f t="shared" si="1"/>
        <v>11525.43081737496</v>
      </c>
      <c r="G56" s="27">
        <f t="shared" si="0"/>
        <v>37.706827488519785</v>
      </c>
      <c r="H56" s="29">
        <v>27</v>
      </c>
      <c r="I56" s="29">
        <v>3</v>
      </c>
      <c r="J56" s="3" t="s">
        <v>27</v>
      </c>
      <c r="K56" s="30">
        <v>40.870921666500003</v>
      </c>
      <c r="L56" s="30">
        <v>71.95438</v>
      </c>
      <c r="M56" s="20">
        <v>160</v>
      </c>
    </row>
    <row r="57" spans="1:13" ht="30" customHeight="1">
      <c r="A57" s="7" t="s">
        <v>13</v>
      </c>
      <c r="B57" s="30" t="s">
        <v>386</v>
      </c>
      <c r="C57" s="30" t="s">
        <v>174</v>
      </c>
      <c r="D57" s="27">
        <v>37790.584859516581</v>
      </c>
      <c r="E57" s="28">
        <v>25361.27821214162</v>
      </c>
      <c r="F57" s="27">
        <f t="shared" si="1"/>
        <v>12429.30664737496</v>
      </c>
      <c r="G57" s="27">
        <f t="shared" si="0"/>
        <v>32.889955774910327</v>
      </c>
      <c r="H57" s="29">
        <v>63</v>
      </c>
      <c r="I57" s="29">
        <v>3</v>
      </c>
      <c r="J57" s="3" t="s">
        <v>28</v>
      </c>
      <c r="K57" s="30">
        <v>40.875286666699999</v>
      </c>
      <c r="L57" s="30">
        <v>71.9537066667</v>
      </c>
      <c r="M57" s="20">
        <v>100</v>
      </c>
    </row>
    <row r="58" spans="1:13" ht="30" customHeight="1">
      <c r="A58" s="7" t="s">
        <v>13</v>
      </c>
      <c r="B58" s="30" t="s">
        <v>384</v>
      </c>
      <c r="C58" s="30" t="s">
        <v>107</v>
      </c>
      <c r="D58" s="27">
        <v>34451.127479516581</v>
      </c>
      <c r="E58" s="28">
        <v>22439.61821214162</v>
      </c>
      <c r="F58" s="27">
        <f t="shared" si="1"/>
        <v>12011.50926737496</v>
      </c>
      <c r="G58" s="27">
        <f t="shared" si="0"/>
        <v>34.865358977051123</v>
      </c>
      <c r="H58" s="29">
        <v>79</v>
      </c>
      <c r="I58" s="29">
        <v>3</v>
      </c>
      <c r="J58" s="3" t="s">
        <v>25</v>
      </c>
      <c r="K58" s="30">
        <v>40.870680129199997</v>
      </c>
      <c r="L58" s="30">
        <v>71.958324657800006</v>
      </c>
      <c r="M58" s="20">
        <v>100</v>
      </c>
    </row>
    <row r="59" spans="1:13" ht="30" customHeight="1">
      <c r="A59" s="7" t="s">
        <v>13</v>
      </c>
      <c r="B59" s="30" t="s">
        <v>384</v>
      </c>
      <c r="C59" s="30" t="s">
        <v>113</v>
      </c>
      <c r="D59" s="27">
        <v>40295.297909516579</v>
      </c>
      <c r="E59" s="28">
        <v>27552.628212141622</v>
      </c>
      <c r="F59" s="27">
        <f t="shared" si="1"/>
        <v>12742.669697374957</v>
      </c>
      <c r="G59" s="27">
        <f t="shared" si="0"/>
        <v>31.623217492990687</v>
      </c>
      <c r="H59" s="29">
        <v>121</v>
      </c>
      <c r="I59" s="29">
        <v>4</v>
      </c>
      <c r="J59" s="3" t="s">
        <v>21</v>
      </c>
      <c r="K59" s="30">
        <v>40.867751666700002</v>
      </c>
      <c r="L59" s="30">
        <v>71.964714999999998</v>
      </c>
      <c r="M59" s="20">
        <v>100</v>
      </c>
    </row>
    <row r="60" spans="1:13" ht="30" customHeight="1">
      <c r="A60" s="7" t="s">
        <v>13</v>
      </c>
      <c r="B60" s="30" t="s">
        <v>384</v>
      </c>
      <c r="C60" s="30" t="s">
        <v>108</v>
      </c>
      <c r="D60" s="27">
        <v>37910.314109516577</v>
      </c>
      <c r="E60" s="28">
        <v>25466.02821214162</v>
      </c>
      <c r="F60" s="27">
        <f t="shared" si="1"/>
        <v>12444.285897374957</v>
      </c>
      <c r="G60" s="27">
        <f t="shared" si="0"/>
        <v>32.825594273435691</v>
      </c>
      <c r="H60" s="29">
        <v>66</v>
      </c>
      <c r="I60" s="29">
        <v>3</v>
      </c>
      <c r="J60" s="3" t="s">
        <v>21</v>
      </c>
      <c r="K60" s="30">
        <v>40.874960000000002</v>
      </c>
      <c r="L60" s="30">
        <v>71.946984999999998</v>
      </c>
      <c r="M60" s="20">
        <v>63</v>
      </c>
    </row>
    <row r="61" spans="1:13" ht="30" customHeight="1">
      <c r="A61" s="7" t="s">
        <v>13</v>
      </c>
      <c r="B61" s="30" t="s">
        <v>384</v>
      </c>
      <c r="C61" s="30" t="s">
        <v>93</v>
      </c>
      <c r="D61" s="27">
        <v>29731.337579516581</v>
      </c>
      <c r="E61" s="28">
        <v>18310.318212141621</v>
      </c>
      <c r="F61" s="27">
        <f t="shared" si="1"/>
        <v>11421.01936737496</v>
      </c>
      <c r="G61" s="27">
        <f t="shared" si="0"/>
        <v>38.414078535247185</v>
      </c>
      <c r="H61" s="29">
        <v>15</v>
      </c>
      <c r="I61" s="29">
        <v>4</v>
      </c>
      <c r="J61" s="3" t="s">
        <v>25</v>
      </c>
      <c r="K61" s="30">
        <v>40.879668882099999</v>
      </c>
      <c r="L61" s="30">
        <v>71.946328058800006</v>
      </c>
      <c r="M61" s="14">
        <v>100</v>
      </c>
    </row>
    <row r="62" spans="1:13" ht="30" customHeight="1">
      <c r="A62" s="7" t="s">
        <v>13</v>
      </c>
      <c r="B62" s="30" t="s">
        <v>384</v>
      </c>
      <c r="C62" s="30" t="s">
        <v>92</v>
      </c>
      <c r="D62" s="27">
        <v>34787.645729516582</v>
      </c>
      <c r="E62" s="28">
        <v>22734.034878808285</v>
      </c>
      <c r="F62" s="27">
        <f t="shared" si="1"/>
        <v>12053.610850708297</v>
      </c>
      <c r="G62" s="27">
        <f t="shared" si="0"/>
        <v>34.649113493992679</v>
      </c>
      <c r="H62" s="29">
        <v>46</v>
      </c>
      <c r="I62" s="29">
        <v>6</v>
      </c>
      <c r="J62" s="3" t="s">
        <v>17</v>
      </c>
      <c r="K62" s="30">
        <v>40.889975940799999</v>
      </c>
      <c r="L62" s="30">
        <v>71.955590816200001</v>
      </c>
      <c r="M62" s="14">
        <v>100</v>
      </c>
    </row>
    <row r="63" spans="1:13" ht="30" customHeight="1">
      <c r="A63" s="7" t="s">
        <v>13</v>
      </c>
      <c r="B63" s="30" t="s">
        <v>387</v>
      </c>
      <c r="C63" s="30" t="s">
        <v>175</v>
      </c>
      <c r="D63" s="27">
        <v>53126.810219516577</v>
      </c>
      <c r="E63" s="28">
        <v>38778.798212141621</v>
      </c>
      <c r="F63" s="27">
        <f t="shared" si="1"/>
        <v>14348.012007374957</v>
      </c>
      <c r="G63" s="27">
        <f t="shared" si="0"/>
        <v>27.007102342658801</v>
      </c>
      <c r="H63" s="29">
        <v>24</v>
      </c>
      <c r="I63" s="29">
        <v>4</v>
      </c>
      <c r="J63" s="3" t="s">
        <v>28</v>
      </c>
      <c r="K63" s="30">
        <v>40.879336666500002</v>
      </c>
      <c r="L63" s="30">
        <v>71.986581666700005</v>
      </c>
      <c r="M63" s="14">
        <v>100</v>
      </c>
    </row>
    <row r="64" spans="1:13" ht="30" customHeight="1">
      <c r="A64" s="7" t="s">
        <v>13</v>
      </c>
      <c r="B64" s="30" t="s">
        <v>387</v>
      </c>
      <c r="C64" s="30" t="s">
        <v>176</v>
      </c>
      <c r="D64" s="27">
        <v>53203.14737951658</v>
      </c>
      <c r="E64" s="28">
        <v>38845.584878808288</v>
      </c>
      <c r="F64" s="27">
        <f t="shared" si="1"/>
        <v>14357.562500708293</v>
      </c>
      <c r="G64" s="27">
        <f t="shared" si="0"/>
        <v>26.986302893493871</v>
      </c>
      <c r="H64" s="29">
        <v>142</v>
      </c>
      <c r="I64" s="29">
        <v>3</v>
      </c>
      <c r="J64" s="4" t="s">
        <v>29</v>
      </c>
      <c r="K64" s="30">
        <v>40.884120000000003</v>
      </c>
      <c r="L64" s="30">
        <v>71.971571666700001</v>
      </c>
      <c r="M64" s="14">
        <v>160</v>
      </c>
    </row>
    <row r="65" spans="1:13" ht="30" customHeight="1">
      <c r="A65" s="7" t="s">
        <v>13</v>
      </c>
      <c r="B65" s="30" t="s">
        <v>384</v>
      </c>
      <c r="C65" s="30" t="s">
        <v>111</v>
      </c>
      <c r="D65" s="27">
        <v>36783.224669516581</v>
      </c>
      <c r="E65" s="28">
        <v>24479.948212141622</v>
      </c>
      <c r="F65" s="27">
        <f t="shared" si="1"/>
        <v>12303.276457374959</v>
      </c>
      <c r="G65" s="27">
        <f t="shared" si="0"/>
        <v>33.448063806029147</v>
      </c>
      <c r="H65" s="29">
        <v>57</v>
      </c>
      <c r="I65" s="29">
        <v>3</v>
      </c>
      <c r="J65" s="4" t="s">
        <v>29</v>
      </c>
      <c r="K65" s="30">
        <v>40.883293333300003</v>
      </c>
      <c r="L65" s="30">
        <v>71.964291666700007</v>
      </c>
      <c r="M65" s="14">
        <v>100</v>
      </c>
    </row>
    <row r="66" spans="1:13" ht="30" customHeight="1">
      <c r="A66" s="7" t="s">
        <v>13</v>
      </c>
      <c r="B66" s="30" t="s">
        <v>388</v>
      </c>
      <c r="C66" s="30" t="s">
        <v>177</v>
      </c>
      <c r="D66" s="27">
        <v>45849.451139516583</v>
      </c>
      <c r="E66" s="28">
        <v>32411.904878808287</v>
      </c>
      <c r="F66" s="27">
        <f t="shared" si="1"/>
        <v>13437.546260708295</v>
      </c>
      <c r="G66" s="27">
        <f t="shared" si="0"/>
        <v>29.307976271774354</v>
      </c>
      <c r="H66" s="29">
        <v>83</v>
      </c>
      <c r="I66" s="29">
        <v>5</v>
      </c>
      <c r="J66" s="4" t="s">
        <v>29</v>
      </c>
      <c r="K66" s="30">
        <v>40.876348333300001</v>
      </c>
      <c r="L66" s="30">
        <v>71.981988333299995</v>
      </c>
      <c r="M66" s="14">
        <v>100</v>
      </c>
    </row>
    <row r="67" spans="1:13" ht="30" customHeight="1">
      <c r="A67" s="7" t="s">
        <v>13</v>
      </c>
      <c r="B67" s="30" t="s">
        <v>384</v>
      </c>
      <c r="C67" s="30" t="s">
        <v>110</v>
      </c>
      <c r="D67" s="27">
        <v>34803.967769516581</v>
      </c>
      <c r="E67" s="28">
        <v>22748.314878808287</v>
      </c>
      <c r="F67" s="27">
        <f t="shared" si="1"/>
        <v>12055.652890708294</v>
      </c>
      <c r="G67" s="27">
        <f t="shared" ref="G67:G130" si="2">+F67*100/D67</f>
        <v>34.638731338176228</v>
      </c>
      <c r="H67" s="29">
        <v>69</v>
      </c>
      <c r="I67" s="29">
        <v>5</v>
      </c>
      <c r="J67" s="4" t="s">
        <v>29</v>
      </c>
      <c r="K67" s="30">
        <v>40.883031666699999</v>
      </c>
      <c r="L67" s="30">
        <v>71.961638333300002</v>
      </c>
      <c r="M67" s="14">
        <v>250</v>
      </c>
    </row>
    <row r="68" spans="1:13" ht="30" customHeight="1">
      <c r="A68" s="7" t="s">
        <v>13</v>
      </c>
      <c r="B68" s="30" t="s">
        <v>384</v>
      </c>
      <c r="C68" s="30" t="s">
        <v>119</v>
      </c>
      <c r="D68" s="27">
        <v>41314.419569516584</v>
      </c>
      <c r="E68" s="28">
        <v>28444.248212141618</v>
      </c>
      <c r="F68" s="27">
        <f t="shared" si="1"/>
        <v>12870.171357374966</v>
      </c>
      <c r="G68" s="27">
        <f t="shared" si="2"/>
        <v>31.151766118169281</v>
      </c>
      <c r="H68" s="29">
        <v>72</v>
      </c>
      <c r="I68" s="29">
        <v>6</v>
      </c>
      <c r="J68" s="4" t="s">
        <v>28</v>
      </c>
      <c r="K68" s="30">
        <v>40.893335</v>
      </c>
      <c r="L68" s="30">
        <v>71.929253333299997</v>
      </c>
      <c r="M68" s="14">
        <v>160</v>
      </c>
    </row>
    <row r="69" spans="1:13" ht="30" customHeight="1">
      <c r="A69" s="7" t="s">
        <v>13</v>
      </c>
      <c r="B69" s="30" t="s">
        <v>384</v>
      </c>
      <c r="C69" s="30" t="s">
        <v>115</v>
      </c>
      <c r="D69" s="27">
        <v>38400.790649516581</v>
      </c>
      <c r="E69" s="28">
        <v>25895.141545474955</v>
      </c>
      <c r="F69" s="27">
        <f t="shared" ref="F69:F132" si="3">+D69-E69</f>
        <v>12505.649104041626</v>
      </c>
      <c r="G69" s="27">
        <f t="shared" si="2"/>
        <v>32.566124010780115</v>
      </c>
      <c r="H69" s="29">
        <v>56</v>
      </c>
      <c r="I69" s="29">
        <v>3</v>
      </c>
      <c r="J69" s="4" t="s">
        <v>28</v>
      </c>
      <c r="K69" s="30">
        <v>40.891123333300001</v>
      </c>
      <c r="L69" s="30">
        <v>71.940986666699999</v>
      </c>
      <c r="M69" s="14">
        <v>100</v>
      </c>
    </row>
    <row r="70" spans="1:13" ht="30" customHeight="1">
      <c r="A70" s="7" t="s">
        <v>13</v>
      </c>
      <c r="B70" s="30" t="s">
        <v>384</v>
      </c>
      <c r="C70" s="30" t="s">
        <v>105</v>
      </c>
      <c r="D70" s="27">
        <v>34108.398929516581</v>
      </c>
      <c r="E70" s="28">
        <v>22139.768212141618</v>
      </c>
      <c r="F70" s="27">
        <f t="shared" si="3"/>
        <v>11968.630717374963</v>
      </c>
      <c r="G70" s="27">
        <f t="shared" si="2"/>
        <v>35.089981039882815</v>
      </c>
      <c r="H70" s="29">
        <v>22</v>
      </c>
      <c r="I70" s="29">
        <v>4</v>
      </c>
      <c r="J70" s="6" t="s">
        <v>28</v>
      </c>
      <c r="K70" s="30">
        <v>40.880083115799998</v>
      </c>
      <c r="L70" s="30">
        <v>71.942641781600003</v>
      </c>
      <c r="M70" s="14">
        <v>250</v>
      </c>
    </row>
    <row r="71" spans="1:13" ht="30" customHeight="1">
      <c r="A71" s="7" t="s">
        <v>13</v>
      </c>
      <c r="B71" s="30" t="s">
        <v>384</v>
      </c>
      <c r="C71" s="30" t="s">
        <v>98</v>
      </c>
      <c r="D71" s="27">
        <v>36255.105329516577</v>
      </c>
      <c r="E71" s="28">
        <v>24017.901545474953</v>
      </c>
      <c r="F71" s="27">
        <f t="shared" si="3"/>
        <v>12237.203784041623</v>
      </c>
      <c r="G71" s="27">
        <f t="shared" si="2"/>
        <v>33.75304987482378</v>
      </c>
      <c r="H71" s="29">
        <v>132</v>
      </c>
      <c r="I71" s="29">
        <v>4</v>
      </c>
      <c r="J71" s="6" t="s">
        <v>29</v>
      </c>
      <c r="K71" s="30">
        <v>40.874026666600002</v>
      </c>
      <c r="L71" s="30">
        <v>72.094549999700007</v>
      </c>
      <c r="M71" s="19">
        <v>100</v>
      </c>
    </row>
    <row r="72" spans="1:13" ht="30" customHeight="1">
      <c r="A72" s="5" t="s">
        <v>30</v>
      </c>
      <c r="B72" s="30" t="s">
        <v>386</v>
      </c>
      <c r="C72" s="30" t="s">
        <v>178</v>
      </c>
      <c r="D72" s="27">
        <v>35865.772859516583</v>
      </c>
      <c r="E72" s="28">
        <v>23677.27821214162</v>
      </c>
      <c r="F72" s="27">
        <f t="shared" si="3"/>
        <v>12188.494647374962</v>
      </c>
      <c r="G72" s="27">
        <f t="shared" si="2"/>
        <v>33.983638649350567</v>
      </c>
      <c r="H72" s="29">
        <v>61</v>
      </c>
      <c r="I72" s="29">
        <v>4</v>
      </c>
      <c r="J72" s="6" t="s">
        <v>31</v>
      </c>
      <c r="K72" s="30">
        <v>40.875187246099998</v>
      </c>
      <c r="L72" s="30">
        <v>71.961364354899999</v>
      </c>
      <c r="M72" s="20">
        <v>60</v>
      </c>
    </row>
    <row r="73" spans="1:13" ht="30" customHeight="1">
      <c r="A73" s="5" t="s">
        <v>30</v>
      </c>
      <c r="B73" s="30" t="s">
        <v>384</v>
      </c>
      <c r="C73" s="30" t="s">
        <v>117</v>
      </c>
      <c r="D73" s="27">
        <v>34088.415479516581</v>
      </c>
      <c r="E73" s="28">
        <v>22122.284878808288</v>
      </c>
      <c r="F73" s="27">
        <f t="shared" si="3"/>
        <v>11966.130600708293</v>
      </c>
      <c r="G73" s="27">
        <f t="shared" si="2"/>
        <v>35.103217419708557</v>
      </c>
      <c r="H73" s="29">
        <v>24</v>
      </c>
      <c r="I73" s="29">
        <v>3</v>
      </c>
      <c r="J73" s="3" t="s">
        <v>32</v>
      </c>
      <c r="K73" s="30">
        <v>40.876370000000001</v>
      </c>
      <c r="L73" s="30">
        <v>71.934290000000004</v>
      </c>
      <c r="M73" s="20">
        <v>100</v>
      </c>
    </row>
    <row r="74" spans="1:13" ht="30" customHeight="1">
      <c r="A74" s="5" t="s">
        <v>30</v>
      </c>
      <c r="B74" s="30" t="s">
        <v>387</v>
      </c>
      <c r="C74" s="30" t="s">
        <v>179</v>
      </c>
      <c r="D74" s="27">
        <v>30982.351079516578</v>
      </c>
      <c r="E74" s="28">
        <v>19404.818212141621</v>
      </c>
      <c r="F74" s="27">
        <f t="shared" si="3"/>
        <v>11577.532867374957</v>
      </c>
      <c r="G74" s="27">
        <f t="shared" si="2"/>
        <v>37.368154655729903</v>
      </c>
      <c r="H74" s="29">
        <v>106</v>
      </c>
      <c r="I74" s="29">
        <v>4</v>
      </c>
      <c r="J74" s="3" t="s">
        <v>32</v>
      </c>
      <c r="K74" s="30">
        <v>40.871744999999997</v>
      </c>
      <c r="L74" s="30">
        <v>71.974869999999996</v>
      </c>
      <c r="M74" s="20">
        <v>160</v>
      </c>
    </row>
    <row r="75" spans="1:13" ht="30" customHeight="1">
      <c r="A75" s="5" t="s">
        <v>30</v>
      </c>
      <c r="B75" s="30" t="s">
        <v>387</v>
      </c>
      <c r="C75" s="30" t="s">
        <v>180</v>
      </c>
      <c r="D75" s="27">
        <v>31211.431139516579</v>
      </c>
      <c r="E75" s="28">
        <v>19605.238212141619</v>
      </c>
      <c r="F75" s="27">
        <f t="shared" si="3"/>
        <v>11606.192927374959</v>
      </c>
      <c r="G75" s="27">
        <f t="shared" si="2"/>
        <v>37.185712104948742</v>
      </c>
      <c r="H75" s="29">
        <v>8</v>
      </c>
      <c r="I75" s="29">
        <v>3</v>
      </c>
      <c r="J75" s="3" t="s">
        <v>32</v>
      </c>
      <c r="K75" s="30">
        <v>40.876070782500001</v>
      </c>
      <c r="L75" s="30">
        <v>71.971403360400004</v>
      </c>
      <c r="M75" s="20">
        <v>250</v>
      </c>
    </row>
    <row r="76" spans="1:13" ht="30" customHeight="1">
      <c r="A76" s="5" t="s">
        <v>30</v>
      </c>
      <c r="B76" s="30" t="s">
        <v>387</v>
      </c>
      <c r="C76" s="30" t="s">
        <v>181</v>
      </c>
      <c r="D76" s="27">
        <v>36971.652029516583</v>
      </c>
      <c r="E76" s="28">
        <v>24644.801545474955</v>
      </c>
      <c r="F76" s="27">
        <f t="shared" si="3"/>
        <v>12326.850484041628</v>
      </c>
      <c r="G76" s="27">
        <f t="shared" si="2"/>
        <v>33.341356978585644</v>
      </c>
      <c r="H76" s="29">
        <v>57</v>
      </c>
      <c r="I76" s="29">
        <v>3</v>
      </c>
      <c r="J76" s="3" t="s">
        <v>34</v>
      </c>
      <c r="K76" s="30">
        <v>40.882694999999998</v>
      </c>
      <c r="L76" s="30">
        <v>71.966549999999998</v>
      </c>
      <c r="M76" s="20">
        <v>250</v>
      </c>
    </row>
    <row r="77" spans="1:13" ht="30" customHeight="1">
      <c r="A77" s="5" t="s">
        <v>30</v>
      </c>
      <c r="B77" s="30" t="s">
        <v>384</v>
      </c>
      <c r="C77" s="30" t="s">
        <v>104</v>
      </c>
      <c r="D77" s="27">
        <v>34978.221929516578</v>
      </c>
      <c r="E77" s="28">
        <v>22900.768212141618</v>
      </c>
      <c r="F77" s="27">
        <f t="shared" si="3"/>
        <v>12077.45371737496</v>
      </c>
      <c r="G77" s="27">
        <f t="shared" si="2"/>
        <v>34.528495306913612</v>
      </c>
      <c r="H77" s="29">
        <v>92</v>
      </c>
      <c r="I77" s="29">
        <v>3</v>
      </c>
      <c r="J77" s="3" t="s">
        <v>34</v>
      </c>
      <c r="K77" s="30">
        <v>40.881264999999999</v>
      </c>
      <c r="L77" s="30">
        <v>71.952876666700007</v>
      </c>
      <c r="M77" s="20">
        <v>160</v>
      </c>
    </row>
    <row r="78" spans="1:13" ht="30" customHeight="1">
      <c r="A78" s="5" t="s">
        <v>30</v>
      </c>
      <c r="B78" s="30" t="s">
        <v>387</v>
      </c>
      <c r="C78" s="30" t="s">
        <v>182</v>
      </c>
      <c r="D78" s="27">
        <v>41116.665329516582</v>
      </c>
      <c r="E78" s="28">
        <v>28271.234878808289</v>
      </c>
      <c r="F78" s="27">
        <f t="shared" si="3"/>
        <v>12845.430450708292</v>
      </c>
      <c r="G78" s="27">
        <f t="shared" si="2"/>
        <v>31.241420839366789</v>
      </c>
      <c r="H78" s="29">
        <v>90</v>
      </c>
      <c r="I78" s="29">
        <v>3</v>
      </c>
      <c r="J78" s="3" t="s">
        <v>35</v>
      </c>
      <c r="K78" s="30">
        <v>40.879336666500002</v>
      </c>
      <c r="L78" s="30">
        <v>71.986581666700005</v>
      </c>
      <c r="M78" s="20">
        <v>100</v>
      </c>
    </row>
    <row r="79" spans="1:13" ht="30" customHeight="1">
      <c r="A79" s="5" t="s">
        <v>30</v>
      </c>
      <c r="B79" s="30" t="s">
        <v>387</v>
      </c>
      <c r="C79" s="30" t="s">
        <v>183</v>
      </c>
      <c r="D79" s="27">
        <v>52508.271959516584</v>
      </c>
      <c r="E79" s="28">
        <v>38237.644878808293</v>
      </c>
      <c r="F79" s="27">
        <f t="shared" si="3"/>
        <v>14270.627080708291</v>
      </c>
      <c r="G79" s="27">
        <f t="shared" si="2"/>
        <v>27.177864645233075</v>
      </c>
      <c r="H79" s="29">
        <v>101</v>
      </c>
      <c r="I79" s="29">
        <v>6</v>
      </c>
      <c r="J79" s="3" t="s">
        <v>36</v>
      </c>
      <c r="K79" s="30">
        <v>40.874789999999997</v>
      </c>
      <c r="L79" s="30">
        <v>71.973321666700002</v>
      </c>
      <c r="M79" s="20">
        <v>160</v>
      </c>
    </row>
    <row r="80" spans="1:13" ht="30" customHeight="1">
      <c r="A80" s="5" t="s">
        <v>30</v>
      </c>
      <c r="B80" s="30" t="s">
        <v>387</v>
      </c>
      <c r="C80" s="30" t="s">
        <v>184</v>
      </c>
      <c r="D80" s="27">
        <v>32562.247589516577</v>
      </c>
      <c r="E80" s="28">
        <v>20787.054878808285</v>
      </c>
      <c r="F80" s="27">
        <f t="shared" si="3"/>
        <v>11775.192710708292</v>
      </c>
      <c r="G80" s="27">
        <f t="shared" si="2"/>
        <v>36.162100537861264</v>
      </c>
      <c r="H80" s="29">
        <v>51</v>
      </c>
      <c r="I80" s="29">
        <v>5</v>
      </c>
      <c r="J80" s="3" t="s">
        <v>37</v>
      </c>
      <c r="K80" s="30">
        <v>40.870626666699998</v>
      </c>
      <c r="L80" s="30">
        <v>72.030681666700005</v>
      </c>
      <c r="M80" s="20">
        <v>160</v>
      </c>
    </row>
    <row r="81" spans="1:13" ht="30" customHeight="1">
      <c r="A81" s="5" t="s">
        <v>30</v>
      </c>
      <c r="B81" s="30" t="s">
        <v>387</v>
      </c>
      <c r="C81" s="30" t="s">
        <v>185</v>
      </c>
      <c r="D81" s="27">
        <v>33838.841429516579</v>
      </c>
      <c r="E81" s="28">
        <v>21903.934878808286</v>
      </c>
      <c r="F81" s="27">
        <f t="shared" si="3"/>
        <v>11934.906550708292</v>
      </c>
      <c r="G81" s="27">
        <f t="shared" si="2"/>
        <v>35.269843902805256</v>
      </c>
      <c r="H81" s="29">
        <v>89</v>
      </c>
      <c r="I81" s="29">
        <v>4</v>
      </c>
      <c r="J81" s="3" t="s">
        <v>38</v>
      </c>
      <c r="K81" s="30">
        <v>40.885669999999998</v>
      </c>
      <c r="L81" s="30">
        <v>71.975136666699996</v>
      </c>
      <c r="M81" s="20">
        <v>160</v>
      </c>
    </row>
    <row r="82" spans="1:13" ht="30" customHeight="1">
      <c r="A82" s="7" t="s">
        <v>13</v>
      </c>
      <c r="B82" s="30" t="s">
        <v>387</v>
      </c>
      <c r="C82" s="30" t="s">
        <v>186</v>
      </c>
      <c r="D82" s="27">
        <v>31959.707519516578</v>
      </c>
      <c r="E82" s="28">
        <v>20259.898212141619</v>
      </c>
      <c r="F82" s="27">
        <f t="shared" si="3"/>
        <v>11699.809307374959</v>
      </c>
      <c r="G82" s="27">
        <f t="shared" si="2"/>
        <v>36.607998681559678</v>
      </c>
      <c r="H82" s="29">
        <v>73</v>
      </c>
      <c r="I82" s="29">
        <v>6</v>
      </c>
      <c r="J82" s="3" t="s">
        <v>23</v>
      </c>
      <c r="K82" s="30">
        <v>40.875881666700003</v>
      </c>
      <c r="L82" s="30">
        <v>71.976506666700004</v>
      </c>
      <c r="M82" s="20">
        <v>63</v>
      </c>
    </row>
    <row r="83" spans="1:13" ht="30" customHeight="1">
      <c r="A83" s="5" t="s">
        <v>30</v>
      </c>
      <c r="B83" s="30" t="s">
        <v>389</v>
      </c>
      <c r="C83" s="30" t="s">
        <v>187</v>
      </c>
      <c r="D83" s="27">
        <v>37300.523609516582</v>
      </c>
      <c r="E83" s="28">
        <v>24932.52821214162</v>
      </c>
      <c r="F83" s="27">
        <f t="shared" si="3"/>
        <v>12367.995397374962</v>
      </c>
      <c r="G83" s="27">
        <f t="shared" si="2"/>
        <v>33.157699143449776</v>
      </c>
      <c r="H83" s="29">
        <v>149</v>
      </c>
      <c r="I83" s="29">
        <v>4</v>
      </c>
      <c r="J83" s="3" t="s">
        <v>39</v>
      </c>
      <c r="K83" s="30">
        <v>40.876424999999998</v>
      </c>
      <c r="L83" s="30">
        <v>72.024273333300002</v>
      </c>
      <c r="M83" s="20">
        <v>100</v>
      </c>
    </row>
    <row r="84" spans="1:13" ht="30" customHeight="1">
      <c r="A84" s="7" t="s">
        <v>13</v>
      </c>
      <c r="B84" s="30" t="s">
        <v>387</v>
      </c>
      <c r="C84" s="30" t="s">
        <v>188</v>
      </c>
      <c r="D84" s="27">
        <v>32780.091959516576</v>
      </c>
      <c r="E84" s="28">
        <v>20977.644878808285</v>
      </c>
      <c r="F84" s="27">
        <f t="shared" si="3"/>
        <v>11802.447080708291</v>
      </c>
      <c r="G84" s="27">
        <f t="shared" si="2"/>
        <v>36.004923644766819</v>
      </c>
      <c r="H84" s="29">
        <v>164</v>
      </c>
      <c r="I84" s="29">
        <v>4</v>
      </c>
      <c r="J84" s="3"/>
      <c r="K84" s="30">
        <v>40.870156999999999</v>
      </c>
      <c r="L84" s="30">
        <v>71.971063000000001</v>
      </c>
      <c r="M84" s="20">
        <v>100</v>
      </c>
    </row>
    <row r="85" spans="1:13" ht="30" customHeight="1">
      <c r="A85" s="7" t="s">
        <v>13</v>
      </c>
      <c r="B85" s="30" t="s">
        <v>388</v>
      </c>
      <c r="C85" s="30" t="s">
        <v>189</v>
      </c>
      <c r="D85" s="27">
        <v>34302.88037951658</v>
      </c>
      <c r="E85" s="28">
        <v>22309.91821214162</v>
      </c>
      <c r="F85" s="27">
        <f t="shared" si="3"/>
        <v>11992.962167374961</v>
      </c>
      <c r="G85" s="27">
        <f t="shared" si="2"/>
        <v>34.961968309041382</v>
      </c>
      <c r="H85" s="29">
        <v>70</v>
      </c>
      <c r="I85" s="29">
        <v>4</v>
      </c>
      <c r="J85" s="3"/>
      <c r="K85" s="30">
        <v>40.8745966667</v>
      </c>
      <c r="L85" s="30">
        <v>71.988754999999998</v>
      </c>
      <c r="M85" s="20">
        <v>160</v>
      </c>
    </row>
    <row r="86" spans="1:13" ht="30" customHeight="1">
      <c r="A86" s="7" t="s">
        <v>13</v>
      </c>
      <c r="B86" s="30" t="s">
        <v>389</v>
      </c>
      <c r="C86" s="30" t="s">
        <v>190</v>
      </c>
      <c r="D86" s="27">
        <v>33270.774239516577</v>
      </c>
      <c r="E86" s="28">
        <v>21406.93821214162</v>
      </c>
      <c r="F86" s="27">
        <f t="shared" si="3"/>
        <v>11863.836027374957</v>
      </c>
      <c r="G86" s="27">
        <f t="shared" si="2"/>
        <v>35.658430855762788</v>
      </c>
      <c r="H86" s="29">
        <v>52</v>
      </c>
      <c r="I86" s="29">
        <v>4</v>
      </c>
      <c r="J86" s="4"/>
      <c r="K86" s="30">
        <v>40.878901666700003</v>
      </c>
      <c r="L86" s="30">
        <v>72.031078333300002</v>
      </c>
      <c r="M86" s="20">
        <v>250</v>
      </c>
    </row>
    <row r="87" spans="1:13" ht="30" customHeight="1">
      <c r="A87" s="7" t="s">
        <v>13</v>
      </c>
      <c r="B87" s="30" t="s">
        <v>389</v>
      </c>
      <c r="C87" s="30" t="s">
        <v>191</v>
      </c>
      <c r="D87" s="27">
        <v>31886.578379516577</v>
      </c>
      <c r="E87" s="28">
        <v>20195.91821214162</v>
      </c>
      <c r="F87" s="27">
        <f t="shared" si="3"/>
        <v>11690.660167374957</v>
      </c>
      <c r="G87" s="27">
        <f t="shared" si="2"/>
        <v>36.663263233300846</v>
      </c>
      <c r="H87" s="29">
        <v>31</v>
      </c>
      <c r="I87" s="29">
        <v>3</v>
      </c>
      <c r="J87" s="4"/>
      <c r="K87" s="30">
        <v>40.877465000000001</v>
      </c>
      <c r="L87" s="30">
        <v>72.08811</v>
      </c>
      <c r="M87" s="20">
        <v>100</v>
      </c>
    </row>
    <row r="88" spans="1:13" ht="30" customHeight="1">
      <c r="A88" s="7" t="s">
        <v>13</v>
      </c>
      <c r="B88" s="30" t="s">
        <v>389</v>
      </c>
      <c r="C88" s="30" t="s">
        <v>192</v>
      </c>
      <c r="D88" s="27">
        <v>33542.712989516578</v>
      </c>
      <c r="E88" s="28">
        <v>21644.854878808284</v>
      </c>
      <c r="F88" s="27">
        <f t="shared" si="3"/>
        <v>11897.858110708294</v>
      </c>
      <c r="G88" s="27">
        <f t="shared" si="2"/>
        <v>35.470768612028621</v>
      </c>
      <c r="H88" s="29">
        <v>87</v>
      </c>
      <c r="I88" s="29">
        <v>5</v>
      </c>
      <c r="J88" s="4"/>
      <c r="K88" s="30">
        <v>40.875194999999998</v>
      </c>
      <c r="L88" s="30">
        <v>72.038955000000001</v>
      </c>
      <c r="M88" s="20">
        <v>100</v>
      </c>
    </row>
    <row r="89" spans="1:13" ht="30" customHeight="1">
      <c r="A89" s="7" t="s">
        <v>13</v>
      </c>
      <c r="B89" s="30" t="s">
        <v>389</v>
      </c>
      <c r="C89" s="30" t="s">
        <v>193</v>
      </c>
      <c r="D89" s="27">
        <v>30628.958339516579</v>
      </c>
      <c r="E89" s="28">
        <v>19095.638212141621</v>
      </c>
      <c r="F89" s="27">
        <f t="shared" si="3"/>
        <v>11533.320127374958</v>
      </c>
      <c r="G89" s="27">
        <f t="shared" si="2"/>
        <v>37.654953849654781</v>
      </c>
      <c r="H89" s="29">
        <v>69</v>
      </c>
      <c r="I89" s="29">
        <v>3</v>
      </c>
      <c r="J89" s="4" t="s">
        <v>14</v>
      </c>
      <c r="K89" s="30">
        <v>40.879893333299997</v>
      </c>
      <c r="L89" s="30">
        <v>72.067336666700001</v>
      </c>
      <c r="M89" s="20">
        <v>250</v>
      </c>
    </row>
    <row r="90" spans="1:13" ht="30" customHeight="1">
      <c r="A90" s="7" t="s">
        <v>13</v>
      </c>
      <c r="B90" s="30" t="s">
        <v>389</v>
      </c>
      <c r="C90" s="30" t="s">
        <v>194</v>
      </c>
      <c r="D90" s="27">
        <v>37519.560509516581</v>
      </c>
      <c r="E90" s="28">
        <v>25124.161545474955</v>
      </c>
      <c r="F90" s="27">
        <f t="shared" si="3"/>
        <v>12395.398964041626</v>
      </c>
      <c r="G90" s="27">
        <f t="shared" si="2"/>
        <v>33.037164603507591</v>
      </c>
      <c r="H90" s="29">
        <v>75</v>
      </c>
      <c r="I90" s="29">
        <v>3</v>
      </c>
      <c r="J90" s="4" t="s">
        <v>24</v>
      </c>
      <c r="K90" s="30">
        <v>40.878976666699998</v>
      </c>
      <c r="L90" s="30">
        <v>72.029004999999998</v>
      </c>
      <c r="M90" s="14">
        <v>250</v>
      </c>
    </row>
    <row r="91" spans="1:13" ht="30" customHeight="1">
      <c r="A91" s="7" t="s">
        <v>13</v>
      </c>
      <c r="B91" s="30" t="s">
        <v>384</v>
      </c>
      <c r="C91" s="30" t="s">
        <v>121</v>
      </c>
      <c r="D91" s="27">
        <v>36447.274109516577</v>
      </c>
      <c r="E91" s="28">
        <v>24186.02821214162</v>
      </c>
      <c r="F91" s="27">
        <f t="shared" si="3"/>
        <v>12261.245897374956</v>
      </c>
      <c r="G91" s="27">
        <f t="shared" si="2"/>
        <v>33.641050522824912</v>
      </c>
      <c r="H91" s="29">
        <v>121</v>
      </c>
      <c r="I91" s="29">
        <v>4</v>
      </c>
      <c r="J91" s="4" t="s">
        <v>23</v>
      </c>
      <c r="K91" s="30">
        <v>40.881158094900002</v>
      </c>
      <c r="L91" s="30">
        <v>71.960061555699994</v>
      </c>
      <c r="M91" s="14">
        <v>250</v>
      </c>
    </row>
    <row r="92" spans="1:13" ht="30" customHeight="1">
      <c r="A92" s="7" t="s">
        <v>13</v>
      </c>
      <c r="B92" s="30" t="s">
        <v>388</v>
      </c>
      <c r="C92" s="30" t="s">
        <v>195</v>
      </c>
      <c r="D92" s="27">
        <v>35965.789169516574</v>
      </c>
      <c r="E92" s="28">
        <v>23764.781545474954</v>
      </c>
      <c r="F92" s="27">
        <f t="shared" si="3"/>
        <v>12201.00762404162</v>
      </c>
      <c r="G92" s="27">
        <f t="shared" si="2"/>
        <v>33.923925779954232</v>
      </c>
      <c r="H92" s="29">
        <v>90</v>
      </c>
      <c r="I92" s="29">
        <v>5</v>
      </c>
      <c r="J92" s="4" t="s">
        <v>40</v>
      </c>
      <c r="K92" s="30">
        <v>40.880791666699999</v>
      </c>
      <c r="L92" s="30">
        <v>72.024038333299998</v>
      </c>
      <c r="M92" s="14">
        <v>160</v>
      </c>
    </row>
    <row r="93" spans="1:13" ht="30" customHeight="1">
      <c r="A93" s="7" t="s">
        <v>13</v>
      </c>
      <c r="B93" s="30" t="s">
        <v>389</v>
      </c>
      <c r="C93" s="30" t="s">
        <v>196</v>
      </c>
      <c r="D93" s="27">
        <v>36595.574549516583</v>
      </c>
      <c r="E93" s="28">
        <v>24315.77487880829</v>
      </c>
      <c r="F93" s="27">
        <f t="shared" si="3"/>
        <v>12279.799670708293</v>
      </c>
      <c r="G93" s="27">
        <f t="shared" si="2"/>
        <v>33.555422539118204</v>
      </c>
      <c r="H93" s="29">
        <v>91</v>
      </c>
      <c r="I93" s="29">
        <v>4</v>
      </c>
      <c r="J93" s="4" t="s">
        <v>23</v>
      </c>
      <c r="K93" s="30">
        <v>40.880018333300001</v>
      </c>
      <c r="L93" s="30">
        <v>72.078343333299998</v>
      </c>
      <c r="M93" s="14">
        <v>100</v>
      </c>
    </row>
    <row r="94" spans="1:13" ht="30" customHeight="1">
      <c r="A94" s="7" t="s">
        <v>13</v>
      </c>
      <c r="B94" s="30" t="s">
        <v>387</v>
      </c>
      <c r="C94" s="30" t="s">
        <v>197</v>
      </c>
      <c r="D94" s="27">
        <v>40980.625469516584</v>
      </c>
      <c r="E94" s="28">
        <v>28152.214878808285</v>
      </c>
      <c r="F94" s="27">
        <f t="shared" si="3"/>
        <v>12828.410590708299</v>
      </c>
      <c r="G94" s="27">
        <f t="shared" si="2"/>
        <v>31.303598819521937</v>
      </c>
      <c r="H94" s="29">
        <v>146</v>
      </c>
      <c r="I94" s="29">
        <v>4</v>
      </c>
      <c r="J94" s="3" t="s">
        <v>14</v>
      </c>
      <c r="K94" s="30">
        <v>40.878603333299999</v>
      </c>
      <c r="L94" s="30">
        <v>71.966620000000006</v>
      </c>
      <c r="M94" s="14">
        <v>100</v>
      </c>
    </row>
    <row r="95" spans="1:13" ht="30" customHeight="1">
      <c r="A95" s="7" t="s">
        <v>13</v>
      </c>
      <c r="B95" s="30" t="s">
        <v>390</v>
      </c>
      <c r="C95" s="30" t="s">
        <v>198</v>
      </c>
      <c r="D95" s="27">
        <v>33391.349309516576</v>
      </c>
      <c r="E95" s="28">
        <v>21512.428212141618</v>
      </c>
      <c r="F95" s="27">
        <f t="shared" si="3"/>
        <v>11878.921097374958</v>
      </c>
      <c r="G95" s="27">
        <f t="shared" si="2"/>
        <v>35.574846009560481</v>
      </c>
      <c r="H95" s="29">
        <v>93</v>
      </c>
      <c r="I95" s="29">
        <v>5</v>
      </c>
      <c r="J95" s="5" t="s">
        <v>40</v>
      </c>
      <c r="K95" s="30">
        <v>40.858133333300003</v>
      </c>
      <c r="L95" s="30">
        <v>72.060698333299996</v>
      </c>
      <c r="M95" s="14">
        <v>100</v>
      </c>
    </row>
    <row r="96" spans="1:13" ht="30" customHeight="1">
      <c r="A96" s="7" t="s">
        <v>13</v>
      </c>
      <c r="B96" s="30" t="s">
        <v>389</v>
      </c>
      <c r="C96" s="30" t="s">
        <v>199</v>
      </c>
      <c r="D96" s="27">
        <v>31071.710819516578</v>
      </c>
      <c r="E96" s="28">
        <v>19482.998212141621</v>
      </c>
      <c r="F96" s="27">
        <f t="shared" si="3"/>
        <v>11588.712607374957</v>
      </c>
      <c r="G96" s="27">
        <f t="shared" si="2"/>
        <v>37.296667295499944</v>
      </c>
      <c r="H96" s="29">
        <v>60</v>
      </c>
      <c r="I96" s="29">
        <v>5</v>
      </c>
      <c r="J96" s="5" t="s">
        <v>40</v>
      </c>
      <c r="K96" s="30">
        <v>40.879048333299998</v>
      </c>
      <c r="L96" s="30">
        <v>72.052588333299994</v>
      </c>
      <c r="M96" s="14">
        <v>100</v>
      </c>
    </row>
    <row r="97" spans="1:13" ht="30" customHeight="1">
      <c r="A97" s="7" t="s">
        <v>13</v>
      </c>
      <c r="B97" s="30" t="s">
        <v>388</v>
      </c>
      <c r="C97" s="30" t="s">
        <v>200</v>
      </c>
      <c r="D97" s="27">
        <v>33873.207629516575</v>
      </c>
      <c r="E97" s="28">
        <v>21934.001545474952</v>
      </c>
      <c r="F97" s="27">
        <f t="shared" si="3"/>
        <v>11939.206084041623</v>
      </c>
      <c r="G97" s="27">
        <f t="shared" si="2"/>
        <v>35.246753760745079</v>
      </c>
      <c r="H97" s="29">
        <v>54</v>
      </c>
      <c r="I97" s="29">
        <v>3</v>
      </c>
      <c r="J97" s="5"/>
      <c r="K97" s="30">
        <v>40.877659999999999</v>
      </c>
      <c r="L97" s="30">
        <v>72.015798333299998</v>
      </c>
      <c r="M97" s="14">
        <v>160</v>
      </c>
    </row>
    <row r="98" spans="1:13" ht="30" customHeight="1">
      <c r="A98" s="7" t="s">
        <v>13</v>
      </c>
      <c r="B98" s="30" t="s">
        <v>389</v>
      </c>
      <c r="C98" s="30" t="s">
        <v>201</v>
      </c>
      <c r="D98" s="27">
        <v>29378.546819516581</v>
      </c>
      <c r="E98" s="28">
        <v>18001.664878808286</v>
      </c>
      <c r="F98" s="27">
        <f t="shared" si="3"/>
        <v>11376.881940708296</v>
      </c>
      <c r="G98" s="27">
        <f t="shared" si="2"/>
        <v>38.725135081053338</v>
      </c>
      <c r="H98" s="29">
        <v>12</v>
      </c>
      <c r="I98" s="29">
        <v>3</v>
      </c>
      <c r="J98" s="5" t="s">
        <v>14</v>
      </c>
      <c r="K98" s="30">
        <v>40.877465000000001</v>
      </c>
      <c r="L98" s="30">
        <v>72.08811</v>
      </c>
      <c r="M98" s="14">
        <v>160</v>
      </c>
    </row>
    <row r="99" spans="1:13" ht="30" customHeight="1">
      <c r="A99" s="7" t="s">
        <v>13</v>
      </c>
      <c r="B99" s="30" t="s">
        <v>389</v>
      </c>
      <c r="C99" s="30" t="s">
        <v>202</v>
      </c>
      <c r="D99" s="27">
        <v>33811.466579516578</v>
      </c>
      <c r="E99" s="28">
        <v>21879.984878808285</v>
      </c>
      <c r="F99" s="27">
        <f t="shared" si="3"/>
        <v>11931.481700708293</v>
      </c>
      <c r="G99" s="27">
        <f t="shared" si="2"/>
        <v>35.288270245977849</v>
      </c>
      <c r="H99" s="29">
        <v>73</v>
      </c>
      <c r="I99" s="29">
        <v>4</v>
      </c>
      <c r="J99" s="5" t="s">
        <v>23</v>
      </c>
      <c r="K99" s="30">
        <v>40.875548333300003</v>
      </c>
      <c r="L99" s="30">
        <v>72.079404999999994</v>
      </c>
      <c r="M99" s="19">
        <v>160</v>
      </c>
    </row>
    <row r="100" spans="1:13" ht="30" customHeight="1">
      <c r="A100" s="7" t="s">
        <v>13</v>
      </c>
      <c r="B100" s="30" t="s">
        <v>389</v>
      </c>
      <c r="C100" s="30" t="s">
        <v>203</v>
      </c>
      <c r="D100" s="27">
        <v>31101.931739516578</v>
      </c>
      <c r="E100" s="28">
        <v>19509.43821214162</v>
      </c>
      <c r="F100" s="27">
        <f t="shared" si="3"/>
        <v>11592.493527374958</v>
      </c>
      <c r="G100" s="27">
        <f t="shared" si="2"/>
        <v>37.272583659638435</v>
      </c>
      <c r="H100" s="29">
        <v>37</v>
      </c>
      <c r="I100" s="29">
        <v>4</v>
      </c>
      <c r="J100" s="12" t="s">
        <v>15</v>
      </c>
      <c r="K100" s="30">
        <v>40.883151666700002</v>
      </c>
      <c r="L100" s="30">
        <v>72.085181666699995</v>
      </c>
      <c r="M100" s="20">
        <v>63</v>
      </c>
    </row>
    <row r="101" spans="1:13" ht="30" customHeight="1">
      <c r="A101" s="7" t="s">
        <v>13</v>
      </c>
      <c r="B101" s="30" t="s">
        <v>390</v>
      </c>
      <c r="C101" s="30" t="s">
        <v>204</v>
      </c>
      <c r="D101" s="27">
        <v>32751.417899516578</v>
      </c>
      <c r="E101" s="28">
        <v>20952.558212141619</v>
      </c>
      <c r="F101" s="27">
        <f t="shared" si="3"/>
        <v>11798.859687374959</v>
      </c>
      <c r="G101" s="27">
        <f t="shared" si="2"/>
        <v>36.025492769731699</v>
      </c>
      <c r="H101" s="29">
        <v>64</v>
      </c>
      <c r="I101" s="29">
        <v>4</v>
      </c>
      <c r="J101" s="12" t="s">
        <v>17</v>
      </c>
      <c r="K101" s="30">
        <v>40.858853333299997</v>
      </c>
      <c r="L101" s="30">
        <v>72.0770083333</v>
      </c>
      <c r="M101" s="20">
        <v>400</v>
      </c>
    </row>
    <row r="102" spans="1:13" ht="30" customHeight="1">
      <c r="A102" s="7" t="s">
        <v>13</v>
      </c>
      <c r="B102" s="30" t="s">
        <v>390</v>
      </c>
      <c r="C102" s="30" t="s">
        <v>205</v>
      </c>
      <c r="D102" s="27">
        <v>29110.11326951658</v>
      </c>
      <c r="E102" s="28">
        <v>17766.814878808287</v>
      </c>
      <c r="F102" s="27">
        <f t="shared" si="3"/>
        <v>11343.298390708293</v>
      </c>
      <c r="G102" s="27">
        <f t="shared" si="2"/>
        <v>38.966864490310058</v>
      </c>
      <c r="H102" s="29">
        <v>7</v>
      </c>
      <c r="I102" s="29">
        <v>3</v>
      </c>
      <c r="J102" s="12" t="s">
        <v>17</v>
      </c>
      <c r="K102" s="30">
        <v>40.874026666600002</v>
      </c>
      <c r="L102" s="30">
        <v>72.094549999700007</v>
      </c>
      <c r="M102" s="20">
        <v>320</v>
      </c>
    </row>
    <row r="103" spans="1:13" ht="30" customHeight="1">
      <c r="A103" s="7" t="s">
        <v>13</v>
      </c>
      <c r="B103" s="30" t="s">
        <v>387</v>
      </c>
      <c r="C103" s="30" t="s">
        <v>206</v>
      </c>
      <c r="D103" s="27">
        <v>39975.981809516583</v>
      </c>
      <c r="E103" s="28">
        <v>27273.261545474954</v>
      </c>
      <c r="F103" s="27">
        <f t="shared" si="3"/>
        <v>12702.720264041629</v>
      </c>
      <c r="G103" s="27">
        <f t="shared" si="2"/>
        <v>31.77588063895319</v>
      </c>
      <c r="H103" s="29">
        <v>146</v>
      </c>
      <c r="I103" s="29">
        <v>6</v>
      </c>
      <c r="J103" s="12" t="s">
        <v>17</v>
      </c>
      <c r="K103" s="30">
        <v>40.876869999999997</v>
      </c>
      <c r="L103" s="30">
        <v>71.973841666699997</v>
      </c>
      <c r="M103" s="20">
        <v>160</v>
      </c>
    </row>
    <row r="104" spans="1:13" ht="30" customHeight="1">
      <c r="A104" s="7" t="s">
        <v>13</v>
      </c>
      <c r="B104" s="30" t="s">
        <v>391</v>
      </c>
      <c r="C104" s="30" t="s">
        <v>207</v>
      </c>
      <c r="D104" s="27">
        <v>33214.157639516576</v>
      </c>
      <c r="E104" s="28">
        <v>21357.404878808287</v>
      </c>
      <c r="F104" s="27">
        <f t="shared" si="3"/>
        <v>11856.752760708288</v>
      </c>
      <c r="G104" s="27">
        <f t="shared" si="2"/>
        <v>35.697887898869084</v>
      </c>
      <c r="H104" s="29">
        <v>60</v>
      </c>
      <c r="I104" s="29">
        <v>3</v>
      </c>
      <c r="J104" s="12" t="s">
        <v>17</v>
      </c>
      <c r="K104" s="30">
        <v>40.849305000000001</v>
      </c>
      <c r="L104" s="30">
        <v>72.038023333300004</v>
      </c>
      <c r="M104" s="20">
        <v>100</v>
      </c>
    </row>
    <row r="105" spans="1:13" ht="30" customHeight="1">
      <c r="A105" s="7" t="s">
        <v>13</v>
      </c>
      <c r="B105" s="30" t="s">
        <v>391</v>
      </c>
      <c r="C105" s="30" t="s">
        <v>208</v>
      </c>
      <c r="D105" s="27">
        <v>36491.317709516581</v>
      </c>
      <c r="E105" s="28">
        <v>24224.561545474953</v>
      </c>
      <c r="F105" s="27">
        <f t="shared" si="3"/>
        <v>12266.756164041628</v>
      </c>
      <c r="G105" s="27">
        <f t="shared" si="2"/>
        <v>33.615547297275526</v>
      </c>
      <c r="H105" s="29">
        <v>108</v>
      </c>
      <c r="I105" s="29">
        <v>36</v>
      </c>
      <c r="J105" s="12" t="s">
        <v>17</v>
      </c>
      <c r="K105" s="30">
        <v>40.848043333299998</v>
      </c>
      <c r="L105" s="30">
        <v>72.060901666700005</v>
      </c>
      <c r="M105" s="20">
        <v>160</v>
      </c>
    </row>
    <row r="106" spans="1:13" ht="30" customHeight="1">
      <c r="A106" s="7" t="s">
        <v>13</v>
      </c>
      <c r="B106" s="30" t="s">
        <v>387</v>
      </c>
      <c r="C106" s="30" t="s">
        <v>209</v>
      </c>
      <c r="D106" s="27">
        <v>38588.151209516582</v>
      </c>
      <c r="E106" s="28">
        <v>26059.061545474953</v>
      </c>
      <c r="F106" s="27">
        <f t="shared" si="3"/>
        <v>12529.089664041629</v>
      </c>
      <c r="G106" s="27">
        <f t="shared" si="2"/>
        <v>32.468748233140836</v>
      </c>
      <c r="H106" s="29">
        <v>89</v>
      </c>
      <c r="I106" s="29">
        <v>3</v>
      </c>
      <c r="J106" s="12" t="s">
        <v>17</v>
      </c>
      <c r="K106" s="30">
        <v>40.8855233333</v>
      </c>
      <c r="L106" s="30">
        <v>71.964566666699994</v>
      </c>
      <c r="M106" s="20">
        <v>400</v>
      </c>
    </row>
    <row r="107" spans="1:13" ht="30" customHeight="1">
      <c r="A107" s="7" t="s">
        <v>13</v>
      </c>
      <c r="B107" s="30" t="s">
        <v>390</v>
      </c>
      <c r="C107" s="30" t="s">
        <v>210</v>
      </c>
      <c r="D107" s="27">
        <v>32177.959559516581</v>
      </c>
      <c r="E107" s="28">
        <v>20450.844878808286</v>
      </c>
      <c r="F107" s="27">
        <f t="shared" si="3"/>
        <v>11727.114680708295</v>
      </c>
      <c r="G107" s="27">
        <f t="shared" si="2"/>
        <v>36.444556588548572</v>
      </c>
      <c r="H107" s="29">
        <v>112</v>
      </c>
      <c r="I107" s="29">
        <v>7</v>
      </c>
      <c r="J107" s="12" t="s">
        <v>19</v>
      </c>
      <c r="K107" s="30">
        <v>40.867975000000001</v>
      </c>
      <c r="L107" s="30">
        <v>72.100838333300004</v>
      </c>
      <c r="M107" s="20">
        <v>160</v>
      </c>
    </row>
    <row r="108" spans="1:13" ht="30" customHeight="1">
      <c r="A108" s="7" t="s">
        <v>13</v>
      </c>
      <c r="B108" s="30" t="s">
        <v>390</v>
      </c>
      <c r="C108" s="30" t="s">
        <v>211</v>
      </c>
      <c r="D108" s="27">
        <v>34046.894099516576</v>
      </c>
      <c r="E108" s="28">
        <v>22085.958212141621</v>
      </c>
      <c r="F108" s="27">
        <f t="shared" si="3"/>
        <v>11960.935887374955</v>
      </c>
      <c r="G108" s="27">
        <f t="shared" si="2"/>
        <v>35.130769498134001</v>
      </c>
      <c r="H108" s="29">
        <v>74</v>
      </c>
      <c r="I108" s="29">
        <v>5</v>
      </c>
      <c r="J108" s="12" t="s">
        <v>21</v>
      </c>
      <c r="K108" s="30">
        <v>40.872354999999999</v>
      </c>
      <c r="L108" s="30">
        <v>72.101595000000003</v>
      </c>
      <c r="M108" s="20">
        <v>100</v>
      </c>
    </row>
    <row r="109" spans="1:13" ht="30" customHeight="1">
      <c r="A109" s="7" t="s">
        <v>13</v>
      </c>
      <c r="B109" s="30" t="s">
        <v>390</v>
      </c>
      <c r="C109" s="30" t="s">
        <v>212</v>
      </c>
      <c r="D109" s="27">
        <v>31622.046269516577</v>
      </c>
      <c r="E109" s="28">
        <v>19964.481545474955</v>
      </c>
      <c r="F109" s="27">
        <f t="shared" si="3"/>
        <v>11657.564724041622</v>
      </c>
      <c r="G109" s="27">
        <f t="shared" si="2"/>
        <v>36.865307907918123</v>
      </c>
      <c r="H109" s="29">
        <v>113</v>
      </c>
      <c r="I109" s="29">
        <v>4</v>
      </c>
      <c r="J109" s="12" t="s">
        <v>21</v>
      </c>
      <c r="K109" s="30">
        <v>40.874026666600002</v>
      </c>
      <c r="L109" s="30">
        <v>72.094549999700007</v>
      </c>
      <c r="M109" s="20">
        <v>100</v>
      </c>
    </row>
    <row r="110" spans="1:13" ht="30" customHeight="1">
      <c r="A110" s="7" t="s">
        <v>13</v>
      </c>
      <c r="B110" s="30" t="s">
        <v>387</v>
      </c>
      <c r="C110" s="30" t="s">
        <v>213</v>
      </c>
      <c r="D110" s="27">
        <v>31976.517239516579</v>
      </c>
      <c r="E110" s="28">
        <v>20274.604878808288</v>
      </c>
      <c r="F110" s="27">
        <f t="shared" si="3"/>
        <v>11701.912360708291</v>
      </c>
      <c r="G110" s="27">
        <f t="shared" si="2"/>
        <v>36.595331108314291</v>
      </c>
      <c r="H110" s="29">
        <v>24</v>
      </c>
      <c r="I110" s="29">
        <v>3</v>
      </c>
      <c r="J110" s="12" t="s">
        <v>21</v>
      </c>
      <c r="K110" s="30">
        <v>40.887851666700001</v>
      </c>
      <c r="L110" s="30">
        <v>71.969193333299998</v>
      </c>
      <c r="M110" s="20">
        <v>160</v>
      </c>
    </row>
    <row r="111" spans="1:13" ht="30" customHeight="1">
      <c r="A111" s="5" t="s">
        <v>30</v>
      </c>
      <c r="B111" s="30" t="s">
        <v>389</v>
      </c>
      <c r="C111" s="30" t="s">
        <v>214</v>
      </c>
      <c r="D111" s="27">
        <v>35658.15833951658</v>
      </c>
      <c r="E111" s="28">
        <v>23495.638212141621</v>
      </c>
      <c r="F111" s="27">
        <f t="shared" si="3"/>
        <v>12162.520127374959</v>
      </c>
      <c r="G111" s="27">
        <f t="shared" si="2"/>
        <v>34.108660384449472</v>
      </c>
      <c r="H111" s="29">
        <v>98</v>
      </c>
      <c r="I111" s="29">
        <v>5</v>
      </c>
      <c r="J111" s="12" t="s">
        <v>41</v>
      </c>
      <c r="K111" s="30">
        <v>40.877478333299997</v>
      </c>
      <c r="L111" s="30">
        <v>72.076426666700002</v>
      </c>
      <c r="M111" s="20">
        <v>250</v>
      </c>
    </row>
    <row r="112" spans="1:13" ht="30" customHeight="1">
      <c r="A112" s="5" t="s">
        <v>30</v>
      </c>
      <c r="B112" s="30" t="s">
        <v>390</v>
      </c>
      <c r="C112" s="30" t="s">
        <v>215</v>
      </c>
      <c r="D112" s="27">
        <v>33719.961809516579</v>
      </c>
      <c r="E112" s="28">
        <v>21799.928212141618</v>
      </c>
      <c r="F112" s="27">
        <f t="shared" si="3"/>
        <v>11920.033597374961</v>
      </c>
      <c r="G112" s="27">
        <f t="shared" si="2"/>
        <v>35.350080361036596</v>
      </c>
      <c r="H112" s="29">
        <v>86</v>
      </c>
      <c r="I112" s="29">
        <v>5</v>
      </c>
      <c r="J112" s="12" t="s">
        <v>37</v>
      </c>
      <c r="K112" s="30">
        <v>40.870533333300003</v>
      </c>
      <c r="L112" s="30">
        <v>72.120976666700003</v>
      </c>
      <c r="M112" s="20">
        <v>100</v>
      </c>
    </row>
    <row r="113" spans="1:13" ht="30" customHeight="1">
      <c r="A113" s="5" t="s">
        <v>30</v>
      </c>
      <c r="B113" s="30" t="s">
        <v>390</v>
      </c>
      <c r="C113" s="30" t="s">
        <v>216</v>
      </c>
      <c r="D113" s="27">
        <v>32244.48596951658</v>
      </c>
      <c r="E113" s="28">
        <v>20509.048212141621</v>
      </c>
      <c r="F113" s="27">
        <f t="shared" si="3"/>
        <v>11735.437757374959</v>
      </c>
      <c r="G113" s="27">
        <f t="shared" si="2"/>
        <v>36.395177049711549</v>
      </c>
      <c r="H113" s="29">
        <v>43</v>
      </c>
      <c r="I113" s="29">
        <v>5</v>
      </c>
      <c r="J113" s="12" t="s">
        <v>33</v>
      </c>
      <c r="K113" s="30">
        <v>40.859666666700001</v>
      </c>
      <c r="L113" s="30">
        <v>72.121076666700006</v>
      </c>
      <c r="M113" s="20">
        <v>63</v>
      </c>
    </row>
    <row r="114" spans="1:13" ht="30" customHeight="1">
      <c r="A114" s="5" t="s">
        <v>30</v>
      </c>
      <c r="B114" s="30" t="s">
        <v>390</v>
      </c>
      <c r="C114" s="30" t="s">
        <v>217</v>
      </c>
      <c r="D114" s="27">
        <v>29610.857759516581</v>
      </c>
      <c r="E114" s="28">
        <v>18204.911545474955</v>
      </c>
      <c r="F114" s="27">
        <f t="shared" si="3"/>
        <v>11405.946214041625</v>
      </c>
      <c r="G114" s="27">
        <f t="shared" si="2"/>
        <v>38.519472507938033</v>
      </c>
      <c r="H114" s="29">
        <v>33</v>
      </c>
      <c r="I114" s="29">
        <v>3</v>
      </c>
      <c r="J114" s="12" t="s">
        <v>17</v>
      </c>
      <c r="K114" s="30">
        <v>40.8576716667</v>
      </c>
      <c r="L114" s="30">
        <v>72.123549999999994</v>
      </c>
      <c r="M114" s="14">
        <v>40</v>
      </c>
    </row>
    <row r="115" spans="1:13" ht="30" customHeight="1">
      <c r="A115" s="5" t="s">
        <v>30</v>
      </c>
      <c r="B115" s="30" t="s">
        <v>388</v>
      </c>
      <c r="C115" s="30" t="s">
        <v>218</v>
      </c>
      <c r="D115" s="27">
        <v>43161.103709516581</v>
      </c>
      <c r="E115" s="28">
        <v>30059.894878808285</v>
      </c>
      <c r="F115" s="27">
        <f t="shared" si="3"/>
        <v>13101.208830708296</v>
      </c>
      <c r="G115" s="27">
        <f t="shared" si="2"/>
        <v>30.354202521979559</v>
      </c>
      <c r="H115" s="29">
        <v>100</v>
      </c>
      <c r="I115" s="29">
        <v>4</v>
      </c>
      <c r="J115" s="12" t="s">
        <v>34</v>
      </c>
      <c r="K115" s="30">
        <v>40.877068333300002</v>
      </c>
      <c r="L115" s="30">
        <v>71.983761666700005</v>
      </c>
      <c r="M115" s="14">
        <v>100</v>
      </c>
    </row>
    <row r="116" spans="1:13" ht="30" customHeight="1">
      <c r="A116" s="5" t="s">
        <v>30</v>
      </c>
      <c r="B116" s="30" t="s">
        <v>384</v>
      </c>
      <c r="C116" s="30" t="s">
        <v>94</v>
      </c>
      <c r="D116" s="27">
        <v>32443.634669516578</v>
      </c>
      <c r="E116" s="28">
        <v>20683.281545474954</v>
      </c>
      <c r="F116" s="27">
        <f t="shared" si="3"/>
        <v>11760.353124041623</v>
      </c>
      <c r="G116" s="27">
        <f t="shared" si="2"/>
        <v>36.248568459844691</v>
      </c>
      <c r="H116" s="29">
        <v>77</v>
      </c>
      <c r="I116" s="29">
        <v>5</v>
      </c>
      <c r="J116" s="12" t="s">
        <v>34</v>
      </c>
      <c r="K116" s="30">
        <v>40.865369999999999</v>
      </c>
      <c r="L116" s="30">
        <v>71.96087</v>
      </c>
      <c r="M116" s="19">
        <v>160</v>
      </c>
    </row>
    <row r="117" spans="1:13" ht="30" customHeight="1">
      <c r="A117" s="5" t="s">
        <v>30</v>
      </c>
      <c r="B117" s="30" t="s">
        <v>390</v>
      </c>
      <c r="C117" s="30" t="s">
        <v>219</v>
      </c>
      <c r="D117" s="27">
        <v>29899.350959516581</v>
      </c>
      <c r="E117" s="28">
        <v>18457.311545474953</v>
      </c>
      <c r="F117" s="27">
        <f t="shared" si="3"/>
        <v>11442.039414041628</v>
      </c>
      <c r="G117" s="27">
        <f t="shared" si="2"/>
        <v>38.268521044266258</v>
      </c>
      <c r="H117" s="29">
        <v>38</v>
      </c>
      <c r="I117" s="29">
        <v>4</v>
      </c>
      <c r="J117" s="12" t="s">
        <v>42</v>
      </c>
      <c r="K117" s="30">
        <v>40.858196666700003</v>
      </c>
      <c r="L117" s="30">
        <v>72.1313583333</v>
      </c>
      <c r="M117" s="14">
        <v>100</v>
      </c>
    </row>
    <row r="118" spans="1:13" ht="30" customHeight="1">
      <c r="A118" s="5" t="s">
        <v>30</v>
      </c>
      <c r="B118" s="30" t="s">
        <v>388</v>
      </c>
      <c r="C118" s="30" t="s">
        <v>220</v>
      </c>
      <c r="D118" s="27">
        <v>43652.971661516582</v>
      </c>
      <c r="E118" s="28">
        <v>30490.225545474954</v>
      </c>
      <c r="F118" s="27">
        <f t="shared" si="3"/>
        <v>13162.746116041628</v>
      </c>
      <c r="G118" s="27">
        <f t="shared" si="2"/>
        <v>30.153150209578033</v>
      </c>
      <c r="H118" s="29">
        <v>157</v>
      </c>
      <c r="I118" s="29">
        <v>4</v>
      </c>
      <c r="J118" s="12" t="s">
        <v>42</v>
      </c>
      <c r="K118" s="30">
        <v>40.881914999999999</v>
      </c>
      <c r="L118" s="30">
        <v>71.997399999999999</v>
      </c>
      <c r="M118" s="22">
        <v>160</v>
      </c>
    </row>
    <row r="119" spans="1:13" ht="30" customHeight="1">
      <c r="A119" s="5" t="s">
        <v>30</v>
      </c>
      <c r="B119" s="30" t="s">
        <v>388</v>
      </c>
      <c r="C119" s="30" t="s">
        <v>221</v>
      </c>
      <c r="D119" s="27">
        <v>39629.648999516576</v>
      </c>
      <c r="E119" s="28">
        <v>26970.25821214162</v>
      </c>
      <c r="F119" s="27">
        <f t="shared" si="3"/>
        <v>12659.390787374956</v>
      </c>
      <c r="G119" s="27">
        <f t="shared" si="2"/>
        <v>31.944241513543005</v>
      </c>
      <c r="H119" s="29">
        <v>127</v>
      </c>
      <c r="I119" s="29">
        <v>6</v>
      </c>
      <c r="J119" s="12" t="s">
        <v>22</v>
      </c>
      <c r="K119" s="30">
        <v>40.8827666667</v>
      </c>
      <c r="L119" s="30">
        <v>72.008274999999998</v>
      </c>
      <c r="M119" s="14">
        <v>250</v>
      </c>
    </row>
    <row r="120" spans="1:13" ht="30" customHeight="1">
      <c r="A120" s="5" t="s">
        <v>30</v>
      </c>
      <c r="B120" s="30" t="s">
        <v>390</v>
      </c>
      <c r="C120" s="30" t="s">
        <v>222</v>
      </c>
      <c r="D120" s="27">
        <v>31487.20655951658</v>
      </c>
      <c r="E120" s="28">
        <v>19846.511545474954</v>
      </c>
      <c r="F120" s="27">
        <f t="shared" si="3"/>
        <v>11640.695014041627</v>
      </c>
      <c r="G120" s="27">
        <f t="shared" si="2"/>
        <v>36.969602216184484</v>
      </c>
      <c r="H120" s="29">
        <v>75</v>
      </c>
      <c r="I120" s="29">
        <v>5</v>
      </c>
      <c r="J120" s="12" t="s">
        <v>22</v>
      </c>
      <c r="K120" s="30">
        <v>40.851415000000003</v>
      </c>
      <c r="L120" s="30">
        <v>72.131756666699999</v>
      </c>
      <c r="M120" s="14">
        <v>63</v>
      </c>
    </row>
    <row r="121" spans="1:13" ht="30" customHeight="1">
      <c r="A121" s="5" t="s">
        <v>30</v>
      </c>
      <c r="B121" s="30" t="s">
        <v>392</v>
      </c>
      <c r="C121" s="30" t="s">
        <v>223</v>
      </c>
      <c r="D121" s="27">
        <v>31600.740749516579</v>
      </c>
      <c r="E121" s="28">
        <v>19945.841545474956</v>
      </c>
      <c r="F121" s="27">
        <f t="shared" si="3"/>
        <v>11654.899204041623</v>
      </c>
      <c r="G121" s="27">
        <f t="shared" si="2"/>
        <v>36.881727857027897</v>
      </c>
      <c r="H121" s="29">
        <v>99</v>
      </c>
      <c r="I121" s="29">
        <v>5</v>
      </c>
      <c r="J121" s="12" t="s">
        <v>22</v>
      </c>
      <c r="K121" s="30">
        <v>40.833135628299999</v>
      </c>
      <c r="L121" s="30">
        <v>72.203557438199994</v>
      </c>
      <c r="M121" s="14">
        <v>100</v>
      </c>
    </row>
    <row r="122" spans="1:13" ht="30" customHeight="1">
      <c r="A122" s="5" t="s">
        <v>30</v>
      </c>
      <c r="B122" s="30" t="s">
        <v>392</v>
      </c>
      <c r="C122" s="30" t="s">
        <v>224</v>
      </c>
      <c r="D122" s="27">
        <v>30865.406939516579</v>
      </c>
      <c r="E122" s="28">
        <v>19302.504878808286</v>
      </c>
      <c r="F122" s="27">
        <f t="shared" si="3"/>
        <v>11562.902060708293</v>
      </c>
      <c r="G122" s="27">
        <f t="shared" si="2"/>
        <v>37.462334721090166</v>
      </c>
      <c r="H122" s="29">
        <v>77</v>
      </c>
      <c r="I122" s="29">
        <v>3</v>
      </c>
      <c r="J122" s="12" t="s">
        <v>43</v>
      </c>
      <c r="K122" s="30">
        <v>40.830279691100003</v>
      </c>
      <c r="L122" s="30">
        <v>72.204835088899998</v>
      </c>
      <c r="M122" s="14">
        <v>250</v>
      </c>
    </row>
    <row r="123" spans="1:13" ht="30" customHeight="1">
      <c r="A123" s="5" t="s">
        <v>30</v>
      </c>
      <c r="B123" s="30" t="s">
        <v>392</v>
      </c>
      <c r="C123" s="30" t="s">
        <v>225</v>
      </c>
      <c r="D123" s="27">
        <v>34008.935069516578</v>
      </c>
      <c r="E123" s="28">
        <v>22052.748212141618</v>
      </c>
      <c r="F123" s="27">
        <f t="shared" si="3"/>
        <v>11956.18685737496</v>
      </c>
      <c r="G123" s="27">
        <f t="shared" si="2"/>
        <v>35.156016596625861</v>
      </c>
      <c r="H123" s="29">
        <v>68</v>
      </c>
      <c r="I123" s="29">
        <v>4</v>
      </c>
      <c r="J123" s="12" t="s">
        <v>31</v>
      </c>
      <c r="K123" s="30">
        <v>40.838736666700001</v>
      </c>
      <c r="L123" s="30">
        <v>72.234039999999993</v>
      </c>
      <c r="M123" s="20">
        <v>180</v>
      </c>
    </row>
    <row r="124" spans="1:13" ht="30" customHeight="1">
      <c r="A124" s="5" t="s">
        <v>30</v>
      </c>
      <c r="B124" s="30" t="s">
        <v>388</v>
      </c>
      <c r="C124" s="30" t="s">
        <v>226</v>
      </c>
      <c r="D124" s="27">
        <v>35868.660839516582</v>
      </c>
      <c r="E124" s="28">
        <v>23679.804878808289</v>
      </c>
      <c r="F124" s="27">
        <f t="shared" si="3"/>
        <v>12188.855960708293</v>
      </c>
      <c r="G124" s="27">
        <f t="shared" si="2"/>
        <v>33.981909765863918</v>
      </c>
      <c r="H124" s="29">
        <v>80</v>
      </c>
      <c r="I124" s="29">
        <v>5</v>
      </c>
      <c r="J124" s="12" t="s">
        <v>31</v>
      </c>
      <c r="K124" s="30">
        <v>40.8765683333</v>
      </c>
      <c r="L124" s="30">
        <v>71.988531666699998</v>
      </c>
      <c r="M124" s="20">
        <v>400</v>
      </c>
    </row>
    <row r="125" spans="1:13" ht="30" customHeight="1">
      <c r="A125" s="5" t="s">
        <v>30</v>
      </c>
      <c r="B125" s="30" t="s">
        <v>390</v>
      </c>
      <c r="C125" s="30" t="s">
        <v>227</v>
      </c>
      <c r="D125" s="27">
        <v>30535.537139516578</v>
      </c>
      <c r="E125" s="28">
        <v>19013.904878808287</v>
      </c>
      <c r="F125" s="27">
        <f t="shared" si="3"/>
        <v>11521.632260708291</v>
      </c>
      <c r="G125" s="27">
        <f t="shared" si="2"/>
        <v>37.731880097821971</v>
      </c>
      <c r="H125" s="29">
        <v>87</v>
      </c>
      <c r="I125" s="29">
        <v>3</v>
      </c>
      <c r="J125" s="12" t="s">
        <v>44</v>
      </c>
      <c r="K125" s="30">
        <v>40.813206666600003</v>
      </c>
      <c r="L125" s="30">
        <v>72.109205000000003</v>
      </c>
      <c r="M125" s="14">
        <v>160</v>
      </c>
    </row>
    <row r="126" spans="1:13" ht="30" customHeight="1">
      <c r="A126" s="5" t="s">
        <v>30</v>
      </c>
      <c r="B126" s="30" t="s">
        <v>390</v>
      </c>
      <c r="C126" s="30" t="s">
        <v>228</v>
      </c>
      <c r="D126" s="27">
        <v>77001.679919516566</v>
      </c>
      <c r="E126" s="28">
        <v>59666.698212141615</v>
      </c>
      <c r="F126" s="27">
        <f t="shared" si="3"/>
        <v>17334.981707374951</v>
      </c>
      <c r="G126" s="27">
        <f t="shared" si="2"/>
        <v>22.512472098652605</v>
      </c>
      <c r="H126" s="29">
        <v>54</v>
      </c>
      <c r="I126" s="29">
        <v>5</v>
      </c>
      <c r="J126" s="12" t="s">
        <v>44</v>
      </c>
      <c r="K126" s="30">
        <v>40.849451666699998</v>
      </c>
      <c r="L126" s="30">
        <v>72.135064999999997</v>
      </c>
      <c r="M126" s="22">
        <v>160</v>
      </c>
    </row>
    <row r="127" spans="1:13" ht="30" customHeight="1">
      <c r="A127" s="5" t="s">
        <v>30</v>
      </c>
      <c r="B127" s="30" t="s">
        <v>390</v>
      </c>
      <c r="C127" s="30" t="s">
        <v>229</v>
      </c>
      <c r="D127" s="27">
        <v>29674.10375951658</v>
      </c>
      <c r="E127" s="28">
        <v>18260.244878808287</v>
      </c>
      <c r="F127" s="27">
        <f t="shared" si="3"/>
        <v>11413.858880708292</v>
      </c>
      <c r="G127" s="27">
        <f t="shared" si="2"/>
        <v>38.464039127206433</v>
      </c>
      <c r="H127" s="29">
        <v>32</v>
      </c>
      <c r="I127" s="29">
        <v>5</v>
      </c>
      <c r="J127" s="12" t="s">
        <v>44</v>
      </c>
      <c r="K127" s="30">
        <v>40.845351666699997</v>
      </c>
      <c r="L127" s="30">
        <v>72.155680000000004</v>
      </c>
      <c r="M127" s="14">
        <v>160</v>
      </c>
    </row>
    <row r="128" spans="1:13" ht="30" customHeight="1">
      <c r="A128" s="5" t="s">
        <v>30</v>
      </c>
      <c r="B128" s="30" t="s">
        <v>390</v>
      </c>
      <c r="C128" s="30" t="s">
        <v>230</v>
      </c>
      <c r="D128" s="27">
        <v>29759.112479516578</v>
      </c>
      <c r="E128" s="28">
        <v>18334.61821214162</v>
      </c>
      <c r="F128" s="27">
        <f t="shared" si="3"/>
        <v>11424.494267374957</v>
      </c>
      <c r="G128" s="27">
        <f t="shared" si="2"/>
        <v>38.389902505454501</v>
      </c>
      <c r="H128" s="29">
        <v>31</v>
      </c>
      <c r="I128" s="29">
        <v>4</v>
      </c>
      <c r="J128" s="12" t="s">
        <v>41</v>
      </c>
      <c r="K128" s="30">
        <v>40.847826666700001</v>
      </c>
      <c r="L128" s="30">
        <v>72.157156666700004</v>
      </c>
      <c r="M128" s="22">
        <v>160</v>
      </c>
    </row>
    <row r="129" spans="1:13" ht="30" customHeight="1">
      <c r="A129" s="5" t="s">
        <v>30</v>
      </c>
      <c r="B129" s="30" t="s">
        <v>390</v>
      </c>
      <c r="C129" s="30" t="s">
        <v>231</v>
      </c>
      <c r="D129" s="27">
        <v>32301.194009516577</v>
      </c>
      <c r="E129" s="28">
        <v>20558.661545474952</v>
      </c>
      <c r="F129" s="27">
        <f t="shared" si="3"/>
        <v>11742.532464041626</v>
      </c>
      <c r="G129" s="27">
        <f t="shared" si="2"/>
        <v>36.353245829185269</v>
      </c>
      <c r="H129" s="29">
        <v>149</v>
      </c>
      <c r="I129" s="29">
        <v>4</v>
      </c>
      <c r="J129" s="12" t="s">
        <v>41</v>
      </c>
      <c r="K129" s="30">
        <v>40.850563333300002</v>
      </c>
      <c r="L129" s="30">
        <v>72.157133333299996</v>
      </c>
      <c r="M129" s="14">
        <v>160</v>
      </c>
    </row>
    <row r="130" spans="1:13" ht="30" customHeight="1">
      <c r="A130" s="5" t="s">
        <v>30</v>
      </c>
      <c r="B130" s="30" t="s">
        <v>384</v>
      </c>
      <c r="C130" s="30" t="s">
        <v>96</v>
      </c>
      <c r="D130" s="27">
        <v>37151.583089516578</v>
      </c>
      <c r="E130" s="28">
        <v>24802.221545474957</v>
      </c>
      <c r="F130" s="27">
        <f t="shared" si="3"/>
        <v>12349.361544041622</v>
      </c>
      <c r="G130" s="27">
        <f t="shared" si="2"/>
        <v>33.240471918211099</v>
      </c>
      <c r="H130" s="29">
        <v>87</v>
      </c>
      <c r="I130" s="29">
        <v>4</v>
      </c>
      <c r="J130" s="12" t="s">
        <v>41</v>
      </c>
      <c r="K130" s="30">
        <v>40.876168333300001</v>
      </c>
      <c r="L130" s="30">
        <v>71.945710000000005</v>
      </c>
      <c r="M130" s="14">
        <v>250</v>
      </c>
    </row>
    <row r="131" spans="1:13" ht="30" customHeight="1">
      <c r="A131" s="5" t="s">
        <v>30</v>
      </c>
      <c r="B131" s="30" t="s">
        <v>392</v>
      </c>
      <c r="C131" s="30" t="s">
        <v>232</v>
      </c>
      <c r="D131" s="27">
        <v>61057.557629516581</v>
      </c>
      <c r="E131" s="28">
        <v>45717.334878808288</v>
      </c>
      <c r="F131" s="27">
        <f t="shared" si="3"/>
        <v>15340.222750708293</v>
      </c>
      <c r="G131" s="27">
        <f t="shared" ref="G131:G194" si="4">+F131*100/D131</f>
        <v>25.124199765390696</v>
      </c>
      <c r="H131" s="29">
        <v>42</v>
      </c>
      <c r="I131" s="29">
        <v>3</v>
      </c>
      <c r="J131" s="12" t="s">
        <v>41</v>
      </c>
      <c r="K131" s="30">
        <v>40.833511839099998</v>
      </c>
      <c r="L131" s="30">
        <v>72.151867640199995</v>
      </c>
      <c r="M131" s="14">
        <v>160</v>
      </c>
    </row>
    <row r="132" spans="1:13" ht="30" customHeight="1">
      <c r="A132" s="5" t="s">
        <v>30</v>
      </c>
      <c r="B132" s="30" t="s">
        <v>392</v>
      </c>
      <c r="C132" s="30" t="s">
        <v>233</v>
      </c>
      <c r="D132" s="27">
        <v>30098.678729516578</v>
      </c>
      <c r="E132" s="28">
        <v>18631.701545474953</v>
      </c>
      <c r="F132" s="27">
        <f t="shared" si="3"/>
        <v>11466.977184041625</v>
      </c>
      <c r="G132" s="27">
        <f t="shared" si="4"/>
        <v>38.097942062806951</v>
      </c>
      <c r="H132" s="29">
        <v>42</v>
      </c>
      <c r="I132" s="29">
        <v>3</v>
      </c>
      <c r="J132" s="12" t="s">
        <v>41</v>
      </c>
      <c r="K132" s="30">
        <v>40.829519256700003</v>
      </c>
      <c r="L132" s="30">
        <v>72.156100756300006</v>
      </c>
      <c r="M132" s="14">
        <v>160</v>
      </c>
    </row>
    <row r="133" spans="1:13" ht="30" customHeight="1">
      <c r="A133" s="5" t="s">
        <v>30</v>
      </c>
      <c r="B133" s="30" t="s">
        <v>388</v>
      </c>
      <c r="C133" s="30" t="s">
        <v>234</v>
      </c>
      <c r="D133" s="27">
        <v>34818.979169516577</v>
      </c>
      <c r="E133" s="28">
        <v>22761.448212141622</v>
      </c>
      <c r="F133" s="27">
        <f t="shared" ref="F133:F196" si="5">+D133-E133</f>
        <v>12057.530957374955</v>
      </c>
      <c r="G133" s="27">
        <f t="shared" si="4"/>
        <v>34.629191449504404</v>
      </c>
      <c r="H133" s="29">
        <v>105</v>
      </c>
      <c r="I133" s="29">
        <v>3</v>
      </c>
      <c r="J133" s="12" t="s">
        <v>43</v>
      </c>
      <c r="K133" s="30">
        <v>40.876078333300001</v>
      </c>
      <c r="L133" s="30">
        <v>71.987033333300005</v>
      </c>
      <c r="M133" s="14">
        <v>40</v>
      </c>
    </row>
    <row r="134" spans="1:13" ht="30" customHeight="1">
      <c r="A134" s="5" t="s">
        <v>30</v>
      </c>
      <c r="B134" s="30" t="s">
        <v>391</v>
      </c>
      <c r="C134" s="30" t="s">
        <v>235</v>
      </c>
      <c r="D134" s="27">
        <v>37807.950839516583</v>
      </c>
      <c r="E134" s="28">
        <v>25376.471545474957</v>
      </c>
      <c r="F134" s="27">
        <f t="shared" si="5"/>
        <v>12431.479294041626</v>
      </c>
      <c r="G134" s="27">
        <f t="shared" si="4"/>
        <v>32.880595266348948</v>
      </c>
      <c r="H134" s="29">
        <v>136</v>
      </c>
      <c r="I134" s="29">
        <v>5</v>
      </c>
      <c r="J134" s="12" t="s">
        <v>43</v>
      </c>
      <c r="K134" s="30">
        <v>40.846466666700003</v>
      </c>
      <c r="L134" s="30">
        <v>72.057214999999999</v>
      </c>
      <c r="M134" s="14">
        <v>160</v>
      </c>
    </row>
    <row r="135" spans="1:13" ht="30" customHeight="1">
      <c r="A135" s="5" t="s">
        <v>30</v>
      </c>
      <c r="B135" s="30" t="s">
        <v>389</v>
      </c>
      <c r="C135" s="30" t="s">
        <v>236</v>
      </c>
      <c r="D135" s="27">
        <v>34531.18700951658</v>
      </c>
      <c r="E135" s="28">
        <v>22509.661545474955</v>
      </c>
      <c r="F135" s="27">
        <f t="shared" si="5"/>
        <v>12021.525464041624</v>
      </c>
      <c r="G135" s="27">
        <f t="shared" si="4"/>
        <v>34.813530912587993</v>
      </c>
      <c r="H135" s="29">
        <v>56</v>
      </c>
      <c r="I135" s="29">
        <v>5</v>
      </c>
      <c r="J135" s="12"/>
      <c r="K135" s="30">
        <v>40.877453333299997</v>
      </c>
      <c r="L135" s="30">
        <v>72.071951666700002</v>
      </c>
      <c r="M135" s="14">
        <v>160</v>
      </c>
    </row>
    <row r="136" spans="1:13" ht="30" customHeight="1">
      <c r="A136" s="5" t="s">
        <v>30</v>
      </c>
      <c r="B136" s="30" t="s">
        <v>391</v>
      </c>
      <c r="C136" s="30" t="s">
        <v>237</v>
      </c>
      <c r="D136" s="27">
        <v>35503.822859516578</v>
      </c>
      <c r="E136" s="28">
        <v>23360.611545474952</v>
      </c>
      <c r="F136" s="27">
        <f t="shared" si="5"/>
        <v>12143.211314041626</v>
      </c>
      <c r="G136" s="27">
        <f t="shared" si="4"/>
        <v>34.202545912000893</v>
      </c>
      <c r="H136" s="29">
        <v>83</v>
      </c>
      <c r="I136" s="29">
        <v>6</v>
      </c>
      <c r="J136" s="12" t="s">
        <v>27</v>
      </c>
      <c r="K136" s="30">
        <v>40.849350000000001</v>
      </c>
      <c r="L136" s="30">
        <v>72.064971666700004</v>
      </c>
      <c r="M136" s="14">
        <v>100</v>
      </c>
    </row>
    <row r="137" spans="1:13" ht="30" customHeight="1">
      <c r="A137" s="5" t="s">
        <v>30</v>
      </c>
      <c r="B137" s="30" t="s">
        <v>391</v>
      </c>
      <c r="C137" s="30" t="s">
        <v>238</v>
      </c>
      <c r="D137" s="27">
        <v>31528.129769516578</v>
      </c>
      <c r="E137" s="28">
        <v>19882.314878808287</v>
      </c>
      <c r="F137" s="27">
        <f t="shared" si="5"/>
        <v>11645.81489070829</v>
      </c>
      <c r="G137" s="27">
        <f t="shared" si="4"/>
        <v>36.937855102233854</v>
      </c>
      <c r="H137" s="29">
        <v>32</v>
      </c>
      <c r="I137" s="29">
        <v>3</v>
      </c>
      <c r="J137" s="12" t="s">
        <v>27</v>
      </c>
      <c r="K137" s="30">
        <v>40.843751666700001</v>
      </c>
      <c r="L137" s="30">
        <v>72.084658333299998</v>
      </c>
      <c r="M137" s="14">
        <v>160</v>
      </c>
    </row>
    <row r="138" spans="1:13" ht="30" customHeight="1">
      <c r="A138" s="5" t="s">
        <v>30</v>
      </c>
      <c r="B138" s="30" t="s">
        <v>391</v>
      </c>
      <c r="C138" s="30" t="s">
        <v>239</v>
      </c>
      <c r="D138" s="27">
        <v>31448.938919516579</v>
      </c>
      <c r="E138" s="28">
        <v>19813.031545474954</v>
      </c>
      <c r="F138" s="27">
        <f t="shared" si="5"/>
        <v>11635.907374041624</v>
      </c>
      <c r="G138" s="27">
        <f t="shared" si="4"/>
        <v>36.999363965251675</v>
      </c>
      <c r="H138" s="29">
        <v>140</v>
      </c>
      <c r="I138" s="29">
        <v>7</v>
      </c>
      <c r="J138" s="12" t="s">
        <v>41</v>
      </c>
      <c r="K138" s="30">
        <v>40.822108333300001</v>
      </c>
      <c r="L138" s="30">
        <v>72.138861666699995</v>
      </c>
      <c r="M138" s="14">
        <v>400</v>
      </c>
    </row>
    <row r="139" spans="1:13" ht="30" customHeight="1">
      <c r="A139" s="5" t="s">
        <v>30</v>
      </c>
      <c r="B139" s="30" t="s">
        <v>391</v>
      </c>
      <c r="C139" s="30" t="s">
        <v>240</v>
      </c>
      <c r="D139" s="27">
        <v>34128.218549516576</v>
      </c>
      <c r="E139" s="28">
        <v>22157.108212141618</v>
      </c>
      <c r="F139" s="27">
        <f t="shared" si="5"/>
        <v>11971.110337374957</v>
      </c>
      <c r="G139" s="27">
        <f t="shared" si="4"/>
        <v>35.076868486428886</v>
      </c>
      <c r="H139" s="29">
        <v>46</v>
      </c>
      <c r="I139" s="29">
        <v>3</v>
      </c>
      <c r="J139" s="12" t="s">
        <v>42</v>
      </c>
      <c r="K139" s="30">
        <v>40.845888333300003</v>
      </c>
      <c r="L139" s="30">
        <v>72.078975</v>
      </c>
      <c r="M139" s="14">
        <v>40</v>
      </c>
    </row>
    <row r="140" spans="1:13" ht="30" customHeight="1">
      <c r="A140" s="5" t="s">
        <v>30</v>
      </c>
      <c r="B140" s="30" t="s">
        <v>391</v>
      </c>
      <c r="C140" s="30" t="s">
        <v>241</v>
      </c>
      <c r="D140" s="27">
        <v>35893.87160951658</v>
      </c>
      <c r="E140" s="28">
        <v>23701.861545474952</v>
      </c>
      <c r="F140" s="27">
        <f t="shared" si="5"/>
        <v>12192.010064041628</v>
      </c>
      <c r="G140" s="27">
        <f t="shared" si="4"/>
        <v>33.966829203259167</v>
      </c>
      <c r="H140" s="29">
        <v>130</v>
      </c>
      <c r="I140" s="29">
        <v>6</v>
      </c>
      <c r="J140" s="12" t="s">
        <v>27</v>
      </c>
      <c r="K140" s="30">
        <v>40.831020376700003</v>
      </c>
      <c r="L140" s="30">
        <v>72.119740415600006</v>
      </c>
      <c r="M140" s="14">
        <v>100</v>
      </c>
    </row>
    <row r="141" spans="1:13" ht="30" customHeight="1">
      <c r="A141" s="5" t="s">
        <v>30</v>
      </c>
      <c r="B141" s="30" t="s">
        <v>391</v>
      </c>
      <c r="C141" s="30" t="s">
        <v>242</v>
      </c>
      <c r="D141" s="27">
        <v>31380.248429516578</v>
      </c>
      <c r="E141" s="28">
        <v>19752.934878808286</v>
      </c>
      <c r="F141" s="27">
        <f t="shared" si="5"/>
        <v>11627.313550708292</v>
      </c>
      <c r="G141" s="27">
        <f t="shared" si="4"/>
        <v>37.052968451873454</v>
      </c>
      <c r="H141" s="29">
        <v>126</v>
      </c>
      <c r="I141" s="29">
        <v>4</v>
      </c>
      <c r="J141" s="12" t="s">
        <v>44</v>
      </c>
      <c r="K141" s="30">
        <v>40.8254529031</v>
      </c>
      <c r="L141" s="30">
        <v>72.125863367899996</v>
      </c>
      <c r="M141" s="14">
        <v>100</v>
      </c>
    </row>
    <row r="142" spans="1:13" ht="30" customHeight="1">
      <c r="A142" s="5" t="s">
        <v>30</v>
      </c>
      <c r="B142" s="30" t="s">
        <v>391</v>
      </c>
      <c r="C142" s="30" t="s">
        <v>243</v>
      </c>
      <c r="D142" s="27">
        <v>29428.895969516579</v>
      </c>
      <c r="E142" s="28">
        <v>18045.714878808285</v>
      </c>
      <c r="F142" s="27">
        <f t="shared" si="5"/>
        <v>11383.181090708295</v>
      </c>
      <c r="G142" s="27">
        <f t="shared" si="4"/>
        <v>38.680285874466264</v>
      </c>
      <c r="H142" s="29">
        <v>48</v>
      </c>
      <c r="I142" s="29">
        <v>3</v>
      </c>
      <c r="J142" s="12" t="s">
        <v>41</v>
      </c>
      <c r="K142" s="30">
        <v>40.8212983333</v>
      </c>
      <c r="L142" s="30">
        <v>72.128469999999993</v>
      </c>
      <c r="M142" s="14">
        <v>160</v>
      </c>
    </row>
    <row r="143" spans="1:13" ht="30" customHeight="1">
      <c r="A143" s="5" t="s">
        <v>30</v>
      </c>
      <c r="B143" s="30" t="s">
        <v>391</v>
      </c>
      <c r="C143" s="30" t="s">
        <v>244</v>
      </c>
      <c r="D143" s="27">
        <v>32556.77642951658</v>
      </c>
      <c r="E143" s="28">
        <v>20782.268212141618</v>
      </c>
      <c r="F143" s="27">
        <f t="shared" si="5"/>
        <v>11774.508217374962</v>
      </c>
      <c r="G143" s="27">
        <f t="shared" si="4"/>
        <v>36.166075111478094</v>
      </c>
      <c r="H143" s="29">
        <v>52</v>
      </c>
      <c r="I143" s="29">
        <v>3</v>
      </c>
      <c r="J143" s="12" t="s">
        <v>31</v>
      </c>
      <c r="K143" s="30">
        <v>40.817111666700001</v>
      </c>
      <c r="L143" s="30">
        <v>72.1181916667</v>
      </c>
      <c r="M143" s="14">
        <v>63</v>
      </c>
    </row>
    <row r="144" spans="1:13" ht="30" customHeight="1">
      <c r="A144" s="5" t="s">
        <v>30</v>
      </c>
      <c r="B144" s="30" t="s">
        <v>391</v>
      </c>
      <c r="C144" s="30" t="s">
        <v>245</v>
      </c>
      <c r="D144" s="27">
        <v>32261.326169516578</v>
      </c>
      <c r="E144" s="28">
        <v>20523.781545474954</v>
      </c>
      <c r="F144" s="27">
        <f t="shared" si="5"/>
        <v>11737.544624041624</v>
      </c>
      <c r="G144" s="27">
        <f t="shared" si="4"/>
        <v>36.382709633097221</v>
      </c>
      <c r="H144" s="29">
        <v>57</v>
      </c>
      <c r="I144" s="29">
        <v>6</v>
      </c>
      <c r="J144" s="12" t="s">
        <v>41</v>
      </c>
      <c r="K144" s="30">
        <v>40.820258333300004</v>
      </c>
      <c r="L144" s="30">
        <v>72.133414999999999</v>
      </c>
      <c r="M144" s="14">
        <v>100</v>
      </c>
    </row>
    <row r="145" spans="1:13" ht="30" customHeight="1">
      <c r="A145" s="5" t="s">
        <v>30</v>
      </c>
      <c r="B145" s="30" t="s">
        <v>391</v>
      </c>
      <c r="C145" s="30" t="s">
        <v>246</v>
      </c>
      <c r="D145" s="27">
        <v>32087.43395951658</v>
      </c>
      <c r="E145" s="28">
        <v>20371.644878808285</v>
      </c>
      <c r="F145" s="27">
        <f t="shared" si="5"/>
        <v>11715.789080708295</v>
      </c>
      <c r="G145" s="27">
        <f t="shared" si="4"/>
        <v>36.512078514877921</v>
      </c>
      <c r="H145" s="29">
        <v>27</v>
      </c>
      <c r="I145" s="29">
        <v>6</v>
      </c>
      <c r="J145" s="12" t="s">
        <v>22</v>
      </c>
      <c r="K145" s="30">
        <v>40.8469716667</v>
      </c>
      <c r="L145" s="30">
        <v>72.074391666699995</v>
      </c>
      <c r="M145" s="14">
        <v>160</v>
      </c>
    </row>
    <row r="146" spans="1:13" ht="30" customHeight="1">
      <c r="A146" s="5" t="s">
        <v>30</v>
      </c>
      <c r="B146" s="30" t="s">
        <v>392</v>
      </c>
      <c r="C146" s="30" t="s">
        <v>247</v>
      </c>
      <c r="D146" s="27">
        <v>31316.103269516578</v>
      </c>
      <c r="E146" s="28">
        <v>19696.814878808287</v>
      </c>
      <c r="F146" s="27">
        <f t="shared" si="5"/>
        <v>11619.288390708291</v>
      </c>
      <c r="G146" s="27">
        <f t="shared" si="4"/>
        <v>37.1032381989193</v>
      </c>
      <c r="H146" s="29">
        <v>22</v>
      </c>
      <c r="I146" s="29">
        <v>6</v>
      </c>
      <c r="J146" s="12" t="s">
        <v>31</v>
      </c>
      <c r="K146" s="30">
        <v>40.820270000000001</v>
      </c>
      <c r="L146" s="30">
        <v>72.169821666700003</v>
      </c>
      <c r="M146" s="14">
        <v>160</v>
      </c>
    </row>
    <row r="147" spans="1:13" ht="30" customHeight="1">
      <c r="A147" s="5" t="s">
        <v>45</v>
      </c>
      <c r="B147" s="30" t="s">
        <v>392</v>
      </c>
      <c r="C147" s="30" t="s">
        <v>248</v>
      </c>
      <c r="D147" s="27">
        <v>30200.13140951658</v>
      </c>
      <c r="E147" s="28">
        <v>18720.461545474955</v>
      </c>
      <c r="F147" s="27">
        <f t="shared" si="5"/>
        <v>11479.669864041625</v>
      </c>
      <c r="G147" s="27">
        <f t="shared" si="4"/>
        <v>38.011986465807844</v>
      </c>
      <c r="H147" s="29">
        <v>51</v>
      </c>
      <c r="I147" s="29">
        <v>3</v>
      </c>
      <c r="J147" s="12" t="s">
        <v>46</v>
      </c>
      <c r="K147" s="30">
        <v>40.834253333299998</v>
      </c>
      <c r="L147" s="30">
        <v>72.203491666700003</v>
      </c>
      <c r="M147" s="20">
        <v>100</v>
      </c>
    </row>
    <row r="148" spans="1:13" ht="30" customHeight="1">
      <c r="A148" s="5" t="s">
        <v>45</v>
      </c>
      <c r="B148" s="30" t="s">
        <v>392</v>
      </c>
      <c r="C148" s="30" t="s">
        <v>249</v>
      </c>
      <c r="D148" s="27">
        <v>40197.620939516579</v>
      </c>
      <c r="E148" s="28">
        <v>27467.171545474957</v>
      </c>
      <c r="F148" s="27">
        <f t="shared" si="5"/>
        <v>12730.449394041621</v>
      </c>
      <c r="G148" s="27">
        <f t="shared" si="4"/>
        <v>31.669658791987999</v>
      </c>
      <c r="H148" s="29">
        <v>92</v>
      </c>
      <c r="I148" s="29">
        <v>6</v>
      </c>
      <c r="J148" s="12" t="s">
        <v>46</v>
      </c>
      <c r="K148" s="30">
        <v>40.837441666700002</v>
      </c>
      <c r="L148" s="30">
        <v>72.2019633333</v>
      </c>
      <c r="M148" s="20">
        <v>100</v>
      </c>
    </row>
    <row r="149" spans="1:13" ht="30" customHeight="1">
      <c r="A149" s="5" t="s">
        <v>45</v>
      </c>
      <c r="B149" s="30" t="s">
        <v>392</v>
      </c>
      <c r="C149" s="30" t="s">
        <v>250</v>
      </c>
      <c r="D149" s="27">
        <v>38651.755349516578</v>
      </c>
      <c r="E149" s="28">
        <v>26114.708212141621</v>
      </c>
      <c r="F149" s="27">
        <f t="shared" si="5"/>
        <v>12537.047137374957</v>
      </c>
      <c r="G149" s="27">
        <f t="shared" si="4"/>
        <v>32.435906271283379</v>
      </c>
      <c r="H149" s="29">
        <v>108</v>
      </c>
      <c r="I149" s="29">
        <v>3</v>
      </c>
      <c r="J149" s="12" t="s">
        <v>47</v>
      </c>
      <c r="K149" s="30">
        <v>40.832535</v>
      </c>
      <c r="L149" s="30">
        <v>72.175714999999997</v>
      </c>
      <c r="M149" s="20">
        <v>160</v>
      </c>
    </row>
    <row r="150" spans="1:13" ht="30" customHeight="1">
      <c r="A150" s="5" t="s">
        <v>45</v>
      </c>
      <c r="B150" s="30" t="s">
        <v>385</v>
      </c>
      <c r="C150" s="30" t="s">
        <v>251</v>
      </c>
      <c r="D150" s="27">
        <v>34753.641479516577</v>
      </c>
      <c r="E150" s="28">
        <v>22704.284878808285</v>
      </c>
      <c r="F150" s="27">
        <f t="shared" si="5"/>
        <v>12049.356600708292</v>
      </c>
      <c r="G150" s="27">
        <f t="shared" si="4"/>
        <v>34.67077430665806</v>
      </c>
      <c r="H150" s="29">
        <v>59</v>
      </c>
      <c r="I150" s="29">
        <v>3</v>
      </c>
      <c r="J150" s="12" t="s">
        <v>47</v>
      </c>
      <c r="K150" s="30">
        <v>40.862508333299999</v>
      </c>
      <c r="L150" s="30">
        <v>72.001638333299994</v>
      </c>
      <c r="M150" s="20">
        <v>63</v>
      </c>
    </row>
    <row r="151" spans="1:13" ht="30" customHeight="1">
      <c r="A151" s="5" t="s">
        <v>45</v>
      </c>
      <c r="B151" s="30" t="s">
        <v>387</v>
      </c>
      <c r="C151" s="30" t="s">
        <v>252</v>
      </c>
      <c r="D151" s="27">
        <v>34956.645899516581</v>
      </c>
      <c r="E151" s="28">
        <v>22881.891545474955</v>
      </c>
      <c r="F151" s="27">
        <f t="shared" si="5"/>
        <v>12074.754354041626</v>
      </c>
      <c r="G151" s="27">
        <f t="shared" si="4"/>
        <v>34.542085040855163</v>
      </c>
      <c r="H151" s="29">
        <v>72</v>
      </c>
      <c r="I151" s="29">
        <v>3</v>
      </c>
      <c r="J151" s="12" t="s">
        <v>46</v>
      </c>
      <c r="K151" s="30">
        <v>40.881864999999998</v>
      </c>
      <c r="L151" s="30">
        <v>71.974893333300002</v>
      </c>
      <c r="M151" s="20">
        <v>250</v>
      </c>
    </row>
    <row r="152" spans="1:13" ht="30" customHeight="1">
      <c r="A152" s="5" t="s">
        <v>45</v>
      </c>
      <c r="B152" s="30" t="s">
        <v>387</v>
      </c>
      <c r="C152" s="30" t="s">
        <v>253</v>
      </c>
      <c r="D152" s="27">
        <v>33201.851339516579</v>
      </c>
      <c r="E152" s="28">
        <v>21346.638212141621</v>
      </c>
      <c r="F152" s="27">
        <f t="shared" si="5"/>
        <v>11855.213127374958</v>
      </c>
      <c r="G152" s="27">
        <f t="shared" si="4"/>
        <v>35.706482166146493</v>
      </c>
      <c r="H152" s="29">
        <v>44</v>
      </c>
      <c r="I152" s="29">
        <v>3</v>
      </c>
      <c r="J152" s="12" t="s">
        <v>47</v>
      </c>
      <c r="K152" s="30">
        <v>40.871471666700003</v>
      </c>
      <c r="L152" s="30">
        <v>71.970541666700001</v>
      </c>
      <c r="M152" s="20">
        <v>63</v>
      </c>
    </row>
    <row r="153" spans="1:13" ht="30" customHeight="1">
      <c r="A153" s="5" t="s">
        <v>45</v>
      </c>
      <c r="B153" s="30" t="s">
        <v>391</v>
      </c>
      <c r="C153" s="30" t="s">
        <v>254</v>
      </c>
      <c r="D153" s="27">
        <v>39558.71060951658</v>
      </c>
      <c r="E153" s="28">
        <v>26908.194878808288</v>
      </c>
      <c r="F153" s="27">
        <f t="shared" si="5"/>
        <v>12650.515730708292</v>
      </c>
      <c r="G153" s="27">
        <f t="shared" si="4"/>
        <v>31.979090156859098</v>
      </c>
      <c r="H153" s="29">
        <v>129</v>
      </c>
      <c r="I153" s="29">
        <v>6</v>
      </c>
      <c r="J153" s="12" t="s">
        <v>47</v>
      </c>
      <c r="K153" s="30">
        <v>40.847968333300003</v>
      </c>
      <c r="L153" s="30">
        <v>72.039503333300004</v>
      </c>
      <c r="M153" s="20">
        <v>100</v>
      </c>
    </row>
    <row r="154" spans="1:13" ht="30" customHeight="1">
      <c r="A154" s="5" t="s">
        <v>45</v>
      </c>
      <c r="B154" s="30" t="s">
        <v>391</v>
      </c>
      <c r="C154" s="30" t="s">
        <v>255</v>
      </c>
      <c r="D154" s="27">
        <v>30506.437359516578</v>
      </c>
      <c r="E154" s="28">
        <v>18667.434712141621</v>
      </c>
      <c r="F154" s="27">
        <f t="shared" si="5"/>
        <v>11839.002647374957</v>
      </c>
      <c r="G154" s="27">
        <f t="shared" si="4"/>
        <v>38.808211223923017</v>
      </c>
      <c r="H154" s="29">
        <v>83</v>
      </c>
      <c r="I154" s="29">
        <v>3</v>
      </c>
      <c r="J154" s="12" t="s">
        <v>47</v>
      </c>
      <c r="K154" s="30">
        <v>40.817636666699997</v>
      </c>
      <c r="L154" s="30">
        <v>72.128388333299995</v>
      </c>
      <c r="M154" s="20">
        <v>100</v>
      </c>
    </row>
    <row r="155" spans="1:13" ht="30" customHeight="1">
      <c r="A155" s="5" t="s">
        <v>45</v>
      </c>
      <c r="B155" s="30" t="s">
        <v>390</v>
      </c>
      <c r="C155" s="30" t="s">
        <v>256</v>
      </c>
      <c r="D155" s="27">
        <v>38200.711829516586</v>
      </c>
      <c r="E155" s="28">
        <v>25612.466878808289</v>
      </c>
      <c r="F155" s="27">
        <f t="shared" si="5"/>
        <v>12588.244950708297</v>
      </c>
      <c r="G155" s="27">
        <f t="shared" si="4"/>
        <v>32.952906759663378</v>
      </c>
      <c r="H155" s="29">
        <v>92</v>
      </c>
      <c r="I155" s="29">
        <v>3</v>
      </c>
      <c r="J155" s="12" t="s">
        <v>48</v>
      </c>
      <c r="K155" s="30">
        <v>40.863979999999998</v>
      </c>
      <c r="L155" s="30">
        <v>72.082644999999999</v>
      </c>
      <c r="M155" s="20">
        <v>160</v>
      </c>
    </row>
    <row r="156" spans="1:13" ht="30" customHeight="1">
      <c r="A156" s="5" t="s">
        <v>45</v>
      </c>
      <c r="B156" s="30" t="s">
        <v>388</v>
      </c>
      <c r="C156" s="30" t="s">
        <v>257</v>
      </c>
      <c r="D156" s="27">
        <v>53715.783479516569</v>
      </c>
      <c r="E156" s="28">
        <v>38967.945378808283</v>
      </c>
      <c r="F156" s="27">
        <f t="shared" si="5"/>
        <v>14747.838100708286</v>
      </c>
      <c r="G156" s="27">
        <f t="shared" si="4"/>
        <v>27.455316008435538</v>
      </c>
      <c r="H156" s="29">
        <v>108</v>
      </c>
      <c r="I156" s="29">
        <v>3</v>
      </c>
      <c r="J156" s="12" t="s">
        <v>48</v>
      </c>
      <c r="K156" s="30">
        <v>40.869881666700003</v>
      </c>
      <c r="L156" s="30">
        <v>71.981340000000003</v>
      </c>
      <c r="M156" s="20">
        <v>250</v>
      </c>
    </row>
    <row r="157" spans="1:13" ht="30" customHeight="1">
      <c r="A157" s="5" t="s">
        <v>45</v>
      </c>
      <c r="B157" s="30" t="s">
        <v>387</v>
      </c>
      <c r="C157" s="30" t="s">
        <v>258</v>
      </c>
      <c r="D157" s="27">
        <v>29782.56733951658</v>
      </c>
      <c r="E157" s="28">
        <v>18027.716378808291</v>
      </c>
      <c r="F157" s="27">
        <f t="shared" si="5"/>
        <v>11754.850960708289</v>
      </c>
      <c r="G157" s="27">
        <f t="shared" si="4"/>
        <v>39.468897448312084</v>
      </c>
      <c r="H157" s="29">
        <v>57</v>
      </c>
      <c r="I157" s="29">
        <v>3</v>
      </c>
      <c r="J157" s="12" t="s">
        <v>47</v>
      </c>
      <c r="K157" s="30">
        <v>40.883203333300003</v>
      </c>
      <c r="L157" s="30">
        <v>71.969184999999996</v>
      </c>
      <c r="M157" s="14">
        <v>100</v>
      </c>
    </row>
    <row r="158" spans="1:13" ht="30" customHeight="1">
      <c r="A158" s="5" t="s">
        <v>45</v>
      </c>
      <c r="B158" s="30" t="s">
        <v>389</v>
      </c>
      <c r="C158" s="30" t="s">
        <v>259</v>
      </c>
      <c r="D158" s="27">
        <v>29126.802979516582</v>
      </c>
      <c r="E158" s="28">
        <v>17437.353545474954</v>
      </c>
      <c r="F158" s="27">
        <f t="shared" si="5"/>
        <v>11689.449434041628</v>
      </c>
      <c r="G158" s="27">
        <f t="shared" si="4"/>
        <v>40.132964274390943</v>
      </c>
      <c r="H158" s="29">
        <v>23</v>
      </c>
      <c r="I158" s="29">
        <v>3</v>
      </c>
      <c r="J158" s="12" t="s">
        <v>49</v>
      </c>
      <c r="K158" s="30">
        <v>40.877465000000001</v>
      </c>
      <c r="L158" s="30">
        <v>72.08811</v>
      </c>
      <c r="M158" s="14">
        <v>250</v>
      </c>
    </row>
    <row r="159" spans="1:13" ht="30" customHeight="1">
      <c r="A159" s="5" t="s">
        <v>45</v>
      </c>
      <c r="B159" s="30" t="s">
        <v>387</v>
      </c>
      <c r="C159" s="30" t="s">
        <v>260</v>
      </c>
      <c r="D159" s="27">
        <v>27985.349989516581</v>
      </c>
      <c r="E159" s="28">
        <v>16357.523545474953</v>
      </c>
      <c r="F159" s="27">
        <f t="shared" si="5"/>
        <v>11627.826444041628</v>
      </c>
      <c r="G159" s="27">
        <f t="shared" si="4"/>
        <v>41.549690993314208</v>
      </c>
      <c r="H159" s="29">
        <v>41</v>
      </c>
      <c r="I159" s="29">
        <v>3</v>
      </c>
      <c r="J159" s="12" t="s">
        <v>20</v>
      </c>
      <c r="K159" s="30">
        <v>40.886789999999998</v>
      </c>
      <c r="L159" s="30">
        <v>71.967898333299999</v>
      </c>
      <c r="M159" s="14">
        <v>100</v>
      </c>
    </row>
    <row r="160" spans="1:13" ht="30" customHeight="1">
      <c r="A160" s="5" t="s">
        <v>45</v>
      </c>
      <c r="B160" s="30" t="s">
        <v>391</v>
      </c>
      <c r="C160" s="30" t="s">
        <v>261</v>
      </c>
      <c r="D160" s="27">
        <v>30241.259809516581</v>
      </c>
      <c r="E160" s="28">
        <v>18191.763545474954</v>
      </c>
      <c r="F160" s="27">
        <f t="shared" si="5"/>
        <v>12049.496264041627</v>
      </c>
      <c r="G160" s="27">
        <f t="shared" si="4"/>
        <v>39.844557865442454</v>
      </c>
      <c r="H160" s="29">
        <v>64</v>
      </c>
      <c r="I160" s="29">
        <v>4</v>
      </c>
      <c r="J160" s="12" t="s">
        <v>48</v>
      </c>
      <c r="K160" s="30">
        <v>40.813769904799997</v>
      </c>
      <c r="L160" s="30">
        <v>72.127671415400002</v>
      </c>
      <c r="M160" s="14">
        <v>100</v>
      </c>
    </row>
    <row r="161" spans="1:13" ht="30" customHeight="1">
      <c r="A161" s="5" t="s">
        <v>45</v>
      </c>
      <c r="B161" s="30" t="s">
        <v>387</v>
      </c>
      <c r="C161" s="30" t="s">
        <v>262</v>
      </c>
      <c r="D161" s="27">
        <v>26270.261059516579</v>
      </c>
      <c r="E161" s="28">
        <v>14624.680212141622</v>
      </c>
      <c r="F161" s="27">
        <f t="shared" si="5"/>
        <v>11645.580847374957</v>
      </c>
      <c r="G161" s="27">
        <f t="shared" si="4"/>
        <v>44.329901484386916</v>
      </c>
      <c r="H161" s="29">
        <v>136</v>
      </c>
      <c r="I161" s="29">
        <v>4</v>
      </c>
      <c r="J161" s="12" t="s">
        <v>29</v>
      </c>
      <c r="K161" s="30">
        <v>40.868474999999997</v>
      </c>
      <c r="L161" s="30">
        <v>71.973686666700004</v>
      </c>
      <c r="M161" s="14">
        <v>100</v>
      </c>
    </row>
    <row r="162" spans="1:13" ht="30" customHeight="1">
      <c r="A162" s="5" t="s">
        <v>45</v>
      </c>
      <c r="B162" s="30" t="s">
        <v>389</v>
      </c>
      <c r="C162" s="30" t="s">
        <v>263</v>
      </c>
      <c r="D162" s="27">
        <v>31123.638259516578</v>
      </c>
      <c r="E162" s="28">
        <v>19206.776878808287</v>
      </c>
      <c r="F162" s="27">
        <f t="shared" si="5"/>
        <v>11916.861380708291</v>
      </c>
      <c r="G162" s="27">
        <f t="shared" si="4"/>
        <v>38.288779998477558</v>
      </c>
      <c r="H162" s="29">
        <v>217</v>
      </c>
      <c r="I162" s="29">
        <v>5</v>
      </c>
      <c r="J162" s="12" t="s">
        <v>46</v>
      </c>
      <c r="K162" s="30">
        <v>40.877846666700002</v>
      </c>
      <c r="L162" s="30">
        <v>72.089301666699996</v>
      </c>
      <c r="M162" s="14">
        <v>100</v>
      </c>
    </row>
    <row r="163" spans="1:13" ht="30" customHeight="1">
      <c r="A163" s="5" t="s">
        <v>30</v>
      </c>
      <c r="B163" s="30" t="s">
        <v>392</v>
      </c>
      <c r="C163" s="30" t="s">
        <v>264</v>
      </c>
      <c r="D163" s="27">
        <v>36562.069279516581</v>
      </c>
      <c r="E163" s="28">
        <v>24097.521712141617</v>
      </c>
      <c r="F163" s="27">
        <f t="shared" si="5"/>
        <v>12464.547567374964</v>
      </c>
      <c r="G163" s="27">
        <f t="shared" si="4"/>
        <v>34.091471880553719</v>
      </c>
      <c r="H163" s="29">
        <v>75</v>
      </c>
      <c r="I163" s="29">
        <v>7</v>
      </c>
      <c r="J163" s="12" t="s">
        <v>36</v>
      </c>
      <c r="K163" s="30">
        <v>40.820733333299998</v>
      </c>
      <c r="L163" s="30">
        <v>72.163296666700006</v>
      </c>
      <c r="M163" s="20">
        <v>63</v>
      </c>
    </row>
    <row r="164" spans="1:13" ht="30" customHeight="1">
      <c r="A164" s="5" t="s">
        <v>30</v>
      </c>
      <c r="B164" s="30" t="s">
        <v>391</v>
      </c>
      <c r="C164" s="30" t="s">
        <v>265</v>
      </c>
      <c r="D164" s="27">
        <v>31427.29442951658</v>
      </c>
      <c r="E164" s="28">
        <v>19608.360878808286</v>
      </c>
      <c r="F164" s="27">
        <f t="shared" si="5"/>
        <v>11818.933550708294</v>
      </c>
      <c r="G164" s="27">
        <f t="shared" si="4"/>
        <v>37.607225710170987</v>
      </c>
      <c r="H164" s="29">
        <v>62</v>
      </c>
      <c r="I164" s="29">
        <v>4</v>
      </c>
      <c r="J164" s="12" t="s">
        <v>36</v>
      </c>
      <c r="K164" s="30">
        <v>40.852661666700001</v>
      </c>
      <c r="L164" s="30">
        <v>72.0707816667</v>
      </c>
      <c r="M164" s="20">
        <v>100</v>
      </c>
    </row>
    <row r="165" spans="1:13" ht="30" customHeight="1">
      <c r="A165" s="5" t="s">
        <v>30</v>
      </c>
      <c r="B165" s="30" t="s">
        <v>388</v>
      </c>
      <c r="C165" s="30" t="s">
        <v>266</v>
      </c>
      <c r="D165" s="27">
        <v>31956.416529516577</v>
      </c>
      <c r="E165" s="28">
        <v>19934.084545474954</v>
      </c>
      <c r="F165" s="27">
        <f t="shared" si="5"/>
        <v>12022.331984041622</v>
      </c>
      <c r="G165" s="27">
        <f t="shared" si="4"/>
        <v>37.621026665919139</v>
      </c>
      <c r="H165" s="29">
        <v>84</v>
      </c>
      <c r="I165" s="29">
        <v>3</v>
      </c>
      <c r="J165" s="12" t="s">
        <v>36</v>
      </c>
      <c r="K165" s="30">
        <v>40.877846666700002</v>
      </c>
      <c r="L165" s="30">
        <v>72.000298333299995</v>
      </c>
      <c r="M165" s="20">
        <v>100</v>
      </c>
    </row>
    <row r="166" spans="1:13" ht="30" customHeight="1">
      <c r="A166" s="5" t="s">
        <v>30</v>
      </c>
      <c r="B166" s="30" t="s">
        <v>385</v>
      </c>
      <c r="C166" s="30" t="s">
        <v>267</v>
      </c>
      <c r="D166" s="27">
        <v>37551.328939516585</v>
      </c>
      <c r="E166" s="28">
        <v>24826.456545474957</v>
      </c>
      <c r="F166" s="27">
        <f t="shared" si="5"/>
        <v>12724.872394041628</v>
      </c>
      <c r="G166" s="27">
        <f t="shared" si="4"/>
        <v>33.886610017284362</v>
      </c>
      <c r="H166" s="29">
        <v>103</v>
      </c>
      <c r="I166" s="29">
        <v>3</v>
      </c>
      <c r="J166" s="12" t="s">
        <v>36</v>
      </c>
      <c r="K166" s="30">
        <v>40.869096666700003</v>
      </c>
      <c r="L166" s="30">
        <v>71.993186666699998</v>
      </c>
      <c r="M166" s="20">
        <v>160</v>
      </c>
    </row>
    <row r="167" spans="1:13" ht="30" customHeight="1">
      <c r="A167" s="5" t="s">
        <v>30</v>
      </c>
      <c r="B167" s="30" t="s">
        <v>390</v>
      </c>
      <c r="C167" s="30" t="s">
        <v>268</v>
      </c>
      <c r="D167" s="27">
        <v>29364.620789516579</v>
      </c>
      <c r="E167" s="28">
        <v>17881.853545474954</v>
      </c>
      <c r="F167" s="27">
        <f t="shared" si="5"/>
        <v>11482.767244041625</v>
      </c>
      <c r="G167" s="27">
        <f t="shared" si="4"/>
        <v>39.104088305274729</v>
      </c>
      <c r="H167" s="29">
        <v>61</v>
      </c>
      <c r="I167" s="29">
        <v>3</v>
      </c>
      <c r="J167" s="12" t="s">
        <v>50</v>
      </c>
      <c r="K167" s="30">
        <v>40.859043333300001</v>
      </c>
      <c r="L167" s="30">
        <v>72.065916666700005</v>
      </c>
      <c r="M167" s="20">
        <v>250</v>
      </c>
    </row>
    <row r="168" spans="1:13" ht="30" customHeight="1">
      <c r="A168" s="5" t="s">
        <v>30</v>
      </c>
      <c r="B168" s="30" t="s">
        <v>389</v>
      </c>
      <c r="C168" s="30" t="s">
        <v>269</v>
      </c>
      <c r="D168" s="27">
        <v>35028.815719516577</v>
      </c>
      <c r="E168" s="28">
        <v>22621.456712141622</v>
      </c>
      <c r="F168" s="27">
        <f t="shared" si="5"/>
        <v>12407.359007374955</v>
      </c>
      <c r="G168" s="27">
        <f t="shared" si="4"/>
        <v>35.42043529739459</v>
      </c>
      <c r="H168" s="29">
        <v>126</v>
      </c>
      <c r="I168" s="29">
        <v>3</v>
      </c>
      <c r="J168" s="12" t="s">
        <v>50</v>
      </c>
      <c r="K168" s="30">
        <v>40.880443333300001</v>
      </c>
      <c r="L168" s="30">
        <v>72.033211666699998</v>
      </c>
      <c r="M168" s="20">
        <v>400</v>
      </c>
    </row>
    <row r="169" spans="1:13" ht="30" customHeight="1">
      <c r="A169" s="5" t="s">
        <v>30</v>
      </c>
      <c r="B169" s="30" t="s">
        <v>388</v>
      </c>
      <c r="C169" s="30" t="s">
        <v>270</v>
      </c>
      <c r="D169" s="27">
        <v>34235.576879516579</v>
      </c>
      <c r="E169" s="28">
        <v>21919.124878808288</v>
      </c>
      <c r="F169" s="27">
        <f t="shared" si="5"/>
        <v>12316.45200070829</v>
      </c>
      <c r="G169" s="27">
        <f t="shared" si="4"/>
        <v>35.975593588076279</v>
      </c>
      <c r="H169" s="29">
        <v>76</v>
      </c>
      <c r="I169" s="29">
        <v>4</v>
      </c>
      <c r="J169" s="12" t="s">
        <v>50</v>
      </c>
      <c r="K169" s="30">
        <v>40.874026666600002</v>
      </c>
      <c r="L169" s="30">
        <v>72.094549999700007</v>
      </c>
      <c r="M169" s="20">
        <v>160</v>
      </c>
    </row>
    <row r="170" spans="1:13" ht="30" customHeight="1">
      <c r="A170" s="5" t="s">
        <v>30</v>
      </c>
      <c r="B170" s="30" t="s">
        <v>388</v>
      </c>
      <c r="C170" s="30" t="s">
        <v>271</v>
      </c>
      <c r="D170" s="27">
        <v>30505.78489951658</v>
      </c>
      <c r="E170" s="28">
        <v>18654.682545474952</v>
      </c>
      <c r="F170" s="27">
        <f t="shared" si="5"/>
        <v>11851.102354041628</v>
      </c>
      <c r="G170" s="27">
        <f t="shared" si="4"/>
        <v>38.848704903276989</v>
      </c>
      <c r="H170" s="29">
        <v>46</v>
      </c>
      <c r="I170" s="29">
        <v>4</v>
      </c>
      <c r="J170" s="12" t="s">
        <v>37</v>
      </c>
      <c r="K170" s="30">
        <v>40.877225000000003</v>
      </c>
      <c r="L170" s="30">
        <v>71.997230000000002</v>
      </c>
      <c r="M170" s="23">
        <v>100</v>
      </c>
    </row>
    <row r="171" spans="1:13" ht="30" customHeight="1">
      <c r="A171" s="5" t="s">
        <v>30</v>
      </c>
      <c r="B171" s="30" t="s">
        <v>388</v>
      </c>
      <c r="C171" s="30" t="s">
        <v>272</v>
      </c>
      <c r="D171" s="27">
        <v>32241.867899516583</v>
      </c>
      <c r="E171" s="28">
        <v>20165.23071214162</v>
      </c>
      <c r="F171" s="27">
        <f t="shared" si="5"/>
        <v>12076.637187374963</v>
      </c>
      <c r="G171" s="27">
        <f t="shared" si="4"/>
        <v>37.456381947263154</v>
      </c>
      <c r="H171" s="29">
        <v>103</v>
      </c>
      <c r="I171" s="29">
        <v>5</v>
      </c>
      <c r="J171" s="12" t="s">
        <v>37</v>
      </c>
      <c r="K171" s="30">
        <v>40.878791666700003</v>
      </c>
      <c r="L171" s="30">
        <v>72.014080000000007</v>
      </c>
      <c r="M171" s="20">
        <v>100</v>
      </c>
    </row>
    <row r="172" spans="1:13" ht="30" customHeight="1">
      <c r="A172" s="5" t="s">
        <v>30</v>
      </c>
      <c r="B172" s="30" t="s">
        <v>384</v>
      </c>
      <c r="C172" s="30" t="s">
        <v>100</v>
      </c>
      <c r="D172" s="27">
        <v>31980.78255551658</v>
      </c>
      <c r="E172" s="28">
        <v>19833.585545474958</v>
      </c>
      <c r="F172" s="27">
        <f t="shared" si="5"/>
        <v>12147.197010041622</v>
      </c>
      <c r="G172" s="27">
        <f t="shared" si="4"/>
        <v>37.982801042954058</v>
      </c>
      <c r="H172" s="29">
        <v>75</v>
      </c>
      <c r="I172" s="29">
        <v>4</v>
      </c>
      <c r="J172" s="12" t="s">
        <v>37</v>
      </c>
      <c r="K172" s="30">
        <v>40.879103333300002</v>
      </c>
      <c r="L172" s="30">
        <v>71.946520000000007</v>
      </c>
      <c r="M172" s="20">
        <v>100</v>
      </c>
    </row>
    <row r="173" spans="1:13" ht="30" customHeight="1">
      <c r="A173" s="5" t="s">
        <v>13</v>
      </c>
      <c r="B173" s="30" t="s">
        <v>389</v>
      </c>
      <c r="C173" s="30" t="s">
        <v>273</v>
      </c>
      <c r="D173" s="27">
        <v>31307.555319516581</v>
      </c>
      <c r="E173" s="28">
        <v>19385.533545474955</v>
      </c>
      <c r="F173" s="27">
        <f t="shared" si="5"/>
        <v>11922.021774041626</v>
      </c>
      <c r="G173" s="27">
        <f t="shared" si="4"/>
        <v>38.080334450801551</v>
      </c>
      <c r="H173" s="29">
        <v>88</v>
      </c>
      <c r="I173" s="29">
        <v>5</v>
      </c>
      <c r="J173" s="12"/>
      <c r="K173" s="30">
        <v>40.867316666699999</v>
      </c>
      <c r="L173" s="30">
        <v>72.0448633333</v>
      </c>
      <c r="M173" s="14">
        <v>400</v>
      </c>
    </row>
    <row r="174" spans="1:13" ht="30" customHeight="1">
      <c r="A174" s="5" t="s">
        <v>13</v>
      </c>
      <c r="B174" s="30" t="s">
        <v>391</v>
      </c>
      <c r="C174" s="30" t="s">
        <v>274</v>
      </c>
      <c r="D174" s="27">
        <v>30646.245839516574</v>
      </c>
      <c r="E174" s="28">
        <v>18545.906878808284</v>
      </c>
      <c r="F174" s="27">
        <f t="shared" si="5"/>
        <v>12100.33896070829</v>
      </c>
      <c r="G174" s="27">
        <f t="shared" si="4"/>
        <v>39.483919250904123</v>
      </c>
      <c r="H174" s="29">
        <v>62</v>
      </c>
      <c r="I174" s="29">
        <v>8</v>
      </c>
      <c r="J174" s="12" t="s">
        <v>23</v>
      </c>
      <c r="K174" s="30">
        <v>40.821199999999997</v>
      </c>
      <c r="L174" s="30">
        <v>72.145963333300003</v>
      </c>
      <c r="M174" s="14">
        <v>100</v>
      </c>
    </row>
    <row r="175" spans="1:13" ht="30" customHeight="1">
      <c r="A175" s="5" t="s">
        <v>13</v>
      </c>
      <c r="B175" s="30" t="s">
        <v>391</v>
      </c>
      <c r="C175" s="30" t="s">
        <v>275</v>
      </c>
      <c r="D175" s="27">
        <v>36094.358599516578</v>
      </c>
      <c r="E175" s="28">
        <v>23653.705378808289</v>
      </c>
      <c r="F175" s="27">
        <f t="shared" si="5"/>
        <v>12440.653220708289</v>
      </c>
      <c r="G175" s="27">
        <f t="shared" si="4"/>
        <v>34.46702948442173</v>
      </c>
      <c r="H175" s="29">
        <v>139</v>
      </c>
      <c r="I175" s="29">
        <v>6</v>
      </c>
      <c r="J175" s="12" t="s">
        <v>40</v>
      </c>
      <c r="K175" s="30">
        <v>40.853495000000002</v>
      </c>
      <c r="L175" s="30">
        <v>72.061329999999998</v>
      </c>
      <c r="M175" s="20">
        <v>250</v>
      </c>
    </row>
    <row r="176" spans="1:13" ht="30" customHeight="1">
      <c r="A176" s="5" t="s">
        <v>13</v>
      </c>
      <c r="B176" s="30" t="s">
        <v>390</v>
      </c>
      <c r="C176" s="30" t="s">
        <v>276</v>
      </c>
      <c r="D176" s="27">
        <v>30938.032339516576</v>
      </c>
      <c r="E176" s="28">
        <v>19119.403378808285</v>
      </c>
      <c r="F176" s="27">
        <f t="shared" si="5"/>
        <v>11818.628960708291</v>
      </c>
      <c r="G176" s="27">
        <f t="shared" si="4"/>
        <v>38.200971642312801</v>
      </c>
      <c r="H176" s="29">
        <v>73</v>
      </c>
      <c r="I176" s="29">
        <v>3</v>
      </c>
      <c r="J176" s="12" t="s">
        <v>40</v>
      </c>
      <c r="K176" s="30">
        <v>40.8542466667</v>
      </c>
      <c r="L176" s="30">
        <v>72.141778333299996</v>
      </c>
      <c r="M176" s="21">
        <v>160</v>
      </c>
    </row>
    <row r="177" spans="1:13" ht="30" customHeight="1">
      <c r="A177" s="5" t="s">
        <v>13</v>
      </c>
      <c r="B177" s="30" t="s">
        <v>390</v>
      </c>
      <c r="C177" s="30" t="s">
        <v>277</v>
      </c>
      <c r="D177" s="27">
        <v>30905.352179516576</v>
      </c>
      <c r="E177" s="28">
        <v>19019.006045474955</v>
      </c>
      <c r="F177" s="27">
        <f t="shared" si="5"/>
        <v>11886.346134041622</v>
      </c>
      <c r="G177" s="27">
        <f t="shared" si="4"/>
        <v>38.460477864800538</v>
      </c>
      <c r="H177" s="29">
        <v>98</v>
      </c>
      <c r="I177" s="29">
        <v>4</v>
      </c>
      <c r="J177" s="12" t="s">
        <v>40</v>
      </c>
      <c r="K177" s="30">
        <v>40.870876666699999</v>
      </c>
      <c r="L177" s="30">
        <v>72.127028333300004</v>
      </c>
      <c r="M177" s="20">
        <v>100</v>
      </c>
    </row>
    <row r="178" spans="1:13" ht="30" customHeight="1">
      <c r="A178" s="5" t="s">
        <v>13</v>
      </c>
      <c r="B178" s="30" t="s">
        <v>385</v>
      </c>
      <c r="C178" s="30" t="s">
        <v>278</v>
      </c>
      <c r="D178" s="27">
        <v>29165.314539516577</v>
      </c>
      <c r="E178" s="28">
        <v>17258.373545474955</v>
      </c>
      <c r="F178" s="27">
        <f t="shared" si="5"/>
        <v>11906.940994041623</v>
      </c>
      <c r="G178" s="27">
        <f t="shared" si="4"/>
        <v>40.825690317547263</v>
      </c>
      <c r="H178" s="29">
        <v>96</v>
      </c>
      <c r="I178" s="29">
        <v>8</v>
      </c>
      <c r="J178" s="12" t="s">
        <v>18</v>
      </c>
      <c r="K178" s="30">
        <v>40.85586</v>
      </c>
      <c r="L178" s="30">
        <v>72.008968333300004</v>
      </c>
      <c r="M178" s="20">
        <v>100</v>
      </c>
    </row>
    <row r="179" spans="1:13" ht="30" customHeight="1">
      <c r="A179" s="5" t="s">
        <v>13</v>
      </c>
      <c r="B179" s="30" t="s">
        <v>391</v>
      </c>
      <c r="C179" s="30" t="s">
        <v>279</v>
      </c>
      <c r="D179" s="27">
        <v>31895.86008951658</v>
      </c>
      <c r="E179" s="28">
        <v>19877.257545474953</v>
      </c>
      <c r="F179" s="27">
        <f t="shared" si="5"/>
        <v>12018.602544041627</v>
      </c>
      <c r="G179" s="27">
        <f t="shared" si="4"/>
        <v>37.68076016859586</v>
      </c>
      <c r="H179" s="29">
        <v>56</v>
      </c>
      <c r="I179" s="29">
        <v>4</v>
      </c>
      <c r="J179" s="12" t="s">
        <v>23</v>
      </c>
      <c r="K179" s="30">
        <v>40.827616666700003</v>
      </c>
      <c r="L179" s="30">
        <v>72.112166666700006</v>
      </c>
      <c r="M179" s="20">
        <v>100</v>
      </c>
    </row>
    <row r="180" spans="1:13" ht="30" customHeight="1">
      <c r="A180" s="5" t="s">
        <v>13</v>
      </c>
      <c r="B180" s="30" t="s">
        <v>391</v>
      </c>
      <c r="C180" s="30" t="s">
        <v>280</v>
      </c>
      <c r="D180" s="27">
        <v>33880.325729516582</v>
      </c>
      <c r="E180" s="28">
        <v>21766.035212141622</v>
      </c>
      <c r="F180" s="27">
        <f t="shared" si="5"/>
        <v>12114.29051737496</v>
      </c>
      <c r="G180" s="27">
        <f t="shared" si="4"/>
        <v>35.756121750686056</v>
      </c>
      <c r="H180" s="29">
        <v>50</v>
      </c>
      <c r="I180" s="29">
        <v>8</v>
      </c>
      <c r="J180" s="12" t="s">
        <v>23</v>
      </c>
      <c r="K180" s="30">
        <v>40.813206666699998</v>
      </c>
      <c r="L180" s="30">
        <v>72.109205000000003</v>
      </c>
      <c r="M180" s="20">
        <v>160</v>
      </c>
    </row>
    <row r="181" spans="1:13" ht="30" customHeight="1">
      <c r="A181" s="5" t="s">
        <v>13</v>
      </c>
      <c r="B181" s="30" t="s">
        <v>387</v>
      </c>
      <c r="C181" s="30" t="s">
        <v>281</v>
      </c>
      <c r="D181" s="27">
        <v>26173.05536951658</v>
      </c>
      <c r="E181" s="28">
        <v>14741.950212141619</v>
      </c>
      <c r="F181" s="27">
        <f t="shared" si="5"/>
        <v>11431.105157374961</v>
      </c>
      <c r="G181" s="27">
        <f t="shared" si="4"/>
        <v>43.675088735297685</v>
      </c>
      <c r="H181" s="29">
        <v>7</v>
      </c>
      <c r="I181" s="29">
        <v>3</v>
      </c>
      <c r="J181" s="12" t="s">
        <v>23</v>
      </c>
      <c r="K181" s="30">
        <v>40.879336666699999</v>
      </c>
      <c r="L181" s="30">
        <v>71.986581666700005</v>
      </c>
      <c r="M181" s="20">
        <v>100</v>
      </c>
    </row>
    <row r="182" spans="1:13" ht="30" customHeight="1">
      <c r="A182" s="5" t="s">
        <v>13</v>
      </c>
      <c r="B182" s="30" t="s">
        <v>390</v>
      </c>
      <c r="C182" s="30" t="s">
        <v>282</v>
      </c>
      <c r="D182" s="27">
        <v>30902.990109516581</v>
      </c>
      <c r="E182" s="28">
        <v>19116.313545474954</v>
      </c>
      <c r="F182" s="27">
        <f t="shared" si="5"/>
        <v>11786.676564041627</v>
      </c>
      <c r="G182" s="27">
        <f t="shared" si="4"/>
        <v>38.140893558425979</v>
      </c>
      <c r="H182" s="29">
        <v>17</v>
      </c>
      <c r="I182" s="29">
        <v>3</v>
      </c>
      <c r="J182" s="12" t="s">
        <v>23</v>
      </c>
      <c r="K182" s="30">
        <v>40.851741666700001</v>
      </c>
      <c r="L182" s="30">
        <v>72.133139999999997</v>
      </c>
      <c r="M182" s="20">
        <v>100</v>
      </c>
    </row>
    <row r="183" spans="1:13" ht="30" customHeight="1">
      <c r="A183" s="5" t="s">
        <v>13</v>
      </c>
      <c r="B183" s="30" t="s">
        <v>389</v>
      </c>
      <c r="C183" s="30" t="s">
        <v>283</v>
      </c>
      <c r="D183" s="27">
        <v>31625.01489951658</v>
      </c>
      <c r="E183" s="28">
        <v>19707.226878808287</v>
      </c>
      <c r="F183" s="27">
        <f t="shared" si="5"/>
        <v>11917.788020708293</v>
      </c>
      <c r="G183" s="27">
        <f t="shared" si="4"/>
        <v>37.68468744939775</v>
      </c>
      <c r="H183" s="29">
        <v>73</v>
      </c>
      <c r="I183" s="29">
        <v>4</v>
      </c>
      <c r="J183" s="12" t="s">
        <v>23</v>
      </c>
      <c r="K183" s="30">
        <v>40.878543333300001</v>
      </c>
      <c r="L183" s="30">
        <v>72.055769999999995</v>
      </c>
      <c r="M183" s="20">
        <v>250</v>
      </c>
    </row>
    <row r="184" spans="1:13" ht="30" customHeight="1">
      <c r="A184" s="5" t="s">
        <v>13</v>
      </c>
      <c r="B184" s="30" t="s">
        <v>385</v>
      </c>
      <c r="C184" s="30" t="s">
        <v>284</v>
      </c>
      <c r="D184" s="27">
        <v>32903.540869516582</v>
      </c>
      <c r="E184" s="28">
        <v>20765.920378808289</v>
      </c>
      <c r="F184" s="27">
        <f t="shared" si="5"/>
        <v>12137.620490708294</v>
      </c>
      <c r="G184" s="27">
        <f t="shared" si="4"/>
        <v>36.888493365627909</v>
      </c>
      <c r="H184" s="29">
        <v>86</v>
      </c>
      <c r="I184" s="29">
        <v>3</v>
      </c>
      <c r="J184" s="12" t="s">
        <v>23</v>
      </c>
      <c r="K184" s="30">
        <v>40.863901666700002</v>
      </c>
      <c r="L184" s="30">
        <v>71.990183333299996</v>
      </c>
      <c r="M184" s="20">
        <v>100</v>
      </c>
    </row>
    <row r="185" spans="1:13" ht="30" customHeight="1">
      <c r="A185" s="5" t="s">
        <v>13</v>
      </c>
      <c r="B185" s="30" t="s">
        <v>384</v>
      </c>
      <c r="C185" s="30" t="s">
        <v>112</v>
      </c>
      <c r="D185" s="27">
        <v>31641.504709516583</v>
      </c>
      <c r="E185" s="28">
        <v>19804.106045474953</v>
      </c>
      <c r="F185" s="27">
        <f t="shared" si="5"/>
        <v>11837.39866404163</v>
      </c>
      <c r="G185" s="27">
        <f t="shared" si="4"/>
        <v>37.410985263546529</v>
      </c>
      <c r="H185" s="29">
        <v>83</v>
      </c>
      <c r="I185" s="29">
        <v>6</v>
      </c>
      <c r="J185" s="12" t="s">
        <v>19</v>
      </c>
      <c r="K185" s="30">
        <v>40.877413333299998</v>
      </c>
      <c r="L185" s="30">
        <v>71.930764999999994</v>
      </c>
      <c r="M185" s="20">
        <v>160</v>
      </c>
    </row>
    <row r="186" spans="1:13" ht="30" customHeight="1">
      <c r="A186" s="5" t="s">
        <v>13</v>
      </c>
      <c r="B186" s="30" t="s">
        <v>388</v>
      </c>
      <c r="C186" s="30" t="s">
        <v>285</v>
      </c>
      <c r="D186" s="27">
        <v>28711.71750951658</v>
      </c>
      <c r="E186" s="28">
        <v>17093.404378808289</v>
      </c>
      <c r="F186" s="27">
        <f t="shared" si="5"/>
        <v>11618.313130708291</v>
      </c>
      <c r="G186" s="27">
        <f t="shared" si="4"/>
        <v>40.465406246969962</v>
      </c>
      <c r="H186" s="29">
        <v>36</v>
      </c>
      <c r="I186" s="29">
        <v>3</v>
      </c>
      <c r="J186" s="12" t="s">
        <v>19</v>
      </c>
      <c r="K186" s="30">
        <v>40.874026666600002</v>
      </c>
      <c r="L186" s="30">
        <v>72.094549999700007</v>
      </c>
      <c r="M186" s="20">
        <v>160</v>
      </c>
    </row>
    <row r="187" spans="1:13" ht="30" customHeight="1">
      <c r="A187" s="5" t="s">
        <v>13</v>
      </c>
      <c r="B187" s="30" t="s">
        <v>387</v>
      </c>
      <c r="C187" s="30" t="s">
        <v>286</v>
      </c>
      <c r="D187" s="27">
        <v>38329.037169516581</v>
      </c>
      <c r="E187" s="28">
        <v>25501.737212141623</v>
      </c>
      <c r="F187" s="27">
        <f t="shared" si="5"/>
        <v>12827.299957374958</v>
      </c>
      <c r="G187" s="27">
        <f t="shared" si="4"/>
        <v>33.466272321540657</v>
      </c>
      <c r="H187" s="29">
        <v>43</v>
      </c>
      <c r="I187" s="29">
        <v>6</v>
      </c>
      <c r="J187" s="12" t="s">
        <v>19</v>
      </c>
      <c r="K187" s="30">
        <v>40.8828566667</v>
      </c>
      <c r="L187" s="30">
        <v>71.988209999999995</v>
      </c>
      <c r="M187" s="20">
        <v>160</v>
      </c>
    </row>
    <row r="188" spans="1:13" ht="30" customHeight="1">
      <c r="A188" s="5" t="s">
        <v>13</v>
      </c>
      <c r="B188" s="30" t="s">
        <v>390</v>
      </c>
      <c r="C188" s="30" t="s">
        <v>287</v>
      </c>
      <c r="D188" s="27">
        <v>31483.455896516582</v>
      </c>
      <c r="E188" s="28">
        <v>19735.602545474954</v>
      </c>
      <c r="F188" s="27">
        <f t="shared" si="5"/>
        <v>11747.853351041627</v>
      </c>
      <c r="G188" s="27">
        <f t="shared" si="4"/>
        <v>37.314370409829891</v>
      </c>
      <c r="H188" s="29">
        <v>61</v>
      </c>
      <c r="I188" s="29">
        <v>3</v>
      </c>
      <c r="J188" s="12" t="s">
        <v>19</v>
      </c>
      <c r="K188" s="30">
        <v>40.859856666699997</v>
      </c>
      <c r="L188" s="30">
        <v>72.077610000000007</v>
      </c>
      <c r="M188" s="20">
        <v>63</v>
      </c>
    </row>
    <row r="189" spans="1:13" ht="30" customHeight="1">
      <c r="A189" s="5" t="s">
        <v>13</v>
      </c>
      <c r="B189" s="30" t="s">
        <v>391</v>
      </c>
      <c r="C189" s="30" t="s">
        <v>288</v>
      </c>
      <c r="D189" s="27">
        <v>31984.106179516577</v>
      </c>
      <c r="E189" s="28">
        <v>20086.534545474955</v>
      </c>
      <c r="F189" s="27">
        <f t="shared" si="5"/>
        <v>11897.571634041622</v>
      </c>
      <c r="G189" s="27">
        <f t="shared" si="4"/>
        <v>37.198387121604561</v>
      </c>
      <c r="H189" s="29">
        <v>73</v>
      </c>
      <c r="I189" s="29">
        <v>3</v>
      </c>
      <c r="J189" s="12" t="s">
        <v>23</v>
      </c>
      <c r="K189" s="30">
        <v>40.848528333300003</v>
      </c>
      <c r="L189" s="30">
        <v>72.072953333300006</v>
      </c>
      <c r="M189" s="20">
        <v>100</v>
      </c>
    </row>
    <row r="190" spans="1:13" ht="30" customHeight="1">
      <c r="A190" s="5" t="s">
        <v>13</v>
      </c>
      <c r="B190" s="30" t="s">
        <v>390</v>
      </c>
      <c r="C190" s="30" t="s">
        <v>289</v>
      </c>
      <c r="D190" s="27">
        <v>31163.344649516577</v>
      </c>
      <c r="E190" s="28">
        <v>19455.540212141619</v>
      </c>
      <c r="F190" s="27">
        <f t="shared" si="5"/>
        <v>11707.804437374958</v>
      </c>
      <c r="G190" s="27">
        <f t="shared" si="4"/>
        <v>37.569152377732905</v>
      </c>
      <c r="H190" s="29">
        <v>45</v>
      </c>
      <c r="I190" s="29">
        <v>4</v>
      </c>
      <c r="J190" s="12" t="s">
        <v>19</v>
      </c>
      <c r="K190" s="30">
        <v>40.877876666699997</v>
      </c>
      <c r="L190" s="30">
        <v>72.082390000000004</v>
      </c>
      <c r="M190" s="20">
        <v>100</v>
      </c>
    </row>
    <row r="191" spans="1:13" ht="30" customHeight="1">
      <c r="A191" s="5" t="s">
        <v>13</v>
      </c>
      <c r="B191" s="30" t="s">
        <v>384</v>
      </c>
      <c r="C191" s="30" t="s">
        <v>97</v>
      </c>
      <c r="D191" s="27">
        <v>29036.873989516578</v>
      </c>
      <c r="E191" s="28">
        <v>17373.392878808289</v>
      </c>
      <c r="F191" s="27">
        <f t="shared" si="5"/>
        <v>11663.48111070829</v>
      </c>
      <c r="G191" s="27">
        <f t="shared" si="4"/>
        <v>40.167826312568124</v>
      </c>
      <c r="H191" s="29">
        <v>28</v>
      </c>
      <c r="I191" s="29">
        <v>3</v>
      </c>
      <c r="J191" s="12" t="s">
        <v>19</v>
      </c>
      <c r="K191" s="30">
        <v>40.864673333299997</v>
      </c>
      <c r="L191" s="30">
        <v>71.946511666700005</v>
      </c>
      <c r="M191" s="20">
        <v>100</v>
      </c>
    </row>
    <row r="192" spans="1:13" ht="30" customHeight="1">
      <c r="A192" s="5" t="s">
        <v>30</v>
      </c>
      <c r="B192" s="30" t="s">
        <v>385</v>
      </c>
      <c r="C192" s="30" t="s">
        <v>290</v>
      </c>
      <c r="D192" s="27">
        <v>36807.312239516585</v>
      </c>
      <c r="E192" s="28">
        <v>24176.805545474956</v>
      </c>
      <c r="F192" s="27">
        <f t="shared" si="5"/>
        <v>12630.506694041629</v>
      </c>
      <c r="G192" s="27">
        <f t="shared" si="4"/>
        <v>34.315210553411262</v>
      </c>
      <c r="H192" s="29">
        <v>70</v>
      </c>
      <c r="I192" s="29">
        <v>4</v>
      </c>
      <c r="J192" s="12" t="s">
        <v>33</v>
      </c>
      <c r="K192" s="30">
        <v>40.865333333300001</v>
      </c>
      <c r="L192" s="30">
        <v>71.986301666700001</v>
      </c>
      <c r="M192" s="20">
        <v>160</v>
      </c>
    </row>
    <row r="193" spans="1:13" ht="30" customHeight="1">
      <c r="A193" s="5" t="s">
        <v>30</v>
      </c>
      <c r="B193" s="30" t="s">
        <v>388</v>
      </c>
      <c r="C193" s="30" t="s">
        <v>291</v>
      </c>
      <c r="D193" s="27">
        <v>31097.801499516579</v>
      </c>
      <c r="E193" s="28">
        <v>19169.42671214162</v>
      </c>
      <c r="F193" s="27">
        <f t="shared" si="5"/>
        <v>11928.37478737496</v>
      </c>
      <c r="G193" s="27">
        <f t="shared" si="4"/>
        <v>38.357614404222076</v>
      </c>
      <c r="H193" s="29">
        <v>94</v>
      </c>
      <c r="I193" s="29">
        <v>3</v>
      </c>
      <c r="J193" s="12" t="s">
        <v>42</v>
      </c>
      <c r="K193" s="30">
        <v>40.872945000000001</v>
      </c>
      <c r="L193" s="30">
        <v>72.003528333299997</v>
      </c>
      <c r="M193" s="21">
        <v>250</v>
      </c>
    </row>
    <row r="194" spans="1:13" ht="30" customHeight="1">
      <c r="A194" s="5" t="s">
        <v>30</v>
      </c>
      <c r="B194" s="30" t="s">
        <v>384</v>
      </c>
      <c r="C194" s="30" t="s">
        <v>116</v>
      </c>
      <c r="D194" s="27">
        <v>42563.807479516581</v>
      </c>
      <c r="E194" s="28">
        <v>29317.612378808284</v>
      </c>
      <c r="F194" s="27">
        <f t="shared" si="5"/>
        <v>13246.195100708297</v>
      </c>
      <c r="G194" s="27">
        <f t="shared" si="4"/>
        <v>31.120794602510358</v>
      </c>
      <c r="H194" s="29">
        <v>94</v>
      </c>
      <c r="I194" s="29">
        <v>7</v>
      </c>
      <c r="J194" s="12" t="s">
        <v>42</v>
      </c>
      <c r="K194" s="30">
        <v>40.890994999999997</v>
      </c>
      <c r="L194" s="30">
        <v>71.932898333300002</v>
      </c>
      <c r="M194" s="20">
        <v>400</v>
      </c>
    </row>
    <row r="195" spans="1:13" ht="30" customHeight="1">
      <c r="A195" s="5" t="s">
        <v>30</v>
      </c>
      <c r="B195" s="30" t="s">
        <v>389</v>
      </c>
      <c r="C195" s="30" t="s">
        <v>292</v>
      </c>
      <c r="D195" s="27">
        <v>28104.113199516582</v>
      </c>
      <c r="E195" s="28">
        <v>16552.200212141623</v>
      </c>
      <c r="F195" s="27">
        <f t="shared" si="5"/>
        <v>11551.912987374959</v>
      </c>
      <c r="G195" s="27">
        <f t="shared" ref="G195:G258" si="6">+F195*100/D195</f>
        <v>41.103993943397803</v>
      </c>
      <c r="H195" s="29">
        <v>15</v>
      </c>
      <c r="I195" s="29">
        <v>3</v>
      </c>
      <c r="J195" s="12" t="s">
        <v>42</v>
      </c>
      <c r="K195" s="30">
        <v>40.87829</v>
      </c>
      <c r="L195" s="30">
        <v>72.038823333300002</v>
      </c>
      <c r="M195" s="20">
        <v>160</v>
      </c>
    </row>
    <row r="196" spans="1:13" ht="30" customHeight="1">
      <c r="A196" s="5" t="s">
        <v>30</v>
      </c>
      <c r="B196" s="30" t="s">
        <v>392</v>
      </c>
      <c r="C196" s="30" t="s">
        <v>293</v>
      </c>
      <c r="D196" s="27">
        <v>29987.020539516576</v>
      </c>
      <c r="E196" s="28">
        <v>18316.863712141618</v>
      </c>
      <c r="F196" s="27">
        <f t="shared" si="5"/>
        <v>11670.156827374958</v>
      </c>
      <c r="G196" s="27">
        <f t="shared" si="6"/>
        <v>38.917360302588747</v>
      </c>
      <c r="H196" s="29">
        <v>80</v>
      </c>
      <c r="I196" s="29">
        <v>7</v>
      </c>
      <c r="J196" s="12" t="s">
        <v>51</v>
      </c>
      <c r="K196" s="30">
        <v>40.838336666700002</v>
      </c>
      <c r="L196" s="30">
        <v>72.207795000000004</v>
      </c>
      <c r="M196" s="20">
        <v>100</v>
      </c>
    </row>
    <row r="197" spans="1:13" ht="30" customHeight="1">
      <c r="A197" s="5" t="s">
        <v>30</v>
      </c>
      <c r="B197" s="30" t="s">
        <v>392</v>
      </c>
      <c r="C197" s="30" t="s">
        <v>294</v>
      </c>
      <c r="D197" s="27">
        <v>30899.509279516576</v>
      </c>
      <c r="E197" s="28">
        <v>19083.776545474953</v>
      </c>
      <c r="F197" s="27">
        <f t="shared" ref="F197:F260" si="7">+D197-E197</f>
        <v>11815.732734041623</v>
      </c>
      <c r="G197" s="27">
        <f t="shared" si="6"/>
        <v>38.23922453640494</v>
      </c>
      <c r="H197" s="29">
        <v>67</v>
      </c>
      <c r="I197" s="29">
        <v>3</v>
      </c>
      <c r="J197" s="12" t="s">
        <v>51</v>
      </c>
      <c r="K197" s="30">
        <v>40.839168333300002</v>
      </c>
      <c r="L197" s="30">
        <v>72.209829999999997</v>
      </c>
      <c r="M197" s="20">
        <v>100</v>
      </c>
    </row>
    <row r="198" spans="1:13" ht="30" customHeight="1">
      <c r="A198" s="5" t="s">
        <v>30</v>
      </c>
      <c r="B198" s="30" t="s">
        <v>388</v>
      </c>
      <c r="C198" s="30" t="s">
        <v>295</v>
      </c>
      <c r="D198" s="27">
        <v>32925.610449516578</v>
      </c>
      <c r="E198" s="28">
        <v>20762.789545474952</v>
      </c>
      <c r="F198" s="27">
        <f t="shared" si="7"/>
        <v>12162.820904041626</v>
      </c>
      <c r="G198" s="27">
        <f t="shared" si="6"/>
        <v>36.940304941924637</v>
      </c>
      <c r="H198" s="29">
        <v>93</v>
      </c>
      <c r="I198" s="29">
        <v>4</v>
      </c>
      <c r="J198" s="12" t="s">
        <v>51</v>
      </c>
      <c r="K198" s="30">
        <v>40.875433333300002</v>
      </c>
      <c r="L198" s="30">
        <v>72.019919999999999</v>
      </c>
      <c r="M198" s="20">
        <v>160</v>
      </c>
    </row>
    <row r="199" spans="1:13" ht="30" customHeight="1">
      <c r="A199" s="5" t="s">
        <v>30</v>
      </c>
      <c r="B199" s="30" t="s">
        <v>388</v>
      </c>
      <c r="C199" s="30" t="s">
        <v>296</v>
      </c>
      <c r="D199" s="27">
        <v>29046.118669516582</v>
      </c>
      <c r="E199" s="28">
        <v>17548.814045474955</v>
      </c>
      <c r="F199" s="27">
        <f t="shared" si="7"/>
        <v>11497.304624041626</v>
      </c>
      <c r="G199" s="27">
        <f t="shared" si="6"/>
        <v>39.582929323041895</v>
      </c>
      <c r="H199" s="29">
        <v>14</v>
      </c>
      <c r="I199" s="29">
        <v>4</v>
      </c>
      <c r="J199" s="12" t="s">
        <v>51</v>
      </c>
      <c r="K199" s="30">
        <v>40.874026666600002</v>
      </c>
      <c r="L199" s="30">
        <v>72.094549999700007</v>
      </c>
      <c r="M199" s="20">
        <v>250</v>
      </c>
    </row>
    <row r="200" spans="1:13" ht="30" customHeight="1">
      <c r="A200" s="5" t="s">
        <v>30</v>
      </c>
      <c r="B200" s="30" t="s">
        <v>386</v>
      </c>
      <c r="C200" s="30" t="s">
        <v>297</v>
      </c>
      <c r="D200" s="27">
        <v>29733.991259516581</v>
      </c>
      <c r="E200" s="28">
        <v>18149.986212141619</v>
      </c>
      <c r="F200" s="27">
        <f t="shared" si="7"/>
        <v>11584.005047374962</v>
      </c>
      <c r="G200" s="27">
        <f t="shared" si="6"/>
        <v>38.958796167895613</v>
      </c>
      <c r="H200" s="29">
        <v>47</v>
      </c>
      <c r="I200" s="29">
        <v>3</v>
      </c>
      <c r="J200" s="12"/>
      <c r="K200" s="30">
        <v>40.872078333300003</v>
      </c>
      <c r="L200" s="30">
        <v>71.959788333299997</v>
      </c>
      <c r="M200" s="20">
        <v>63</v>
      </c>
    </row>
    <row r="201" spans="1:13" ht="30" customHeight="1">
      <c r="A201" s="5" t="s">
        <v>30</v>
      </c>
      <c r="B201" s="30" t="s">
        <v>387</v>
      </c>
      <c r="C201" s="30" t="s">
        <v>298</v>
      </c>
      <c r="D201" s="27">
        <v>28761.868139516577</v>
      </c>
      <c r="E201" s="28">
        <v>17132.151712141618</v>
      </c>
      <c r="F201" s="27">
        <f t="shared" si="7"/>
        <v>11629.716427374959</v>
      </c>
      <c r="G201" s="27">
        <f t="shared" si="6"/>
        <v>40.434496017303658</v>
      </c>
      <c r="H201" s="29">
        <v>40</v>
      </c>
      <c r="I201" s="29">
        <v>3</v>
      </c>
      <c r="J201" s="12" t="s">
        <v>52</v>
      </c>
      <c r="K201" s="30">
        <v>40.885644999999997</v>
      </c>
      <c r="L201" s="30">
        <v>71.975255000000004</v>
      </c>
      <c r="M201" s="20">
        <v>250</v>
      </c>
    </row>
    <row r="202" spans="1:13" ht="30" customHeight="1">
      <c r="A202" s="19" t="s">
        <v>30</v>
      </c>
      <c r="B202" s="30" t="s">
        <v>387</v>
      </c>
      <c r="C202" s="30" t="s">
        <v>299</v>
      </c>
      <c r="D202" s="27">
        <v>28107.181199516581</v>
      </c>
      <c r="E202" s="28">
        <v>16567.065712141622</v>
      </c>
      <c r="F202" s="27">
        <f t="shared" si="7"/>
        <v>11540.115487374958</v>
      </c>
      <c r="G202" s="27">
        <f t="shared" si="6"/>
        <v>41.057534035371141</v>
      </c>
      <c r="H202" s="29">
        <v>35</v>
      </c>
      <c r="I202" s="29">
        <v>4</v>
      </c>
      <c r="J202" s="13" t="s">
        <v>52</v>
      </c>
      <c r="K202" s="30">
        <v>40.883506666700001</v>
      </c>
      <c r="L202" s="30">
        <v>71.977718333300004</v>
      </c>
      <c r="M202" s="20">
        <v>250</v>
      </c>
    </row>
    <row r="203" spans="1:13" ht="30" customHeight="1">
      <c r="A203" s="19" t="s">
        <v>30</v>
      </c>
      <c r="B203" s="30" t="s">
        <v>389</v>
      </c>
      <c r="C203" s="30" t="s">
        <v>300</v>
      </c>
      <c r="D203" s="27">
        <v>26521.184379516577</v>
      </c>
      <c r="E203" s="28">
        <v>15173.08071214162</v>
      </c>
      <c r="F203" s="27">
        <f t="shared" si="7"/>
        <v>11348.103667374957</v>
      </c>
      <c r="G203" s="27">
        <f t="shared" si="6"/>
        <v>42.788826867549602</v>
      </c>
      <c r="H203" s="29">
        <v>17</v>
      </c>
      <c r="I203" s="29">
        <v>4</v>
      </c>
      <c r="J203" s="13" t="s">
        <v>52</v>
      </c>
      <c r="K203" s="30">
        <v>40.877465000000001</v>
      </c>
      <c r="L203" s="30">
        <v>72.08811</v>
      </c>
      <c r="M203" s="20">
        <v>250</v>
      </c>
    </row>
    <row r="204" spans="1:13" ht="30" customHeight="1">
      <c r="A204" s="19" t="s">
        <v>30</v>
      </c>
      <c r="B204" s="30" t="s">
        <v>390</v>
      </c>
      <c r="C204" s="30" t="s">
        <v>301</v>
      </c>
      <c r="D204" s="27">
        <v>36850.325649516584</v>
      </c>
      <c r="E204" s="28">
        <v>24390.746378808286</v>
      </c>
      <c r="F204" s="27">
        <f t="shared" si="7"/>
        <v>12459.579270708298</v>
      </c>
      <c r="G204" s="27">
        <f t="shared" si="6"/>
        <v>33.811313878773682</v>
      </c>
      <c r="H204" s="29">
        <v>80</v>
      </c>
      <c r="I204" s="29">
        <v>3</v>
      </c>
      <c r="J204" s="13" t="s">
        <v>53</v>
      </c>
      <c r="K204" s="30">
        <v>40.861406666699999</v>
      </c>
      <c r="L204" s="30">
        <v>72.060223333300002</v>
      </c>
      <c r="M204" s="20">
        <v>100</v>
      </c>
    </row>
    <row r="205" spans="1:13" ht="30" customHeight="1">
      <c r="A205" s="19" t="s">
        <v>30</v>
      </c>
      <c r="B205" s="30" t="s">
        <v>388</v>
      </c>
      <c r="C205" s="30" t="s">
        <v>302</v>
      </c>
      <c r="D205" s="27">
        <v>29800.88170951658</v>
      </c>
      <c r="E205" s="28">
        <v>18039.89271214162</v>
      </c>
      <c r="F205" s="27">
        <f t="shared" si="7"/>
        <v>11760.98899737496</v>
      </c>
      <c r="G205" s="27">
        <f t="shared" si="6"/>
        <v>39.465238351049251</v>
      </c>
      <c r="H205" s="29">
        <v>59</v>
      </c>
      <c r="I205" s="29">
        <v>3</v>
      </c>
      <c r="J205" s="13" t="s">
        <v>53</v>
      </c>
      <c r="K205" s="30">
        <v>40.876036666700003</v>
      </c>
      <c r="L205" s="30">
        <v>72.012455000000003</v>
      </c>
      <c r="M205" s="20">
        <v>63</v>
      </c>
    </row>
    <row r="206" spans="1:13" ht="30" customHeight="1">
      <c r="A206" s="19" t="s">
        <v>30</v>
      </c>
      <c r="B206" s="30" t="s">
        <v>387</v>
      </c>
      <c r="C206" s="30" t="s">
        <v>303</v>
      </c>
      <c r="D206" s="27">
        <v>50972.511099516581</v>
      </c>
      <c r="E206" s="28">
        <v>36763.424545474947</v>
      </c>
      <c r="F206" s="27">
        <f t="shared" si="7"/>
        <v>14209.086554041634</v>
      </c>
      <c r="G206" s="27">
        <f t="shared" si="6"/>
        <v>27.875979125886918</v>
      </c>
      <c r="H206" s="29">
        <v>130</v>
      </c>
      <c r="I206" s="29">
        <v>3</v>
      </c>
      <c r="J206" s="13" t="s">
        <v>53</v>
      </c>
      <c r="K206" s="30">
        <v>40.878603333299999</v>
      </c>
      <c r="L206" s="30">
        <v>71.971546666699993</v>
      </c>
      <c r="M206" s="20">
        <v>100</v>
      </c>
    </row>
    <row r="207" spans="1:13" ht="30" customHeight="1">
      <c r="A207" s="19" t="s">
        <v>30</v>
      </c>
      <c r="B207" s="30" t="s">
        <v>388</v>
      </c>
      <c r="C207" s="30" t="s">
        <v>304</v>
      </c>
      <c r="D207" s="27">
        <v>28636.95658951658</v>
      </c>
      <c r="E207" s="28">
        <v>17013.892045474953</v>
      </c>
      <c r="F207" s="27">
        <f t="shared" si="7"/>
        <v>11623.064544041627</v>
      </c>
      <c r="G207" s="27">
        <f t="shared" si="6"/>
        <v>40.587638940293672</v>
      </c>
      <c r="H207" s="29">
        <v>43</v>
      </c>
      <c r="I207" s="29">
        <v>3</v>
      </c>
      <c r="J207" s="13" t="s">
        <v>53</v>
      </c>
      <c r="K207" s="30">
        <v>40.877144999999999</v>
      </c>
      <c r="L207" s="30">
        <v>72.008285000000001</v>
      </c>
      <c r="M207" s="20">
        <v>160</v>
      </c>
    </row>
    <row r="208" spans="1:13" ht="30" customHeight="1">
      <c r="A208" s="19" t="s">
        <v>30</v>
      </c>
      <c r="B208" s="30" t="s">
        <v>389</v>
      </c>
      <c r="C208" s="30" t="s">
        <v>305</v>
      </c>
      <c r="D208" s="27">
        <v>32533.028279516577</v>
      </c>
      <c r="E208" s="28">
        <v>20519.979378808286</v>
      </c>
      <c r="F208" s="27">
        <f t="shared" si="7"/>
        <v>12013.048900708291</v>
      </c>
      <c r="G208" s="27">
        <f t="shared" si="6"/>
        <v>36.925701467120838</v>
      </c>
      <c r="H208" s="29">
        <v>109</v>
      </c>
      <c r="I208" s="29">
        <v>3</v>
      </c>
      <c r="J208" s="13" t="s">
        <v>53</v>
      </c>
      <c r="K208" s="30">
        <v>40.881168333300003</v>
      </c>
      <c r="L208" s="30">
        <v>72.049769999999995</v>
      </c>
      <c r="M208" s="20">
        <v>160</v>
      </c>
    </row>
    <row r="209" spans="1:13" ht="30" customHeight="1">
      <c r="A209" s="19" t="s">
        <v>30</v>
      </c>
      <c r="B209" s="30" t="s">
        <v>390</v>
      </c>
      <c r="C209" s="30" t="s">
        <v>306</v>
      </c>
      <c r="D209" s="27">
        <v>27638.39333951658</v>
      </c>
      <c r="E209" s="28">
        <v>16135.770545474954</v>
      </c>
      <c r="F209" s="27">
        <f t="shared" si="7"/>
        <v>11502.622794041627</v>
      </c>
      <c r="G209" s="27">
        <f t="shared" si="6"/>
        <v>41.618275898821899</v>
      </c>
      <c r="H209" s="29">
        <v>76</v>
      </c>
      <c r="I209" s="29">
        <v>10</v>
      </c>
      <c r="J209" s="13" t="s">
        <v>53</v>
      </c>
      <c r="K209" s="30">
        <v>40.850251666699997</v>
      </c>
      <c r="L209" s="30">
        <v>72.055284999999998</v>
      </c>
      <c r="M209" s="20">
        <v>250</v>
      </c>
    </row>
    <row r="210" spans="1:13" ht="30" customHeight="1">
      <c r="A210" s="19" t="s">
        <v>30</v>
      </c>
      <c r="B210" s="30" t="s">
        <v>389</v>
      </c>
      <c r="C210" s="30" t="s">
        <v>307</v>
      </c>
      <c r="D210" s="27">
        <v>35500.157159516588</v>
      </c>
      <c r="E210" s="28">
        <v>23249.776878808287</v>
      </c>
      <c r="F210" s="27">
        <f t="shared" si="7"/>
        <v>12250.380280708301</v>
      </c>
      <c r="G210" s="27">
        <f t="shared" si="6"/>
        <v>34.507960699053747</v>
      </c>
      <c r="H210" s="29">
        <v>47</v>
      </c>
      <c r="I210" s="29">
        <v>3</v>
      </c>
      <c r="J210" s="13" t="s">
        <v>53</v>
      </c>
      <c r="K210" s="30">
        <v>40.8797483333</v>
      </c>
      <c r="L210" s="30">
        <v>72.029821666700002</v>
      </c>
      <c r="M210" s="20">
        <v>40</v>
      </c>
    </row>
    <row r="211" spans="1:13" ht="30" customHeight="1">
      <c r="A211" s="19" t="s">
        <v>30</v>
      </c>
      <c r="B211" s="30" t="s">
        <v>387</v>
      </c>
      <c r="C211" s="30" t="s">
        <v>308</v>
      </c>
      <c r="D211" s="27">
        <v>33866.497739516577</v>
      </c>
      <c r="E211" s="28">
        <v>21820.503545474952</v>
      </c>
      <c r="F211" s="27">
        <f t="shared" si="7"/>
        <v>12045.994194041625</v>
      </c>
      <c r="G211" s="27">
        <f t="shared" si="6"/>
        <v>35.569057912905919</v>
      </c>
      <c r="H211" s="29">
        <v>40</v>
      </c>
      <c r="I211" s="29">
        <v>3</v>
      </c>
      <c r="J211" s="13" t="s">
        <v>49</v>
      </c>
      <c r="K211" s="30">
        <v>40.87462</v>
      </c>
      <c r="L211" s="30">
        <v>71.975811666699997</v>
      </c>
      <c r="M211" s="20">
        <v>250</v>
      </c>
    </row>
    <row r="212" spans="1:13" ht="30" customHeight="1">
      <c r="A212" s="19" t="s">
        <v>30</v>
      </c>
      <c r="B212" s="30" t="s">
        <v>392</v>
      </c>
      <c r="C212" s="30" t="s">
        <v>309</v>
      </c>
      <c r="D212" s="27">
        <v>27234.952889516579</v>
      </c>
      <c r="E212" s="28">
        <v>15788.574378808287</v>
      </c>
      <c r="F212" s="27">
        <f t="shared" si="7"/>
        <v>11446.378510708291</v>
      </c>
      <c r="G212" s="27">
        <f t="shared" si="6"/>
        <v>42.028266239866682</v>
      </c>
      <c r="H212" s="29">
        <v>52</v>
      </c>
      <c r="I212" s="29">
        <v>4</v>
      </c>
      <c r="J212" s="13" t="s">
        <v>49</v>
      </c>
      <c r="K212" s="30">
        <v>40.841295000000002</v>
      </c>
      <c r="L212" s="30">
        <v>72.169233333299999</v>
      </c>
      <c r="M212" s="20">
        <v>63</v>
      </c>
    </row>
    <row r="213" spans="1:13" ht="30" customHeight="1">
      <c r="A213" s="19" t="s">
        <v>30</v>
      </c>
      <c r="B213" s="30" t="s">
        <v>389</v>
      </c>
      <c r="C213" s="30" t="s">
        <v>310</v>
      </c>
      <c r="D213" s="27">
        <v>30641.827719516579</v>
      </c>
      <c r="E213" s="28">
        <v>18762.806045474954</v>
      </c>
      <c r="F213" s="27">
        <f t="shared" si="7"/>
        <v>11879.021674041625</v>
      </c>
      <c r="G213" s="27">
        <f t="shared" si="6"/>
        <v>38.767340456246892</v>
      </c>
      <c r="H213" s="29">
        <v>59</v>
      </c>
      <c r="I213" s="29">
        <v>4</v>
      </c>
      <c r="J213" s="13" t="s">
        <v>54</v>
      </c>
      <c r="K213" s="30">
        <v>40.8741466667</v>
      </c>
      <c r="L213" s="30">
        <v>72.027926666699997</v>
      </c>
      <c r="M213" s="20">
        <v>25</v>
      </c>
    </row>
    <row r="214" spans="1:13" ht="30" customHeight="1">
      <c r="A214" s="19" t="s">
        <v>30</v>
      </c>
      <c r="B214" s="30" t="s">
        <v>392</v>
      </c>
      <c r="C214" s="30" t="s">
        <v>311</v>
      </c>
      <c r="D214" s="27">
        <v>27312.349979516581</v>
      </c>
      <c r="E214" s="28">
        <v>15865.905212141621</v>
      </c>
      <c r="F214" s="27">
        <f t="shared" si="7"/>
        <v>11446.44476737496</v>
      </c>
      <c r="G214" s="27">
        <f t="shared" si="6"/>
        <v>41.909410123843024</v>
      </c>
      <c r="H214" s="29">
        <v>47</v>
      </c>
      <c r="I214" s="29">
        <v>3</v>
      </c>
      <c r="J214" s="13" t="s">
        <v>52</v>
      </c>
      <c r="K214" s="30">
        <v>40.822923333299997</v>
      </c>
      <c r="L214" s="30">
        <v>72.176041666700002</v>
      </c>
      <c r="M214" s="20">
        <v>100</v>
      </c>
    </row>
    <row r="215" spans="1:13" ht="30" customHeight="1">
      <c r="A215" s="19" t="s">
        <v>30</v>
      </c>
      <c r="B215" s="30" t="s">
        <v>388</v>
      </c>
      <c r="C215" s="30" t="s">
        <v>312</v>
      </c>
      <c r="D215" s="27">
        <v>28776.611989516583</v>
      </c>
      <c r="E215" s="28">
        <v>17134.15187880829</v>
      </c>
      <c r="F215" s="27">
        <f t="shared" si="7"/>
        <v>11642.460110708293</v>
      </c>
      <c r="G215" s="27">
        <f t="shared" si="6"/>
        <v>40.458064051979719</v>
      </c>
      <c r="H215" s="29">
        <v>65</v>
      </c>
      <c r="I215" s="29">
        <v>3</v>
      </c>
      <c r="J215" s="13" t="s">
        <v>42</v>
      </c>
      <c r="K215" s="30">
        <v>40.871153333300001</v>
      </c>
      <c r="L215" s="30">
        <v>72.022553333299996</v>
      </c>
      <c r="M215" s="20">
        <v>250</v>
      </c>
    </row>
    <row r="216" spans="1:13" ht="30" customHeight="1">
      <c r="A216" s="19" t="s">
        <v>30</v>
      </c>
      <c r="B216" s="30" t="s">
        <v>389</v>
      </c>
      <c r="C216" s="30" t="s">
        <v>313</v>
      </c>
      <c r="D216" s="27">
        <v>39404.679479516584</v>
      </c>
      <c r="E216" s="28">
        <v>26433.830878808287</v>
      </c>
      <c r="F216" s="27">
        <f t="shared" si="7"/>
        <v>12970.848600708297</v>
      </c>
      <c r="G216" s="27">
        <f t="shared" si="6"/>
        <v>32.917026028471639</v>
      </c>
      <c r="H216" s="29">
        <v>88</v>
      </c>
      <c r="I216" s="29">
        <v>6</v>
      </c>
      <c r="J216" s="13" t="s">
        <v>27</v>
      </c>
      <c r="K216" s="30">
        <v>40.879914999999997</v>
      </c>
      <c r="L216" s="30">
        <v>72.089108333300004</v>
      </c>
      <c r="M216" s="20">
        <v>40</v>
      </c>
    </row>
    <row r="217" spans="1:13" ht="30" customHeight="1">
      <c r="A217" s="19" t="s">
        <v>30</v>
      </c>
      <c r="B217" s="30" t="s">
        <v>388</v>
      </c>
      <c r="C217" s="30" t="s">
        <v>314</v>
      </c>
      <c r="D217" s="27">
        <v>30737.35664951658</v>
      </c>
      <c r="E217" s="28">
        <v>19190.474878808287</v>
      </c>
      <c r="F217" s="27">
        <f t="shared" si="7"/>
        <v>11546.881770708293</v>
      </c>
      <c r="G217" s="27">
        <f t="shared" si="6"/>
        <v>37.56628099928006</v>
      </c>
      <c r="H217" s="29">
        <v>43</v>
      </c>
      <c r="I217" s="29">
        <v>4</v>
      </c>
      <c r="J217" s="13" t="s">
        <v>32</v>
      </c>
      <c r="K217" s="30">
        <v>40.876891666699997</v>
      </c>
      <c r="L217" s="30">
        <v>71.987205000000003</v>
      </c>
      <c r="M217" s="19">
        <v>160</v>
      </c>
    </row>
    <row r="218" spans="1:13" ht="30" customHeight="1">
      <c r="A218" s="19" t="s">
        <v>30</v>
      </c>
      <c r="B218" s="30" t="s">
        <v>388</v>
      </c>
      <c r="C218" s="30" t="s">
        <v>315</v>
      </c>
      <c r="D218" s="27">
        <v>30963.228689516578</v>
      </c>
      <c r="E218" s="28">
        <v>19388.088212141622</v>
      </c>
      <c r="F218" s="27">
        <f t="shared" si="7"/>
        <v>11575.140477374956</v>
      </c>
      <c r="G218" s="27">
        <f t="shared" si="6"/>
        <v>37.383506072459518</v>
      </c>
      <c r="H218" s="29">
        <v>34</v>
      </c>
      <c r="I218" s="29">
        <v>4</v>
      </c>
      <c r="J218" s="13"/>
      <c r="K218" s="30">
        <v>40.8787183333</v>
      </c>
      <c r="L218" s="30">
        <v>71.984646666700002</v>
      </c>
      <c r="M218" s="20">
        <v>160</v>
      </c>
    </row>
    <row r="219" spans="1:13" ht="30" customHeight="1">
      <c r="A219" s="19" t="s">
        <v>30</v>
      </c>
      <c r="B219" s="30" t="s">
        <v>392</v>
      </c>
      <c r="C219" s="30" t="s">
        <v>316</v>
      </c>
      <c r="D219" s="27">
        <v>33176.42720951658</v>
      </c>
      <c r="E219" s="28">
        <v>21324.394878808285</v>
      </c>
      <c r="F219" s="27">
        <f t="shared" si="7"/>
        <v>11852.032330708294</v>
      </c>
      <c r="G219" s="27">
        <f t="shared" si="6"/>
        <v>35.724257635881195</v>
      </c>
      <c r="H219" s="29">
        <v>87</v>
      </c>
      <c r="I219" s="29">
        <v>3</v>
      </c>
      <c r="J219" s="13"/>
      <c r="K219" s="30">
        <v>40.835000000000001</v>
      </c>
      <c r="L219" s="30">
        <v>72.206898333300003</v>
      </c>
      <c r="M219" s="20">
        <v>63</v>
      </c>
    </row>
    <row r="220" spans="1:13" ht="30" customHeight="1">
      <c r="A220" s="19" t="s">
        <v>30</v>
      </c>
      <c r="B220" s="30" t="s">
        <v>387</v>
      </c>
      <c r="C220" s="30" t="s">
        <v>317</v>
      </c>
      <c r="D220" s="27">
        <v>30708.11108951658</v>
      </c>
      <c r="E220" s="28">
        <v>19164.888212141621</v>
      </c>
      <c r="F220" s="27">
        <f t="shared" si="7"/>
        <v>11543.222877374959</v>
      </c>
      <c r="G220" s="27">
        <f t="shared" si="6"/>
        <v>37.590143020277438</v>
      </c>
      <c r="H220" s="29">
        <v>71</v>
      </c>
      <c r="I220" s="29">
        <v>4</v>
      </c>
      <c r="J220" s="13"/>
      <c r="K220" s="30">
        <v>40.880708333299999</v>
      </c>
      <c r="L220" s="30">
        <v>71.964420000000004</v>
      </c>
      <c r="M220" s="20">
        <v>63</v>
      </c>
    </row>
    <row r="221" spans="1:13" ht="30" customHeight="1">
      <c r="A221" s="19" t="s">
        <v>13</v>
      </c>
      <c r="B221" s="30" t="s">
        <v>386</v>
      </c>
      <c r="C221" s="30" t="s">
        <v>318</v>
      </c>
      <c r="D221" s="27">
        <v>51608.913839516579</v>
      </c>
      <c r="E221" s="28">
        <v>37450.804878808282</v>
      </c>
      <c r="F221" s="27">
        <f t="shared" si="7"/>
        <v>14158.108960708298</v>
      </c>
      <c r="G221" s="27">
        <f t="shared" si="6"/>
        <v>27.433456562822553</v>
      </c>
      <c r="H221" s="29">
        <v>62</v>
      </c>
      <c r="I221" s="29">
        <v>4</v>
      </c>
      <c r="J221" s="13"/>
      <c r="K221" s="30">
        <v>40.874901666699998</v>
      </c>
      <c r="L221" s="30">
        <v>71.967150000000004</v>
      </c>
      <c r="M221" s="20">
        <v>160</v>
      </c>
    </row>
    <row r="222" spans="1:13" ht="30" customHeight="1">
      <c r="A222" s="19" t="s">
        <v>30</v>
      </c>
      <c r="B222" s="30" t="s">
        <v>386</v>
      </c>
      <c r="C222" s="30" t="s">
        <v>319</v>
      </c>
      <c r="D222" s="27">
        <v>31619.021129516579</v>
      </c>
      <c r="E222" s="28">
        <v>19961.834878808288</v>
      </c>
      <c r="F222" s="27">
        <f t="shared" si="7"/>
        <v>11657.186250708291</v>
      </c>
      <c r="G222" s="27">
        <f t="shared" si="6"/>
        <v>36.867638004853433</v>
      </c>
      <c r="H222" s="29">
        <v>116</v>
      </c>
      <c r="I222" s="29">
        <v>7</v>
      </c>
      <c r="J222" s="13"/>
      <c r="K222" s="30">
        <v>40.869693333299999</v>
      </c>
      <c r="L222" s="30">
        <v>71.966144999999997</v>
      </c>
      <c r="M222" s="19">
        <v>160</v>
      </c>
    </row>
    <row r="223" spans="1:13" ht="30" customHeight="1">
      <c r="A223" s="19" t="s">
        <v>30</v>
      </c>
      <c r="B223" s="30" t="s">
        <v>384</v>
      </c>
      <c r="C223" s="30" t="s">
        <v>90</v>
      </c>
      <c r="D223" s="27">
        <v>30508.672829516581</v>
      </c>
      <c r="E223" s="28">
        <v>18990.401545474953</v>
      </c>
      <c r="F223" s="27">
        <f t="shared" si="7"/>
        <v>11518.271284041628</v>
      </c>
      <c r="G223" s="27">
        <f t="shared" si="6"/>
        <v>37.754088315824447</v>
      </c>
      <c r="H223" s="29">
        <v>77</v>
      </c>
      <c r="I223" s="29">
        <v>3</v>
      </c>
      <c r="J223" s="13" t="s">
        <v>39</v>
      </c>
      <c r="K223" s="30">
        <v>40.8802053239</v>
      </c>
      <c r="L223" s="30">
        <v>71.948066717000003</v>
      </c>
      <c r="M223" s="20">
        <v>100</v>
      </c>
    </row>
    <row r="224" spans="1:13" ht="30" customHeight="1">
      <c r="A224" s="19" t="s">
        <v>13</v>
      </c>
      <c r="B224" s="30" t="s">
        <v>392</v>
      </c>
      <c r="C224" s="30" t="s">
        <v>320</v>
      </c>
      <c r="D224" s="27">
        <v>32181.502859516579</v>
      </c>
      <c r="E224" s="28">
        <v>20453.944878808288</v>
      </c>
      <c r="F224" s="27">
        <f t="shared" si="7"/>
        <v>11727.55798070829</v>
      </c>
      <c r="G224" s="27">
        <f t="shared" si="6"/>
        <v>36.441921410268343</v>
      </c>
      <c r="H224" s="29">
        <v>32</v>
      </c>
      <c r="I224" s="29">
        <v>3</v>
      </c>
      <c r="J224" s="13" t="s">
        <v>23</v>
      </c>
      <c r="K224" s="30">
        <v>40.837551666700001</v>
      </c>
      <c r="L224" s="30">
        <v>72.172751666699995</v>
      </c>
      <c r="M224" s="20">
        <v>100</v>
      </c>
    </row>
    <row r="225" spans="1:13" ht="30" customHeight="1">
      <c r="A225" s="16" t="s">
        <v>13</v>
      </c>
      <c r="B225" s="30" t="s">
        <v>385</v>
      </c>
      <c r="C225" s="30" t="s">
        <v>321</v>
      </c>
      <c r="D225" s="27">
        <v>34056.739139516576</v>
      </c>
      <c r="E225" s="28">
        <v>22094.571545474952</v>
      </c>
      <c r="F225" s="27">
        <f t="shared" si="7"/>
        <v>11962.167594041624</v>
      </c>
      <c r="G225" s="27">
        <f t="shared" si="6"/>
        <v>35.124230611267571</v>
      </c>
      <c r="H225" s="29">
        <v>78</v>
      </c>
      <c r="I225" s="29">
        <v>5</v>
      </c>
      <c r="J225" s="15" t="s">
        <v>55</v>
      </c>
      <c r="K225" s="30">
        <v>40.857341666700002</v>
      </c>
      <c r="L225" s="30">
        <v>72.001365000000007</v>
      </c>
      <c r="M225" s="15">
        <v>1000</v>
      </c>
    </row>
    <row r="226" spans="1:13" ht="30" customHeight="1">
      <c r="A226" s="16" t="s">
        <v>13</v>
      </c>
      <c r="B226" s="30" t="s">
        <v>387</v>
      </c>
      <c r="C226" s="30" t="s">
        <v>322</v>
      </c>
      <c r="D226" s="27">
        <v>31227.604589516581</v>
      </c>
      <c r="E226" s="28">
        <v>19619.388212141621</v>
      </c>
      <c r="F226" s="27">
        <f t="shared" si="7"/>
        <v>11608.21637737496</v>
      </c>
      <c r="G226" s="27">
        <f t="shared" si="6"/>
        <v>37.172932506235057</v>
      </c>
      <c r="H226" s="29">
        <v>40</v>
      </c>
      <c r="I226" s="29">
        <v>3</v>
      </c>
      <c r="J226" s="15" t="s">
        <v>55</v>
      </c>
      <c r="K226" s="30">
        <v>40.883535000000002</v>
      </c>
      <c r="L226" s="30">
        <v>71.979993333300001</v>
      </c>
      <c r="M226" s="15">
        <v>630</v>
      </c>
    </row>
    <row r="227" spans="1:13" ht="30" customHeight="1">
      <c r="A227" s="16" t="s">
        <v>13</v>
      </c>
      <c r="B227" s="30" t="s">
        <v>390</v>
      </c>
      <c r="C227" s="30" t="s">
        <v>323</v>
      </c>
      <c r="D227" s="27">
        <v>32603.753729516578</v>
      </c>
      <c r="E227" s="28">
        <v>20823.36821214162</v>
      </c>
      <c r="F227" s="27">
        <f t="shared" si="7"/>
        <v>11780.385517374958</v>
      </c>
      <c r="G227" s="27">
        <f t="shared" si="6"/>
        <v>36.131991472840838</v>
      </c>
      <c r="H227" s="29">
        <v>41</v>
      </c>
      <c r="I227" s="29">
        <v>6</v>
      </c>
      <c r="J227" s="15" t="s">
        <v>56</v>
      </c>
      <c r="K227" s="30">
        <v>40.874026666600002</v>
      </c>
      <c r="L227" s="30">
        <v>72.094549999700007</v>
      </c>
      <c r="M227" s="15">
        <v>400</v>
      </c>
    </row>
    <row r="228" spans="1:13" ht="30" customHeight="1">
      <c r="A228" s="16" t="s">
        <v>30</v>
      </c>
      <c r="B228" s="30" t="s">
        <v>391</v>
      </c>
      <c r="C228" s="30" t="s">
        <v>324</v>
      </c>
      <c r="D228" s="27">
        <v>30248.413634516579</v>
      </c>
      <c r="E228" s="28">
        <v>18762.70321214162</v>
      </c>
      <c r="F228" s="27">
        <f t="shared" si="7"/>
        <v>11485.710422374959</v>
      </c>
      <c r="G228" s="27">
        <f t="shared" si="6"/>
        <v>37.971281936149445</v>
      </c>
      <c r="H228" s="29">
        <v>64</v>
      </c>
      <c r="I228" s="29">
        <v>4</v>
      </c>
      <c r="J228" s="15" t="s">
        <v>57</v>
      </c>
      <c r="K228" s="30">
        <v>40.846710000000002</v>
      </c>
      <c r="L228" s="30">
        <v>72.065683333300001</v>
      </c>
      <c r="M228" s="15">
        <v>1000</v>
      </c>
    </row>
    <row r="229" spans="1:13" ht="30" customHeight="1">
      <c r="A229" s="16" t="s">
        <v>13</v>
      </c>
      <c r="B229" s="30" t="s">
        <v>392</v>
      </c>
      <c r="C229" s="30" t="s">
        <v>325</v>
      </c>
      <c r="D229" s="27">
        <v>41350.782209516576</v>
      </c>
      <c r="E229" s="28">
        <v>28476.061545474957</v>
      </c>
      <c r="F229" s="27">
        <f t="shared" si="7"/>
        <v>12874.720664041619</v>
      </c>
      <c r="G229" s="27">
        <f t="shared" si="6"/>
        <v>31.135373930311282</v>
      </c>
      <c r="H229" s="29">
        <v>115</v>
      </c>
      <c r="I229" s="29">
        <v>3</v>
      </c>
      <c r="J229" s="15" t="s">
        <v>58</v>
      </c>
      <c r="K229" s="30">
        <v>40.839961666699999</v>
      </c>
      <c r="L229" s="30">
        <v>72.232654999999994</v>
      </c>
      <c r="M229" s="15">
        <v>1000</v>
      </c>
    </row>
    <row r="230" spans="1:13" ht="30" customHeight="1">
      <c r="A230" s="16" t="s">
        <v>13</v>
      </c>
      <c r="B230" s="30" t="s">
        <v>387</v>
      </c>
      <c r="C230" s="30" t="s">
        <v>326</v>
      </c>
      <c r="D230" s="27">
        <v>41997.419219516582</v>
      </c>
      <c r="E230" s="28">
        <v>29041.798212141621</v>
      </c>
      <c r="F230" s="27">
        <f t="shared" si="7"/>
        <v>12955.621007374961</v>
      </c>
      <c r="G230" s="27">
        <f t="shared" si="6"/>
        <v>30.848612243664643</v>
      </c>
      <c r="H230" s="29">
        <v>91</v>
      </c>
      <c r="I230" s="29">
        <v>3</v>
      </c>
      <c r="J230" s="15" t="s">
        <v>55</v>
      </c>
      <c r="K230" s="30">
        <v>40.873249936800001</v>
      </c>
      <c r="L230" s="30">
        <v>71.969074951500005</v>
      </c>
      <c r="M230" s="15">
        <v>160</v>
      </c>
    </row>
    <row r="231" spans="1:13" ht="30" customHeight="1">
      <c r="A231" s="16" t="s">
        <v>13</v>
      </c>
      <c r="B231" s="30" t="s">
        <v>384</v>
      </c>
      <c r="C231" s="30" t="s">
        <v>118</v>
      </c>
      <c r="D231" s="27">
        <v>38757.117089516578</v>
      </c>
      <c r="E231" s="28">
        <v>26206.888212141625</v>
      </c>
      <c r="F231" s="27">
        <f t="shared" si="7"/>
        <v>12550.228877374953</v>
      </c>
      <c r="G231" s="27">
        <f t="shared" si="6"/>
        <v>32.381739974074769</v>
      </c>
      <c r="H231" s="29">
        <v>42</v>
      </c>
      <c r="I231" s="29">
        <v>4</v>
      </c>
      <c r="J231" s="15" t="s">
        <v>59</v>
      </c>
      <c r="K231" s="30">
        <v>40.895608333299997</v>
      </c>
      <c r="L231" s="30">
        <v>71.923013333300005</v>
      </c>
      <c r="M231" s="15">
        <v>100</v>
      </c>
    </row>
    <row r="232" spans="1:13" ht="30" customHeight="1">
      <c r="A232" s="16" t="s">
        <v>13</v>
      </c>
      <c r="B232" s="30" t="s">
        <v>386</v>
      </c>
      <c r="C232" s="30" t="s">
        <v>327</v>
      </c>
      <c r="D232" s="27">
        <v>31190.975249516581</v>
      </c>
      <c r="E232" s="28">
        <v>19587.341545474956</v>
      </c>
      <c r="F232" s="27">
        <f t="shared" si="7"/>
        <v>11603.633704041626</v>
      </c>
      <c r="G232" s="27">
        <f t="shared" si="6"/>
        <v>37.201894494214208</v>
      </c>
      <c r="H232" s="29">
        <v>57</v>
      </c>
      <c r="I232" s="29">
        <v>6</v>
      </c>
      <c r="J232" s="15" t="s">
        <v>55</v>
      </c>
      <c r="K232" s="30">
        <v>40.875115049900003</v>
      </c>
      <c r="L232" s="30">
        <v>72.008864803799995</v>
      </c>
      <c r="M232" s="15">
        <v>250</v>
      </c>
    </row>
    <row r="233" spans="1:13" ht="30" customHeight="1">
      <c r="A233" s="16" t="s">
        <v>13</v>
      </c>
      <c r="B233" s="30" t="s">
        <v>390</v>
      </c>
      <c r="C233" s="30" t="s">
        <v>328</v>
      </c>
      <c r="D233" s="27">
        <v>31919.965409516579</v>
      </c>
      <c r="E233" s="28">
        <v>20225.128212141619</v>
      </c>
      <c r="F233" s="27">
        <f t="shared" si="7"/>
        <v>11694.83719737496</v>
      </c>
      <c r="G233" s="27">
        <f t="shared" si="6"/>
        <v>36.638000847858926</v>
      </c>
      <c r="H233" s="29">
        <v>35</v>
      </c>
      <c r="I233" s="29">
        <v>3</v>
      </c>
      <c r="J233" s="15" t="s">
        <v>60</v>
      </c>
      <c r="K233" s="30">
        <v>40.874026666600002</v>
      </c>
      <c r="L233" s="30">
        <v>72.094549999700007</v>
      </c>
      <c r="M233" s="15">
        <v>160</v>
      </c>
    </row>
    <row r="234" spans="1:13" ht="30" customHeight="1">
      <c r="A234" s="16" t="s">
        <v>13</v>
      </c>
      <c r="B234" s="30" t="s">
        <v>391</v>
      </c>
      <c r="C234" s="30" t="s">
        <v>329</v>
      </c>
      <c r="D234" s="27">
        <v>34360.449479516581</v>
      </c>
      <c r="E234" s="28">
        <v>22360.284878808285</v>
      </c>
      <c r="F234" s="27">
        <f t="shared" si="7"/>
        <v>12000.164600708296</v>
      </c>
      <c r="G234" s="27">
        <f t="shared" si="6"/>
        <v>34.924352802375296</v>
      </c>
      <c r="H234" s="29">
        <v>91</v>
      </c>
      <c r="I234" s="29">
        <v>4</v>
      </c>
      <c r="J234" s="15" t="s">
        <v>61</v>
      </c>
      <c r="K234" s="30">
        <v>40.816318333300003</v>
      </c>
      <c r="L234" s="30">
        <v>72.106885000000005</v>
      </c>
      <c r="M234" s="15">
        <v>100</v>
      </c>
    </row>
    <row r="235" spans="1:13" ht="30" customHeight="1">
      <c r="A235" s="16" t="s">
        <v>13</v>
      </c>
      <c r="B235" s="30" t="s">
        <v>390</v>
      </c>
      <c r="C235" s="30" t="s">
        <v>330</v>
      </c>
      <c r="D235" s="27">
        <v>31316.789069516581</v>
      </c>
      <c r="E235" s="28">
        <v>19697.414878808286</v>
      </c>
      <c r="F235" s="27">
        <f t="shared" si="7"/>
        <v>11619.374190708295</v>
      </c>
      <c r="G235" s="27">
        <f t="shared" si="6"/>
        <v>37.10269965709373</v>
      </c>
      <c r="H235" s="29">
        <v>23</v>
      </c>
      <c r="I235" s="29">
        <v>3</v>
      </c>
      <c r="J235" s="15" t="s">
        <v>55</v>
      </c>
      <c r="K235" s="30">
        <v>40.872684479199997</v>
      </c>
      <c r="L235" s="30">
        <v>72.093719629500001</v>
      </c>
      <c r="M235" s="15">
        <v>100</v>
      </c>
    </row>
    <row r="236" spans="1:13" ht="30" customHeight="1">
      <c r="A236" s="16" t="s">
        <v>13</v>
      </c>
      <c r="B236" s="30" t="s">
        <v>384</v>
      </c>
      <c r="C236" s="30" t="s">
        <v>95</v>
      </c>
      <c r="D236" s="27">
        <v>31218.830159516579</v>
      </c>
      <c r="E236" s="28">
        <v>19611.711545474955</v>
      </c>
      <c r="F236" s="27">
        <f t="shared" si="7"/>
        <v>11607.118614041625</v>
      </c>
      <c r="G236" s="27">
        <f t="shared" si="6"/>
        <v>37.179864058754205</v>
      </c>
      <c r="H236" s="29">
        <v>39</v>
      </c>
      <c r="I236" s="29">
        <v>3</v>
      </c>
      <c r="J236" s="15" t="s">
        <v>62</v>
      </c>
      <c r="K236" s="30">
        <v>40.874026666600002</v>
      </c>
      <c r="L236" s="30">
        <v>72.094549999700007</v>
      </c>
      <c r="M236" s="15">
        <v>400</v>
      </c>
    </row>
    <row r="237" spans="1:13" ht="30" customHeight="1">
      <c r="A237" s="16" t="s">
        <v>13</v>
      </c>
      <c r="B237" s="30" t="s">
        <v>388</v>
      </c>
      <c r="C237" s="30" t="s">
        <v>331</v>
      </c>
      <c r="D237" s="27">
        <v>32474.05751951658</v>
      </c>
      <c r="E237" s="28">
        <v>20709.898212141619</v>
      </c>
      <c r="F237" s="27">
        <f t="shared" si="7"/>
        <v>11764.159307374961</v>
      </c>
      <c r="G237" s="27">
        <f t="shared" si="6"/>
        <v>36.226330203131596</v>
      </c>
      <c r="H237" s="29">
        <v>70</v>
      </c>
      <c r="I237" s="29">
        <v>4</v>
      </c>
      <c r="J237" s="15" t="s">
        <v>60</v>
      </c>
      <c r="K237" s="30">
        <v>40.869140000000002</v>
      </c>
      <c r="L237" s="30">
        <v>71.991384999999994</v>
      </c>
      <c r="M237" s="15">
        <v>100</v>
      </c>
    </row>
    <row r="238" spans="1:13" ht="30" customHeight="1">
      <c r="A238" s="16" t="s">
        <v>13</v>
      </c>
      <c r="B238" s="30" t="s">
        <v>392</v>
      </c>
      <c r="C238" s="30" t="s">
        <v>332</v>
      </c>
      <c r="D238" s="27">
        <v>31833.31457951658</v>
      </c>
      <c r="E238" s="28">
        <v>20149.318212141621</v>
      </c>
      <c r="F238" s="27">
        <f t="shared" si="7"/>
        <v>11683.996367374959</v>
      </c>
      <c r="G238" s="27">
        <f t="shared" si="6"/>
        <v>36.703675133135924</v>
      </c>
      <c r="H238" s="29">
        <v>43</v>
      </c>
      <c r="I238" s="29">
        <v>3</v>
      </c>
      <c r="J238" s="15" t="s">
        <v>63</v>
      </c>
      <c r="K238" s="30">
        <v>40.820733333200003</v>
      </c>
      <c r="L238" s="30">
        <v>72.163296666700006</v>
      </c>
      <c r="M238" s="15">
        <v>160</v>
      </c>
    </row>
    <row r="239" spans="1:13" ht="30" customHeight="1">
      <c r="A239" s="16" t="s">
        <v>30</v>
      </c>
      <c r="B239" s="30" t="s">
        <v>391</v>
      </c>
      <c r="C239" s="30" t="s">
        <v>333</v>
      </c>
      <c r="D239" s="27">
        <v>32842.431179516578</v>
      </c>
      <c r="E239" s="28">
        <v>21032.184878808286</v>
      </c>
      <c r="F239" s="27">
        <f t="shared" si="7"/>
        <v>11810.246300708292</v>
      </c>
      <c r="G239" s="27">
        <f t="shared" si="6"/>
        <v>35.960328990730126</v>
      </c>
      <c r="H239" s="29">
        <v>59</v>
      </c>
      <c r="I239" s="29">
        <v>3</v>
      </c>
      <c r="J239" s="15" t="s">
        <v>64</v>
      </c>
      <c r="K239" s="30">
        <v>40.813206666600003</v>
      </c>
      <c r="L239" s="30">
        <v>72.109205000000003</v>
      </c>
      <c r="M239" s="15">
        <v>630</v>
      </c>
    </row>
    <row r="240" spans="1:13" ht="30" customHeight="1">
      <c r="A240" s="16" t="s">
        <v>13</v>
      </c>
      <c r="B240" s="30" t="s">
        <v>386</v>
      </c>
      <c r="C240" s="30" t="s">
        <v>334</v>
      </c>
      <c r="D240" s="27">
        <v>34570.708139516581</v>
      </c>
      <c r="E240" s="28">
        <v>22544.238212141619</v>
      </c>
      <c r="F240" s="27">
        <f t="shared" si="7"/>
        <v>12026.469927374961</v>
      </c>
      <c r="G240" s="27">
        <f t="shared" si="6"/>
        <v>34.788034653035986</v>
      </c>
      <c r="H240" s="29">
        <v>92</v>
      </c>
      <c r="I240" s="29">
        <v>6</v>
      </c>
      <c r="J240" s="15" t="s">
        <v>65</v>
      </c>
      <c r="K240" s="30">
        <v>40.872072950000003</v>
      </c>
      <c r="L240" s="30">
        <v>71.967303771499999</v>
      </c>
      <c r="M240" s="15">
        <v>100</v>
      </c>
    </row>
    <row r="241" spans="1:14" ht="30" customHeight="1">
      <c r="A241" s="16" t="s">
        <v>30</v>
      </c>
      <c r="B241" s="30" t="s">
        <v>389</v>
      </c>
      <c r="C241" s="30" t="s">
        <v>335</v>
      </c>
      <c r="D241" s="27">
        <v>33944.325089516577</v>
      </c>
      <c r="E241" s="28">
        <v>21996.221545474953</v>
      </c>
      <c r="F241" s="27">
        <f t="shared" si="7"/>
        <v>11948.103544041624</v>
      </c>
      <c r="G241" s="27">
        <f t="shared" si="6"/>
        <v>35.199119477357634</v>
      </c>
      <c r="H241" s="29">
        <v>64</v>
      </c>
      <c r="I241" s="29">
        <v>4</v>
      </c>
      <c r="J241" s="15" t="s">
        <v>62</v>
      </c>
      <c r="K241" s="30">
        <v>40.875613333300002</v>
      </c>
      <c r="L241" s="30">
        <v>72.034936666700006</v>
      </c>
      <c r="M241" s="15">
        <v>400</v>
      </c>
    </row>
    <row r="242" spans="1:14" ht="30" customHeight="1">
      <c r="A242" s="16" t="s">
        <v>13</v>
      </c>
      <c r="B242" s="30" t="s">
        <v>391</v>
      </c>
      <c r="C242" s="30" t="s">
        <v>336</v>
      </c>
      <c r="D242" s="27">
        <v>29244.72818951658</v>
      </c>
      <c r="E242" s="28">
        <v>17884.588212141622</v>
      </c>
      <c r="F242" s="27">
        <f t="shared" si="7"/>
        <v>11360.139977374958</v>
      </c>
      <c r="G242" s="27">
        <f t="shared" si="6"/>
        <v>38.845086552889384</v>
      </c>
      <c r="H242" s="29">
        <v>14</v>
      </c>
      <c r="I242" s="29">
        <v>3</v>
      </c>
      <c r="J242" s="15" t="s">
        <v>66</v>
      </c>
      <c r="K242" s="30">
        <v>40.813206666600003</v>
      </c>
      <c r="L242" s="30">
        <v>72.109205000000003</v>
      </c>
      <c r="M242" s="15">
        <v>100</v>
      </c>
    </row>
    <row r="243" spans="1:14" ht="30" customHeight="1">
      <c r="A243" s="16" t="s">
        <v>13</v>
      </c>
      <c r="B243" s="30" t="s">
        <v>391</v>
      </c>
      <c r="C243" s="30" t="s">
        <v>337</v>
      </c>
      <c r="D243" s="27">
        <v>29739.738629516578</v>
      </c>
      <c r="E243" s="28">
        <v>18317.66821214162</v>
      </c>
      <c r="F243" s="27">
        <f t="shared" si="7"/>
        <v>11422.070417374958</v>
      </c>
      <c r="G243" s="27">
        <f t="shared" si="6"/>
        <v>38.406761268703946</v>
      </c>
      <c r="H243" s="29">
        <v>39</v>
      </c>
      <c r="I243" s="29">
        <v>3</v>
      </c>
      <c r="J243" s="15" t="s">
        <v>59</v>
      </c>
      <c r="K243" s="30">
        <v>40.813206666600003</v>
      </c>
      <c r="L243" s="30">
        <v>72.109205000000003</v>
      </c>
      <c r="M243" s="15">
        <v>100</v>
      </c>
    </row>
    <row r="244" spans="1:14" ht="30" customHeight="1">
      <c r="A244" s="16" t="s">
        <v>13</v>
      </c>
      <c r="B244" s="30" t="s">
        <v>391</v>
      </c>
      <c r="C244" s="30" t="s">
        <v>338</v>
      </c>
      <c r="D244" s="27">
        <v>29360.46836951658</v>
      </c>
      <c r="E244" s="28">
        <v>17985.84821214162</v>
      </c>
      <c r="F244" s="27">
        <f t="shared" si="7"/>
        <v>11374.62015737496</v>
      </c>
      <c r="G244" s="27">
        <f t="shared" si="6"/>
        <v>38.74127624334708</v>
      </c>
      <c r="H244" s="29">
        <v>18</v>
      </c>
      <c r="I244" s="29">
        <v>4</v>
      </c>
      <c r="J244" s="15" t="s">
        <v>66</v>
      </c>
      <c r="K244" s="30">
        <v>40.813206666600003</v>
      </c>
      <c r="L244" s="30">
        <v>72.109205000000003</v>
      </c>
      <c r="M244" s="15">
        <v>25</v>
      </c>
    </row>
    <row r="245" spans="1:14" ht="30" customHeight="1">
      <c r="A245" s="16" t="s">
        <v>13</v>
      </c>
      <c r="B245" s="30" t="s">
        <v>387</v>
      </c>
      <c r="C245" s="30" t="s">
        <v>339</v>
      </c>
      <c r="D245" s="27">
        <v>28959.991649516578</v>
      </c>
      <c r="E245" s="28">
        <v>17635.474878808287</v>
      </c>
      <c r="F245" s="27">
        <f t="shared" si="7"/>
        <v>11324.516770708291</v>
      </c>
      <c r="G245" s="27">
        <f t="shared" si="6"/>
        <v>39.104005649453732</v>
      </c>
      <c r="H245" s="29">
        <v>23</v>
      </c>
      <c r="I245" s="29">
        <v>6</v>
      </c>
      <c r="J245" s="15" t="s">
        <v>66</v>
      </c>
      <c r="K245" s="30">
        <v>40.887124999999997</v>
      </c>
      <c r="L245" s="30">
        <v>71.961399</v>
      </c>
      <c r="M245" s="15">
        <v>63</v>
      </c>
    </row>
    <row r="246" spans="1:14" ht="30" customHeight="1">
      <c r="A246" s="16" t="s">
        <v>13</v>
      </c>
      <c r="B246" s="30" t="s">
        <v>388</v>
      </c>
      <c r="C246" s="30" t="s">
        <v>340</v>
      </c>
      <c r="D246" s="27">
        <v>28987.457939516578</v>
      </c>
      <c r="E246" s="28">
        <v>17659.504878808286</v>
      </c>
      <c r="F246" s="27">
        <f t="shared" si="7"/>
        <v>11327.953060708292</v>
      </c>
      <c r="G246" s="27">
        <f t="shared" si="6"/>
        <v>39.078808098124689</v>
      </c>
      <c r="H246" s="29">
        <v>89</v>
      </c>
      <c r="I246" s="29">
        <v>3</v>
      </c>
      <c r="J246" s="15" t="s">
        <v>67</v>
      </c>
      <c r="K246" s="30">
        <v>40.890337000000002</v>
      </c>
      <c r="L246" s="30">
        <v>72.009943000000007</v>
      </c>
      <c r="M246" s="15">
        <v>160</v>
      </c>
      <c r="N246" s="24">
        <v>7</v>
      </c>
    </row>
    <row r="247" spans="1:14" ht="30" customHeight="1">
      <c r="A247" s="16" t="s">
        <v>13</v>
      </c>
      <c r="B247" s="30" t="s">
        <v>390</v>
      </c>
      <c r="C247" s="30" t="s">
        <v>341</v>
      </c>
      <c r="D247" s="27">
        <v>29061.996779516579</v>
      </c>
      <c r="E247" s="28">
        <v>17724.718212141619</v>
      </c>
      <c r="F247" s="27">
        <f t="shared" si="7"/>
        <v>11337.27856737496</v>
      </c>
      <c r="G247" s="27">
        <f t="shared" si="6"/>
        <v>39.010666243572359</v>
      </c>
      <c r="H247" s="29">
        <v>48</v>
      </c>
      <c r="I247" s="29">
        <v>3</v>
      </c>
      <c r="J247" s="15" t="s">
        <v>60</v>
      </c>
      <c r="K247" s="13"/>
      <c r="L247" s="13"/>
      <c r="M247" s="15">
        <v>63</v>
      </c>
    </row>
    <row r="248" spans="1:14" ht="30" customHeight="1">
      <c r="A248" s="16" t="s">
        <v>13</v>
      </c>
      <c r="B248" s="30" t="s">
        <v>384</v>
      </c>
      <c r="C248" s="30" t="s">
        <v>122</v>
      </c>
      <c r="D248" s="27">
        <v>28959.991649516578</v>
      </c>
      <c r="E248" s="28">
        <v>17635.474878808287</v>
      </c>
      <c r="F248" s="27">
        <f t="shared" si="7"/>
        <v>11324.516770708291</v>
      </c>
      <c r="G248" s="27">
        <f t="shared" si="6"/>
        <v>39.104005649453732</v>
      </c>
      <c r="H248" s="29">
        <v>9</v>
      </c>
      <c r="I248" s="29">
        <v>4</v>
      </c>
      <c r="J248" s="15" t="s">
        <v>75</v>
      </c>
      <c r="K248" s="13"/>
      <c r="L248" s="13"/>
      <c r="M248" s="15">
        <v>160</v>
      </c>
    </row>
    <row r="249" spans="1:14" ht="30" customHeight="1">
      <c r="A249" s="16" t="s">
        <v>13</v>
      </c>
      <c r="B249" s="30" t="s">
        <v>387</v>
      </c>
      <c r="C249" s="30" t="s">
        <v>342</v>
      </c>
      <c r="D249" s="27">
        <v>46361.237009516582</v>
      </c>
      <c r="E249" s="28">
        <v>32859.661545474955</v>
      </c>
      <c r="F249" s="27">
        <f t="shared" si="7"/>
        <v>13501.575464041627</v>
      </c>
      <c r="G249" s="27">
        <f t="shared" si="6"/>
        <v>29.12255223317306</v>
      </c>
      <c r="H249" s="29">
        <v>65</v>
      </c>
      <c r="I249" s="29">
        <v>4</v>
      </c>
      <c r="J249" s="15" t="s">
        <v>75</v>
      </c>
      <c r="K249" s="13"/>
      <c r="L249" s="13"/>
      <c r="M249" s="15">
        <v>63</v>
      </c>
    </row>
    <row r="250" spans="1:14" ht="30" customHeight="1">
      <c r="A250" s="16" t="s">
        <v>13</v>
      </c>
      <c r="B250" s="30" t="s">
        <v>388</v>
      </c>
      <c r="C250" s="30" t="s">
        <v>343</v>
      </c>
      <c r="D250" s="27">
        <v>35653.475849516581</v>
      </c>
      <c r="E250" s="28">
        <v>23491.541545474953</v>
      </c>
      <c r="F250" s="27">
        <f t="shared" si="7"/>
        <v>12161.934304041628</v>
      </c>
      <c r="G250" s="27">
        <f t="shared" si="6"/>
        <v>34.11149688567189</v>
      </c>
      <c r="H250" s="29">
        <v>28</v>
      </c>
      <c r="I250" s="29">
        <v>3</v>
      </c>
      <c r="J250" s="15" t="s">
        <v>75</v>
      </c>
      <c r="K250" s="13">
        <v>40.876370000000001</v>
      </c>
      <c r="L250" s="13">
        <v>71.934290000000004</v>
      </c>
      <c r="M250" s="15">
        <v>63</v>
      </c>
    </row>
    <row r="251" spans="1:14" ht="30" customHeight="1">
      <c r="A251" s="16" t="s">
        <v>13</v>
      </c>
      <c r="B251" s="30" t="s">
        <v>389</v>
      </c>
      <c r="C251" s="30" t="s">
        <v>344</v>
      </c>
      <c r="D251" s="27">
        <v>31507.037609516578</v>
      </c>
      <c r="E251" s="28">
        <v>19863.861545474952</v>
      </c>
      <c r="F251" s="27">
        <f t="shared" si="7"/>
        <v>11643.176064041625</v>
      </c>
      <c r="G251" s="27">
        <f t="shared" si="6"/>
        <v>36.954207527669467</v>
      </c>
      <c r="H251" s="29">
        <v>19</v>
      </c>
      <c r="I251" s="29">
        <v>3</v>
      </c>
      <c r="J251" s="15" t="s">
        <v>75</v>
      </c>
      <c r="K251" s="13"/>
      <c r="L251" s="13"/>
      <c r="M251" s="15">
        <v>160</v>
      </c>
    </row>
    <row r="252" spans="1:14" ht="30" customHeight="1">
      <c r="A252" s="16" t="s">
        <v>13</v>
      </c>
      <c r="B252" s="30" t="s">
        <v>389</v>
      </c>
      <c r="C252" s="30" t="s">
        <v>345</v>
      </c>
      <c r="D252" s="27">
        <v>31736.026229516581</v>
      </c>
      <c r="E252" s="28">
        <v>20064.201545474953</v>
      </c>
      <c r="F252" s="27">
        <f t="shared" si="7"/>
        <v>11671.824684041629</v>
      </c>
      <c r="G252" s="27">
        <f t="shared" si="6"/>
        <v>36.777839164961577</v>
      </c>
      <c r="H252" s="29">
        <v>48</v>
      </c>
      <c r="I252" s="29">
        <v>5</v>
      </c>
      <c r="J252" s="15" t="s">
        <v>75</v>
      </c>
      <c r="K252" s="13"/>
      <c r="L252" s="13"/>
      <c r="M252" s="15">
        <v>63</v>
      </c>
    </row>
    <row r="253" spans="1:14" ht="30" customHeight="1">
      <c r="A253" s="16" t="s">
        <v>13</v>
      </c>
      <c r="B253" s="30" t="s">
        <v>386</v>
      </c>
      <c r="C253" s="30" t="s">
        <v>346</v>
      </c>
      <c r="D253" s="27">
        <v>32758.325429516579</v>
      </c>
      <c r="E253" s="28">
        <v>20958.601545474954</v>
      </c>
      <c r="F253" s="27">
        <f t="shared" si="7"/>
        <v>11799.723884041625</v>
      </c>
      <c r="G253" s="27">
        <f t="shared" si="6"/>
        <v>36.020534411718117</v>
      </c>
      <c r="H253" s="29">
        <v>45</v>
      </c>
      <c r="I253" s="29">
        <v>3</v>
      </c>
      <c r="J253" s="15" t="s">
        <v>59</v>
      </c>
      <c r="K253" s="13"/>
      <c r="L253" s="13"/>
      <c r="M253" s="15">
        <v>250</v>
      </c>
    </row>
    <row r="254" spans="1:14" ht="30" customHeight="1">
      <c r="A254" s="16" t="s">
        <v>13</v>
      </c>
      <c r="B254" s="30" t="s">
        <v>388</v>
      </c>
      <c r="C254" s="30" t="s">
        <v>347</v>
      </c>
      <c r="D254" s="27">
        <v>35346.873719516581</v>
      </c>
      <c r="E254" s="28">
        <v>23223.298212141621</v>
      </c>
      <c r="F254" s="27">
        <f t="shared" si="7"/>
        <v>12123.575507374961</v>
      </c>
      <c r="G254" s="27">
        <f t="shared" si="6"/>
        <v>34.298862195218682</v>
      </c>
      <c r="H254" s="29">
        <v>74</v>
      </c>
      <c r="I254" s="29">
        <v>4</v>
      </c>
      <c r="J254" s="15" t="s">
        <v>72</v>
      </c>
      <c r="K254" s="13"/>
      <c r="L254" s="13"/>
      <c r="M254" s="15">
        <v>25</v>
      </c>
    </row>
    <row r="255" spans="1:14" ht="30" customHeight="1">
      <c r="A255" s="16" t="s">
        <v>13</v>
      </c>
      <c r="B255" s="30" t="s">
        <v>387</v>
      </c>
      <c r="C255" s="30" t="s">
        <v>348</v>
      </c>
      <c r="D255" s="27">
        <v>32864.88731951658</v>
      </c>
      <c r="E255" s="28">
        <v>21051.831545474954</v>
      </c>
      <c r="F255" s="27">
        <f t="shared" si="7"/>
        <v>11813.055774041626</v>
      </c>
      <c r="G255" s="27">
        <f t="shared" si="6"/>
        <v>35.944306332754493</v>
      </c>
      <c r="H255" s="29">
        <v>49</v>
      </c>
      <c r="I255" s="29">
        <v>3</v>
      </c>
      <c r="J255" s="15" t="s">
        <v>76</v>
      </c>
      <c r="K255" s="13"/>
      <c r="L255" s="13"/>
      <c r="M255" s="15">
        <v>630</v>
      </c>
    </row>
    <row r="256" spans="1:14" ht="30" customHeight="1">
      <c r="A256" s="16" t="s">
        <v>30</v>
      </c>
      <c r="B256" s="30" t="s">
        <v>388</v>
      </c>
      <c r="C256" s="30" t="s">
        <v>349</v>
      </c>
      <c r="D256" s="27">
        <v>31780.972799516578</v>
      </c>
      <c r="E256" s="28">
        <v>20103.524878808286</v>
      </c>
      <c r="F256" s="27">
        <f t="shared" si="7"/>
        <v>11677.447920708291</v>
      </c>
      <c r="G256" s="27">
        <f t="shared" si="6"/>
        <v>36.743519445968367</v>
      </c>
      <c r="H256" s="29">
        <v>48</v>
      </c>
      <c r="I256" s="29">
        <v>3</v>
      </c>
      <c r="J256" s="15" t="s">
        <v>76</v>
      </c>
      <c r="K256" s="13"/>
      <c r="L256" s="13"/>
      <c r="M256" s="15">
        <v>400</v>
      </c>
    </row>
    <row r="257" spans="1:13" ht="30" customHeight="1">
      <c r="A257" s="16" t="s">
        <v>13</v>
      </c>
      <c r="B257" s="30" t="s">
        <v>387</v>
      </c>
      <c r="C257" s="30" t="s">
        <v>350</v>
      </c>
      <c r="D257" s="27">
        <v>34088.144969516579</v>
      </c>
      <c r="E257" s="28">
        <v>22122.048212141621</v>
      </c>
      <c r="F257" s="27">
        <f t="shared" si="7"/>
        <v>11966.096757374959</v>
      </c>
      <c r="G257" s="27">
        <f t="shared" si="6"/>
        <v>35.103396703093331</v>
      </c>
      <c r="H257" s="29">
        <v>13</v>
      </c>
      <c r="I257" s="29">
        <v>4</v>
      </c>
      <c r="J257" s="15" t="s">
        <v>55</v>
      </c>
      <c r="K257" s="13"/>
      <c r="L257" s="13"/>
      <c r="M257" s="15">
        <v>160</v>
      </c>
    </row>
    <row r="258" spans="1:13" ht="30" customHeight="1">
      <c r="A258" s="16" t="s">
        <v>13</v>
      </c>
      <c r="B258" s="30" t="s">
        <v>384</v>
      </c>
      <c r="C258" s="30" t="s">
        <v>99</v>
      </c>
      <c r="D258" s="27">
        <v>30249.79094951658</v>
      </c>
      <c r="E258" s="28">
        <v>18763.908212141621</v>
      </c>
      <c r="F258" s="27">
        <f t="shared" si="7"/>
        <v>11485.882737374959</v>
      </c>
      <c r="G258" s="27">
        <f t="shared" si="6"/>
        <v>37.970122691239673</v>
      </c>
      <c r="H258" s="29">
        <v>30</v>
      </c>
      <c r="I258" s="29">
        <v>4</v>
      </c>
      <c r="J258" s="15" t="s">
        <v>75</v>
      </c>
      <c r="K258" s="13"/>
      <c r="L258" s="13"/>
      <c r="M258" s="15">
        <v>160</v>
      </c>
    </row>
    <row r="259" spans="1:13" ht="30" customHeight="1">
      <c r="A259" s="16" t="s">
        <v>13</v>
      </c>
      <c r="B259" s="30" t="s">
        <v>390</v>
      </c>
      <c r="C259" s="30" t="s">
        <v>351</v>
      </c>
      <c r="D259" s="27">
        <v>28962.502439516578</v>
      </c>
      <c r="E259" s="28">
        <v>17637.671545474954</v>
      </c>
      <c r="F259" s="27">
        <f t="shared" si="7"/>
        <v>11324.830894041625</v>
      </c>
      <c r="G259" s="27">
        <f t="shared" ref="G259:G293" si="8">+F259*100/D259</f>
        <v>39.101700268102427</v>
      </c>
      <c r="H259" s="29">
        <v>32</v>
      </c>
      <c r="I259" s="29">
        <v>5</v>
      </c>
      <c r="J259" s="15" t="s">
        <v>75</v>
      </c>
      <c r="K259" s="13">
        <v>40.865291666700003</v>
      </c>
      <c r="L259" s="13">
        <v>71.961494999999999</v>
      </c>
      <c r="M259" s="15">
        <v>100</v>
      </c>
    </row>
    <row r="260" spans="1:13" ht="30" customHeight="1">
      <c r="A260" s="16" t="s">
        <v>30</v>
      </c>
      <c r="B260" s="30" t="s">
        <v>388</v>
      </c>
      <c r="C260" s="30" t="s">
        <v>352</v>
      </c>
      <c r="D260" s="27">
        <v>30580.369409516577</v>
      </c>
      <c r="E260" s="28">
        <v>19053.128212141619</v>
      </c>
      <c r="F260" s="27">
        <f t="shared" si="7"/>
        <v>11527.241197374959</v>
      </c>
      <c r="G260" s="27">
        <f t="shared" si="8"/>
        <v>37.694904999374188</v>
      </c>
      <c r="H260" s="29">
        <v>29</v>
      </c>
      <c r="I260" s="29">
        <v>4</v>
      </c>
      <c r="J260" s="15" t="s">
        <v>68</v>
      </c>
      <c r="K260" s="13"/>
      <c r="L260" s="13"/>
      <c r="M260" s="15">
        <v>100</v>
      </c>
    </row>
    <row r="261" spans="1:13" ht="30" customHeight="1">
      <c r="A261" s="16" t="s">
        <v>13</v>
      </c>
      <c r="B261" s="30" t="s">
        <v>389</v>
      </c>
      <c r="C261" s="30" t="s">
        <v>353</v>
      </c>
      <c r="D261" s="27">
        <v>33744.844919516581</v>
      </c>
      <c r="E261" s="28">
        <v>21821.698212141619</v>
      </c>
      <c r="F261" s="27">
        <f t="shared" ref="F261:F324" si="9">+D261-E261</f>
        <v>11923.146707374963</v>
      </c>
      <c r="G261" s="27">
        <f t="shared" si="8"/>
        <v>35.333239005283211</v>
      </c>
      <c r="H261" s="29">
        <v>61</v>
      </c>
      <c r="I261" s="29">
        <v>3</v>
      </c>
      <c r="J261" s="15" t="s">
        <v>72</v>
      </c>
      <c r="K261" s="13"/>
      <c r="L261" s="13"/>
      <c r="M261" s="15">
        <v>250</v>
      </c>
    </row>
    <row r="262" spans="1:13" ht="30" customHeight="1">
      <c r="A262" s="16" t="s">
        <v>30</v>
      </c>
      <c r="B262" s="30" t="s">
        <v>390</v>
      </c>
      <c r="C262" s="30" t="s">
        <v>354</v>
      </c>
      <c r="D262" s="27">
        <v>28959.991649516578</v>
      </c>
      <c r="E262" s="28">
        <v>17635.474878808287</v>
      </c>
      <c r="F262" s="27">
        <f t="shared" si="9"/>
        <v>11324.516770708291</v>
      </c>
      <c r="G262" s="27">
        <f t="shared" si="8"/>
        <v>39.104005649453732</v>
      </c>
      <c r="H262" s="29">
        <v>41</v>
      </c>
      <c r="I262" s="29">
        <v>3</v>
      </c>
      <c r="J262" s="15" t="s">
        <v>72</v>
      </c>
      <c r="K262" s="13"/>
      <c r="L262" s="13"/>
      <c r="M262" s="15">
        <v>160</v>
      </c>
    </row>
    <row r="263" spans="1:13" ht="30" customHeight="1">
      <c r="A263" s="16" t="s">
        <v>30</v>
      </c>
      <c r="B263" s="30" t="s">
        <v>387</v>
      </c>
      <c r="C263" s="30" t="s">
        <v>355</v>
      </c>
      <c r="D263" s="27">
        <v>135956.32451951658</v>
      </c>
      <c r="E263" s="28">
        <v>111245.56487880831</v>
      </c>
      <c r="F263" s="27">
        <f t="shared" si="9"/>
        <v>24710.759640708275</v>
      </c>
      <c r="G263" s="27">
        <f t="shared" si="8"/>
        <v>18.175513149563731</v>
      </c>
      <c r="H263" s="29">
        <v>68</v>
      </c>
      <c r="I263" s="29">
        <v>4</v>
      </c>
      <c r="J263" s="15" t="s">
        <v>71</v>
      </c>
      <c r="K263" s="13"/>
      <c r="L263" s="13"/>
      <c r="M263" s="15">
        <v>160</v>
      </c>
    </row>
    <row r="264" spans="1:13" ht="30" customHeight="1">
      <c r="A264" s="16" t="s">
        <v>30</v>
      </c>
      <c r="B264" s="30" t="s">
        <v>384</v>
      </c>
      <c r="C264" s="30" t="s">
        <v>120</v>
      </c>
      <c r="D264" s="27">
        <v>32438.552129516578</v>
      </c>
      <c r="E264" s="28">
        <v>20678.834878808288</v>
      </c>
      <c r="F264" s="27">
        <f t="shared" si="9"/>
        <v>11759.717250708291</v>
      </c>
      <c r="G264" s="27">
        <f t="shared" si="8"/>
        <v>36.252287721583777</v>
      </c>
      <c r="H264" s="29">
        <v>19</v>
      </c>
      <c r="I264" s="29">
        <v>3</v>
      </c>
      <c r="J264" s="15" t="s">
        <v>71</v>
      </c>
      <c r="K264" s="13"/>
      <c r="L264" s="13"/>
      <c r="M264" s="15">
        <v>100</v>
      </c>
    </row>
    <row r="265" spans="1:13" ht="30" customHeight="1">
      <c r="A265" s="16" t="s">
        <v>30</v>
      </c>
      <c r="B265" s="30" t="s">
        <v>384</v>
      </c>
      <c r="C265" s="30" t="s">
        <v>103</v>
      </c>
      <c r="D265" s="27">
        <v>31605.057479516581</v>
      </c>
      <c r="E265" s="28">
        <v>19949.61821214162</v>
      </c>
      <c r="F265" s="27">
        <f t="shared" si="9"/>
        <v>11655.439267374961</v>
      </c>
      <c r="G265" s="27">
        <f t="shared" si="8"/>
        <v>36.878399208509329</v>
      </c>
      <c r="H265" s="29">
        <v>78</v>
      </c>
      <c r="I265" s="29">
        <v>3</v>
      </c>
      <c r="J265" s="15" t="s">
        <v>77</v>
      </c>
      <c r="K265" s="13">
        <v>40.858196666700003</v>
      </c>
      <c r="L265" s="13">
        <v>72.1313583333</v>
      </c>
      <c r="M265" s="15">
        <v>250</v>
      </c>
    </row>
    <row r="266" spans="1:13" ht="30" customHeight="1">
      <c r="A266" s="16" t="s">
        <v>13</v>
      </c>
      <c r="B266" s="30" t="s">
        <v>388</v>
      </c>
      <c r="C266" s="30" t="s">
        <v>356</v>
      </c>
      <c r="D266" s="27">
        <v>28963.009169516579</v>
      </c>
      <c r="E266" s="28">
        <v>17638.114878808286</v>
      </c>
      <c r="F266" s="27">
        <f t="shared" si="9"/>
        <v>11324.894290708293</v>
      </c>
      <c r="G266" s="27">
        <f t="shared" si="8"/>
        <v>39.101235042343895</v>
      </c>
      <c r="H266" s="29">
        <v>5</v>
      </c>
      <c r="I266" s="29">
        <v>4</v>
      </c>
      <c r="J266" s="15" t="s">
        <v>69</v>
      </c>
      <c r="K266" s="13"/>
      <c r="L266" s="13"/>
      <c r="M266" s="15">
        <v>160</v>
      </c>
    </row>
    <row r="267" spans="1:13" ht="30" customHeight="1">
      <c r="A267" s="16" t="s">
        <v>30</v>
      </c>
      <c r="B267" s="30" t="s">
        <v>392</v>
      </c>
      <c r="C267" s="30" t="s">
        <v>357</v>
      </c>
      <c r="D267" s="27">
        <v>31146.43253951658</v>
      </c>
      <c r="E267" s="28">
        <v>19548.371545474954</v>
      </c>
      <c r="F267" s="27">
        <f t="shared" si="9"/>
        <v>11598.060994041625</v>
      </c>
      <c r="G267" s="27">
        <f t="shared" si="8"/>
        <v>37.237205189797436</v>
      </c>
      <c r="H267" s="29">
        <v>33</v>
      </c>
      <c r="I267" s="29">
        <v>3</v>
      </c>
      <c r="J267" s="15" t="s">
        <v>73</v>
      </c>
      <c r="K267" s="13"/>
      <c r="L267" s="13"/>
      <c r="M267" s="15">
        <v>160</v>
      </c>
    </row>
    <row r="268" spans="1:13" ht="30" customHeight="1">
      <c r="A268" s="16" t="s">
        <v>30</v>
      </c>
      <c r="B268" s="30" t="s">
        <v>389</v>
      </c>
      <c r="C268" s="30" t="s">
        <v>358</v>
      </c>
      <c r="D268" s="27">
        <v>31168.522919516581</v>
      </c>
      <c r="E268" s="28">
        <v>19567.698212141619</v>
      </c>
      <c r="F268" s="27">
        <f t="shared" si="9"/>
        <v>11600.824707374963</v>
      </c>
      <c r="G268" s="27">
        <f t="shared" si="8"/>
        <v>37.219680693020436</v>
      </c>
      <c r="H268" s="29">
        <v>26</v>
      </c>
      <c r="I268" s="29">
        <v>3</v>
      </c>
      <c r="J268" s="15" t="s">
        <v>78</v>
      </c>
      <c r="K268" s="13"/>
      <c r="L268" s="13"/>
      <c r="M268" s="15">
        <v>250</v>
      </c>
    </row>
    <row r="269" spans="1:13" ht="30" customHeight="1">
      <c r="A269" s="16" t="s">
        <v>30</v>
      </c>
      <c r="B269" s="30" t="s">
        <v>391</v>
      </c>
      <c r="C269" s="30" t="s">
        <v>359</v>
      </c>
      <c r="D269" s="27">
        <v>30651.437339516579</v>
      </c>
      <c r="E269" s="28">
        <v>19115.304878808289</v>
      </c>
      <c r="F269" s="27">
        <f t="shared" si="9"/>
        <v>11536.13246070829</v>
      </c>
      <c r="G269" s="27">
        <f t="shared" si="8"/>
        <v>37.636513853905399</v>
      </c>
      <c r="H269" s="29">
        <v>13</v>
      </c>
      <c r="I269" s="29">
        <v>3</v>
      </c>
      <c r="J269" s="15" t="s">
        <v>79</v>
      </c>
      <c r="K269" s="13">
        <v>40.883151666700002</v>
      </c>
      <c r="L269" s="13">
        <v>72.085181666699995</v>
      </c>
      <c r="M269" s="15">
        <v>160</v>
      </c>
    </row>
    <row r="270" spans="1:13" ht="30" customHeight="1">
      <c r="A270" s="16" t="s">
        <v>30</v>
      </c>
      <c r="B270" s="30" t="s">
        <v>384</v>
      </c>
      <c r="C270" s="30" t="s">
        <v>102</v>
      </c>
      <c r="D270" s="27">
        <v>29807.522339516581</v>
      </c>
      <c r="E270" s="28">
        <v>18376.971545474953</v>
      </c>
      <c r="F270" s="27">
        <f t="shared" si="9"/>
        <v>11430.550794041628</v>
      </c>
      <c r="G270" s="27">
        <f t="shared" si="8"/>
        <v>38.347872942421176</v>
      </c>
      <c r="H270" s="29">
        <v>21</v>
      </c>
      <c r="I270" s="29">
        <v>3</v>
      </c>
      <c r="J270" s="15" t="s">
        <v>80</v>
      </c>
      <c r="K270" s="13"/>
      <c r="L270" s="13"/>
      <c r="M270" s="15">
        <v>63</v>
      </c>
    </row>
    <row r="271" spans="1:13" ht="30" customHeight="1">
      <c r="A271" s="16" t="s">
        <v>30</v>
      </c>
      <c r="B271" s="30" t="s">
        <v>392</v>
      </c>
      <c r="C271" s="30" t="s">
        <v>360</v>
      </c>
      <c r="D271" s="27">
        <v>33894.665549516576</v>
      </c>
      <c r="E271" s="28">
        <v>21952.774878808286</v>
      </c>
      <c r="F271" s="27">
        <f t="shared" si="9"/>
        <v>11941.89067070829</v>
      </c>
      <c r="G271" s="27">
        <f t="shared" si="8"/>
        <v>35.232360246371016</v>
      </c>
      <c r="H271" s="29">
        <v>66</v>
      </c>
      <c r="I271" s="29">
        <v>3</v>
      </c>
      <c r="J271" s="15" t="s">
        <v>75</v>
      </c>
      <c r="K271" s="13"/>
      <c r="L271" s="13"/>
      <c r="M271" s="15">
        <v>400</v>
      </c>
    </row>
    <row r="272" spans="1:13" ht="30" customHeight="1">
      <c r="A272" s="16" t="s">
        <v>13</v>
      </c>
      <c r="B272" s="30" t="s">
        <v>388</v>
      </c>
      <c r="C272" s="30" t="s">
        <v>361</v>
      </c>
      <c r="D272" s="27">
        <v>30467.34956951658</v>
      </c>
      <c r="E272" s="28">
        <v>18954.248212141621</v>
      </c>
      <c r="F272" s="27">
        <f t="shared" si="9"/>
        <v>11513.101357374959</v>
      </c>
      <c r="G272" s="27">
        <f t="shared" si="8"/>
        <v>37.788325929388137</v>
      </c>
      <c r="H272" s="29">
        <v>41</v>
      </c>
      <c r="I272" s="29">
        <v>3</v>
      </c>
      <c r="J272" s="15" t="s">
        <v>75</v>
      </c>
      <c r="K272" s="13"/>
      <c r="L272" s="13"/>
      <c r="M272" s="15">
        <v>400</v>
      </c>
    </row>
    <row r="273" spans="1:13" ht="30" customHeight="1">
      <c r="A273" s="16" t="s">
        <v>13</v>
      </c>
      <c r="B273" s="30" t="s">
        <v>387</v>
      </c>
      <c r="C273" s="30" t="s">
        <v>362</v>
      </c>
      <c r="D273" s="27">
        <v>40541.896349516581</v>
      </c>
      <c r="E273" s="28">
        <v>27768.374878808288</v>
      </c>
      <c r="F273" s="27">
        <f t="shared" si="9"/>
        <v>12773.521470708292</v>
      </c>
      <c r="G273" s="27">
        <f t="shared" si="8"/>
        <v>31.506965931209095</v>
      </c>
      <c r="H273" s="29">
        <v>42</v>
      </c>
      <c r="I273" s="29">
        <v>3</v>
      </c>
      <c r="J273" s="15" t="s">
        <v>68</v>
      </c>
      <c r="K273" s="13">
        <v>40.890700000000002</v>
      </c>
      <c r="L273" s="13">
        <v>71.955235000000002</v>
      </c>
      <c r="M273" s="15">
        <v>40</v>
      </c>
    </row>
    <row r="274" spans="1:13" ht="30" customHeight="1">
      <c r="A274" s="16" t="s">
        <v>13</v>
      </c>
      <c r="B274" s="30" t="s">
        <v>388</v>
      </c>
      <c r="C274" s="30" t="s">
        <v>363</v>
      </c>
      <c r="D274" s="27">
        <v>29343.826289516579</v>
      </c>
      <c r="E274" s="28">
        <v>17971.288212141619</v>
      </c>
      <c r="F274" s="27">
        <f t="shared" si="9"/>
        <v>11372.53807737496</v>
      </c>
      <c r="G274" s="27">
        <f t="shared" si="8"/>
        <v>38.756152538423152</v>
      </c>
      <c r="H274" s="29">
        <v>19</v>
      </c>
      <c r="I274" s="29">
        <v>4</v>
      </c>
      <c r="J274" s="15" t="s">
        <v>74</v>
      </c>
      <c r="K274" s="13">
        <v>40.883293333300003</v>
      </c>
      <c r="L274" s="13">
        <v>71.964291666700007</v>
      </c>
      <c r="M274" s="15">
        <v>63</v>
      </c>
    </row>
    <row r="275" spans="1:13" ht="30" customHeight="1">
      <c r="A275" s="16" t="s">
        <v>13</v>
      </c>
      <c r="B275" s="30" t="s">
        <v>389</v>
      </c>
      <c r="C275" s="30" t="s">
        <v>364</v>
      </c>
      <c r="D275" s="27">
        <v>32839.764179516576</v>
      </c>
      <c r="E275" s="28">
        <v>21029.851545474954</v>
      </c>
      <c r="F275" s="27">
        <f t="shared" si="9"/>
        <v>11809.912634041622</v>
      </c>
      <c r="G275" s="27">
        <f t="shared" si="8"/>
        <v>35.962233375012836</v>
      </c>
      <c r="H275" s="29">
        <v>63</v>
      </c>
      <c r="I275" s="29">
        <v>3</v>
      </c>
      <c r="J275" s="15" t="s">
        <v>76</v>
      </c>
      <c r="K275" s="13">
        <v>40.875286666699999</v>
      </c>
      <c r="L275" s="13">
        <v>71.9537066667</v>
      </c>
      <c r="M275" s="15">
        <v>25</v>
      </c>
    </row>
    <row r="276" spans="1:13" ht="30" customHeight="1">
      <c r="A276" s="16" t="s">
        <v>13</v>
      </c>
      <c r="B276" s="30" t="s">
        <v>386</v>
      </c>
      <c r="C276" s="30" t="s">
        <v>365</v>
      </c>
      <c r="D276" s="27">
        <v>31138.919219516578</v>
      </c>
      <c r="E276" s="28">
        <v>19541.798212141621</v>
      </c>
      <c r="F276" s="27">
        <f t="shared" si="9"/>
        <v>11597.121007374957</v>
      </c>
      <c r="G276" s="27">
        <f t="shared" si="8"/>
        <v>37.243171240530295</v>
      </c>
      <c r="H276" s="29">
        <v>31</v>
      </c>
      <c r="I276" s="29">
        <v>3</v>
      </c>
      <c r="J276" s="15" t="s">
        <v>81</v>
      </c>
      <c r="K276" s="13"/>
      <c r="L276" s="13"/>
      <c r="M276" s="15">
        <v>160</v>
      </c>
    </row>
    <row r="277" spans="1:13" ht="30" customHeight="1">
      <c r="A277" s="16" t="s">
        <v>13</v>
      </c>
      <c r="B277" s="30" t="s">
        <v>389</v>
      </c>
      <c r="C277" s="30" t="s">
        <v>366</v>
      </c>
      <c r="D277" s="27">
        <v>30859.787189516581</v>
      </c>
      <c r="E277" s="28">
        <v>19297.588212141622</v>
      </c>
      <c r="F277" s="27">
        <f t="shared" si="9"/>
        <v>11562.198977374959</v>
      </c>
      <c r="G277" s="27">
        <f t="shared" si="8"/>
        <v>37.466878518536149</v>
      </c>
      <c r="H277" s="29">
        <v>8</v>
      </c>
      <c r="I277" s="29">
        <v>3</v>
      </c>
      <c r="J277" s="15" t="s">
        <v>77</v>
      </c>
      <c r="K277" s="13"/>
      <c r="L277" s="13"/>
      <c r="M277" s="15">
        <v>60</v>
      </c>
    </row>
    <row r="278" spans="1:13" ht="30" customHeight="1">
      <c r="A278" s="16" t="s">
        <v>30</v>
      </c>
      <c r="B278" s="30" t="s">
        <v>384</v>
      </c>
      <c r="C278" s="30" t="s">
        <v>91</v>
      </c>
      <c r="D278" s="27">
        <v>30064.278239516578</v>
      </c>
      <c r="E278" s="28">
        <v>18601.604878808288</v>
      </c>
      <c r="F278" s="27">
        <f t="shared" si="9"/>
        <v>11462.67336070829</v>
      </c>
      <c r="G278" s="27">
        <f t="shared" si="8"/>
        <v>38.127219517419576</v>
      </c>
      <c r="H278" s="29">
        <v>10</v>
      </c>
      <c r="I278" s="29">
        <v>3</v>
      </c>
      <c r="J278" s="15" t="s">
        <v>82</v>
      </c>
      <c r="K278" s="13"/>
      <c r="L278" s="13"/>
      <c r="M278" s="15">
        <v>250</v>
      </c>
    </row>
    <row r="279" spans="1:13" ht="30" customHeight="1">
      <c r="A279" s="16" t="s">
        <v>30</v>
      </c>
      <c r="B279" s="30" t="s">
        <v>390</v>
      </c>
      <c r="C279" s="30" t="s">
        <v>367</v>
      </c>
      <c r="D279" s="27">
        <v>36909.453779516582</v>
      </c>
      <c r="E279" s="28">
        <v>24590.384878808287</v>
      </c>
      <c r="F279" s="27">
        <f t="shared" si="9"/>
        <v>12319.068900708295</v>
      </c>
      <c r="G279" s="27">
        <f t="shared" si="8"/>
        <v>33.376459522532777</v>
      </c>
      <c r="H279" s="29">
        <v>42</v>
      </c>
      <c r="I279" s="29">
        <v>3</v>
      </c>
      <c r="J279" s="15" t="s">
        <v>70</v>
      </c>
      <c r="K279" s="13">
        <v>40.870626666699998</v>
      </c>
      <c r="L279" s="13">
        <v>72.030681666700005</v>
      </c>
      <c r="M279" s="15">
        <v>40</v>
      </c>
    </row>
    <row r="280" spans="1:13" ht="30" customHeight="1">
      <c r="A280" s="16" t="s">
        <v>30</v>
      </c>
      <c r="B280" s="30" t="s">
        <v>384</v>
      </c>
      <c r="C280" s="30" t="s">
        <v>106</v>
      </c>
      <c r="D280" s="27">
        <v>30602.455979516581</v>
      </c>
      <c r="E280" s="28">
        <v>19072.451545474953</v>
      </c>
      <c r="F280" s="27">
        <f t="shared" si="9"/>
        <v>11530.004434041628</v>
      </c>
      <c r="G280" s="27">
        <f t="shared" si="8"/>
        <v>37.676729089191767</v>
      </c>
      <c r="H280" s="29">
        <v>36</v>
      </c>
      <c r="I280" s="29">
        <v>5</v>
      </c>
      <c r="J280" s="15" t="s">
        <v>59</v>
      </c>
      <c r="K280" s="13"/>
      <c r="L280" s="13"/>
      <c r="M280" s="15">
        <v>250</v>
      </c>
    </row>
    <row r="281" spans="1:13" ht="30" customHeight="1">
      <c r="A281" s="16" t="s">
        <v>13</v>
      </c>
      <c r="B281" s="30" t="s">
        <v>388</v>
      </c>
      <c r="C281" s="30" t="s">
        <v>368</v>
      </c>
      <c r="D281" s="27">
        <v>30219.482399516579</v>
      </c>
      <c r="E281" s="28">
        <v>18737.391545474955</v>
      </c>
      <c r="F281" s="27">
        <f t="shared" si="9"/>
        <v>11482.090854041624</v>
      </c>
      <c r="G281" s="27">
        <f t="shared" si="8"/>
        <v>37.995656915107524</v>
      </c>
      <c r="H281" s="29">
        <v>26</v>
      </c>
      <c r="I281" s="29">
        <v>3</v>
      </c>
      <c r="J281" s="15" t="s">
        <v>83</v>
      </c>
      <c r="K281" s="13"/>
      <c r="L281" s="13"/>
      <c r="M281" s="15">
        <v>63</v>
      </c>
    </row>
    <row r="282" spans="1:13" ht="30" customHeight="1">
      <c r="A282" s="16" t="s">
        <v>13</v>
      </c>
      <c r="B282" s="30" t="s">
        <v>389</v>
      </c>
      <c r="C282" s="30" t="s">
        <v>369</v>
      </c>
      <c r="D282" s="27">
        <v>34642.389479516583</v>
      </c>
      <c r="E282" s="28">
        <v>22606.951545474953</v>
      </c>
      <c r="F282" s="27">
        <f t="shared" si="9"/>
        <v>12035.437934041631</v>
      </c>
      <c r="G282" s="27">
        <f t="shared" si="8"/>
        <v>34.741939325975096</v>
      </c>
      <c r="H282" s="29">
        <v>62</v>
      </c>
      <c r="I282" s="29">
        <v>3</v>
      </c>
      <c r="J282" s="15" t="s">
        <v>55</v>
      </c>
      <c r="K282" s="13"/>
      <c r="L282" s="13"/>
      <c r="M282" s="15">
        <v>400</v>
      </c>
    </row>
    <row r="283" spans="1:13" ht="30" customHeight="1">
      <c r="A283" s="16" t="s">
        <v>13</v>
      </c>
      <c r="B283" s="30" t="s">
        <v>390</v>
      </c>
      <c r="C283" s="30" t="s">
        <v>370</v>
      </c>
      <c r="D283" s="27">
        <v>31906.302749516581</v>
      </c>
      <c r="E283" s="28">
        <v>20213.174878808288</v>
      </c>
      <c r="F283" s="27">
        <f t="shared" si="9"/>
        <v>11693.127870708293</v>
      </c>
      <c r="G283" s="27">
        <f t="shared" si="8"/>
        <v>36.648332345199279</v>
      </c>
      <c r="H283" s="29">
        <v>40</v>
      </c>
      <c r="I283" s="29">
        <v>5</v>
      </c>
      <c r="J283" s="15" t="s">
        <v>56</v>
      </c>
      <c r="K283" s="13"/>
      <c r="L283" s="13"/>
      <c r="M283" s="15">
        <v>25</v>
      </c>
    </row>
    <row r="284" spans="1:13" ht="30" customHeight="1">
      <c r="A284" s="16" t="s">
        <v>13</v>
      </c>
      <c r="B284" s="30" t="s">
        <v>391</v>
      </c>
      <c r="C284" s="30" t="s">
        <v>371</v>
      </c>
      <c r="D284" s="27">
        <v>30269.45816951658</v>
      </c>
      <c r="E284" s="28">
        <v>18781.114878808286</v>
      </c>
      <c r="F284" s="27">
        <f t="shared" si="9"/>
        <v>11488.343290708293</v>
      </c>
      <c r="G284" s="27">
        <f t="shared" si="8"/>
        <v>37.953580887938863</v>
      </c>
      <c r="H284" s="29">
        <v>32</v>
      </c>
      <c r="I284" s="29">
        <v>3</v>
      </c>
      <c r="J284" s="15" t="s">
        <v>75</v>
      </c>
      <c r="K284" s="13"/>
      <c r="L284" s="13"/>
      <c r="M284" s="15">
        <v>25</v>
      </c>
    </row>
    <row r="285" spans="1:13" ht="30" customHeight="1">
      <c r="A285" s="16" t="s">
        <v>13</v>
      </c>
      <c r="B285" s="30" t="s">
        <v>388</v>
      </c>
      <c r="C285" s="30" t="s">
        <v>372</v>
      </c>
      <c r="D285" s="27">
        <v>30564.18452951658</v>
      </c>
      <c r="E285" s="28">
        <v>19038.968212141619</v>
      </c>
      <c r="F285" s="27">
        <f t="shared" si="9"/>
        <v>11525.216317374961</v>
      </c>
      <c r="G285" s="27">
        <f t="shared" si="8"/>
        <v>37.70824085375083</v>
      </c>
      <c r="H285" s="29">
        <v>15</v>
      </c>
      <c r="I285" s="29">
        <v>4</v>
      </c>
      <c r="J285" s="15" t="s">
        <v>55</v>
      </c>
      <c r="K285" s="13">
        <v>40.882366666700001</v>
      </c>
      <c r="L285" s="13">
        <v>72.011693333300002</v>
      </c>
      <c r="M285" s="15">
        <v>63</v>
      </c>
    </row>
    <row r="286" spans="1:13" ht="30" customHeight="1">
      <c r="A286" s="16" t="s">
        <v>30</v>
      </c>
      <c r="B286" s="30" t="s">
        <v>392</v>
      </c>
      <c r="C286" s="30" t="s">
        <v>373</v>
      </c>
      <c r="D286" s="27">
        <v>36846.84785951658</v>
      </c>
      <c r="E286" s="28">
        <v>24535.611545474952</v>
      </c>
      <c r="F286" s="27">
        <f t="shared" si="9"/>
        <v>12311.236314041627</v>
      </c>
      <c r="G286" s="27">
        <f t="shared" si="8"/>
        <v>33.411911816662922</v>
      </c>
      <c r="H286" s="29">
        <v>157</v>
      </c>
      <c r="I286" s="29">
        <v>5</v>
      </c>
      <c r="J286" s="15" t="s">
        <v>84</v>
      </c>
      <c r="K286" s="13"/>
      <c r="L286" s="13"/>
      <c r="M286" s="15">
        <v>100</v>
      </c>
    </row>
    <row r="287" spans="1:13" ht="30" customHeight="1">
      <c r="A287" s="16" t="s">
        <v>13</v>
      </c>
      <c r="B287" s="30" t="s">
        <v>388</v>
      </c>
      <c r="C287" s="30" t="s">
        <v>26</v>
      </c>
      <c r="D287" s="27">
        <v>30227.334809516578</v>
      </c>
      <c r="E287" s="28">
        <v>18744.261545474954</v>
      </c>
      <c r="F287" s="27">
        <f t="shared" si="9"/>
        <v>11483.073264041624</v>
      </c>
      <c r="G287" s="27">
        <f t="shared" si="8"/>
        <v>37.989036533999574</v>
      </c>
      <c r="H287" s="29">
        <v>21</v>
      </c>
      <c r="I287" s="29">
        <v>3</v>
      </c>
      <c r="J287" s="15" t="s">
        <v>85</v>
      </c>
      <c r="K287" s="13"/>
      <c r="L287" s="13"/>
      <c r="M287" s="15">
        <v>100</v>
      </c>
    </row>
    <row r="288" spans="1:13" ht="30" customHeight="1">
      <c r="A288" s="16" t="s">
        <v>13</v>
      </c>
      <c r="B288" s="30" t="s">
        <v>390</v>
      </c>
      <c r="C288" s="30" t="s">
        <v>374</v>
      </c>
      <c r="D288" s="27">
        <v>31983.230459516581</v>
      </c>
      <c r="E288" s="28">
        <v>20280.478212141621</v>
      </c>
      <c r="F288" s="27">
        <f t="shared" si="9"/>
        <v>11702.75224737496</v>
      </c>
      <c r="G288" s="27">
        <f t="shared" si="8"/>
        <v>36.590275839046193</v>
      </c>
      <c r="H288" s="29">
        <v>33</v>
      </c>
      <c r="I288" s="29">
        <v>3</v>
      </c>
      <c r="J288" s="15" t="s">
        <v>81</v>
      </c>
      <c r="K288" s="13"/>
      <c r="L288" s="13"/>
      <c r="M288" s="15">
        <v>100</v>
      </c>
    </row>
    <row r="289" spans="1:13" ht="30" customHeight="1">
      <c r="A289" s="16" t="s">
        <v>13</v>
      </c>
      <c r="B289" s="30" t="s">
        <v>390</v>
      </c>
      <c r="C289" s="30" t="s">
        <v>375</v>
      </c>
      <c r="D289" s="27">
        <v>31413.589739516581</v>
      </c>
      <c r="E289" s="28">
        <v>19782.104878808288</v>
      </c>
      <c r="F289" s="27">
        <f t="shared" si="9"/>
        <v>11631.484860708293</v>
      </c>
      <c r="G289" s="27">
        <f t="shared" si="8"/>
        <v>37.026920377955143</v>
      </c>
      <c r="H289" s="29">
        <v>40</v>
      </c>
      <c r="I289" s="29">
        <v>4</v>
      </c>
      <c r="J289" s="15" t="s">
        <v>65</v>
      </c>
      <c r="K289" s="13"/>
      <c r="L289" s="13"/>
      <c r="M289" s="15">
        <v>63</v>
      </c>
    </row>
    <row r="290" spans="1:13" ht="30" customHeight="1">
      <c r="A290" s="16" t="s">
        <v>13</v>
      </c>
      <c r="B290" s="30" t="s">
        <v>390</v>
      </c>
      <c r="C290" s="30" t="s">
        <v>376</v>
      </c>
      <c r="D290" s="27">
        <v>32253.11180951658</v>
      </c>
      <c r="E290" s="28">
        <v>20516.594878808286</v>
      </c>
      <c r="F290" s="27">
        <f t="shared" si="9"/>
        <v>11736.516930708294</v>
      </c>
      <c r="G290" s="27">
        <f t="shared" si="8"/>
        <v>36.388789398129717</v>
      </c>
      <c r="H290" s="29">
        <v>53</v>
      </c>
      <c r="I290" s="29">
        <v>3</v>
      </c>
      <c r="J290" s="15" t="s">
        <v>60</v>
      </c>
      <c r="K290" s="13"/>
      <c r="L290" s="13"/>
      <c r="M290" s="15">
        <v>160</v>
      </c>
    </row>
    <row r="291" spans="1:13" ht="30" customHeight="1">
      <c r="A291" s="16" t="s">
        <v>13</v>
      </c>
      <c r="B291" s="30" t="s">
        <v>389</v>
      </c>
      <c r="C291" s="30" t="s">
        <v>377</v>
      </c>
      <c r="D291" s="27">
        <v>35288.066369516579</v>
      </c>
      <c r="E291" s="28">
        <v>23171.84821214162</v>
      </c>
      <c r="F291" s="27">
        <f t="shared" si="9"/>
        <v>12116.218157374959</v>
      </c>
      <c r="G291" s="27">
        <f t="shared" si="8"/>
        <v>34.335171642732725</v>
      </c>
      <c r="H291" s="29">
        <v>88</v>
      </c>
      <c r="I291" s="29">
        <v>3</v>
      </c>
      <c r="J291" s="15" t="s">
        <v>60</v>
      </c>
      <c r="K291" s="13">
        <v>40.881914999999999</v>
      </c>
      <c r="L291" s="13">
        <v>71.997399999999999</v>
      </c>
      <c r="M291" s="15">
        <v>100</v>
      </c>
    </row>
    <row r="292" spans="1:13" ht="30" customHeight="1">
      <c r="A292" s="16" t="s">
        <v>13</v>
      </c>
      <c r="B292" s="30" t="s">
        <v>392</v>
      </c>
      <c r="C292" s="30" t="s">
        <v>378</v>
      </c>
      <c r="D292" s="27">
        <v>30581.462879516577</v>
      </c>
      <c r="E292" s="28">
        <v>19054.084878808288</v>
      </c>
      <c r="F292" s="27">
        <f t="shared" si="9"/>
        <v>11527.37800070829</v>
      </c>
      <c r="G292" s="27">
        <f t="shared" si="8"/>
        <v>37.694004522031257</v>
      </c>
      <c r="H292" s="29">
        <v>23</v>
      </c>
      <c r="I292" s="29">
        <v>3</v>
      </c>
      <c r="J292" s="15" t="s">
        <v>55</v>
      </c>
      <c r="K292" s="13"/>
      <c r="L292" s="13"/>
      <c r="M292" s="15">
        <v>160</v>
      </c>
    </row>
    <row r="293" spans="1:13" ht="30" customHeight="1">
      <c r="A293" s="16" t="s">
        <v>30</v>
      </c>
      <c r="B293" s="30" t="s">
        <v>391</v>
      </c>
      <c r="C293" s="30" t="s">
        <v>379</v>
      </c>
      <c r="D293" s="27">
        <v>32412.54887951658</v>
      </c>
      <c r="E293" s="28">
        <v>20656.084878808288</v>
      </c>
      <c r="F293" s="27">
        <f t="shared" si="9"/>
        <v>11756.464000708293</v>
      </c>
      <c r="G293" s="27">
        <f t="shared" si="8"/>
        <v>36.271334427937887</v>
      </c>
      <c r="H293" s="29">
        <v>26</v>
      </c>
      <c r="I293" s="29">
        <v>3</v>
      </c>
      <c r="J293" s="15" t="s">
        <v>75</v>
      </c>
      <c r="K293" s="13">
        <v>40.837551666700001</v>
      </c>
      <c r="L293" s="13">
        <v>72.172751666699995</v>
      </c>
      <c r="M293" s="15">
        <v>100</v>
      </c>
    </row>
    <row r="294" spans="1:13" ht="30" customHeight="1">
      <c r="A294" s="16" t="s">
        <v>30</v>
      </c>
      <c r="B294" s="30" t="s">
        <v>388</v>
      </c>
      <c r="C294" s="30" t="s">
        <v>380</v>
      </c>
      <c r="D294" s="27">
        <v>29967.107999516578</v>
      </c>
      <c r="E294" s="28">
        <v>18516.591545474952</v>
      </c>
      <c r="F294" s="27">
        <f t="shared" si="9"/>
        <v>11450.516454041626</v>
      </c>
      <c r="G294" s="27">
        <f t="shared" ref="G294:G355" si="10">+F294*100/D294</f>
        <v>38.210281933866767</v>
      </c>
      <c r="H294" s="29">
        <v>24</v>
      </c>
      <c r="I294" s="29">
        <v>3</v>
      </c>
      <c r="J294" s="15" t="s">
        <v>86</v>
      </c>
      <c r="K294" s="13">
        <v>40.883151666700002</v>
      </c>
      <c r="L294" s="13">
        <v>72.085181666699995</v>
      </c>
      <c r="M294" s="15">
        <v>63</v>
      </c>
    </row>
    <row r="295" spans="1:13" ht="30" customHeight="1">
      <c r="A295" s="16" t="s">
        <v>13</v>
      </c>
      <c r="B295" s="30" t="s">
        <v>390</v>
      </c>
      <c r="C295" s="30" t="s">
        <v>381</v>
      </c>
      <c r="D295" s="27">
        <v>29761.848059516578</v>
      </c>
      <c r="E295" s="28">
        <v>18337.011545474954</v>
      </c>
      <c r="F295" s="27">
        <f t="shared" si="9"/>
        <v>11424.836514041624</v>
      </c>
      <c r="G295" s="27">
        <f t="shared" si="10"/>
        <v>38.387523823099571</v>
      </c>
      <c r="H295" s="29">
        <v>13</v>
      </c>
      <c r="I295" s="29">
        <v>3</v>
      </c>
      <c r="J295" s="15" t="s">
        <v>70</v>
      </c>
      <c r="K295" s="13">
        <v>40.883535000000002</v>
      </c>
      <c r="L295" s="13">
        <v>71.979993333300001</v>
      </c>
      <c r="M295" s="15">
        <v>100</v>
      </c>
    </row>
    <row r="296" spans="1:13" ht="30" customHeight="1">
      <c r="A296" s="16" t="s">
        <v>30</v>
      </c>
      <c r="B296" s="30" t="s">
        <v>385</v>
      </c>
      <c r="C296" s="30" t="s">
        <v>382</v>
      </c>
      <c r="D296" s="27">
        <v>35108.516309516577</v>
      </c>
      <c r="E296" s="28">
        <v>23014.761545474954</v>
      </c>
      <c r="F296" s="27">
        <f t="shared" si="9"/>
        <v>12093.754764041623</v>
      </c>
      <c r="G296" s="27">
        <f t="shared" si="10"/>
        <v>34.446783958123198</v>
      </c>
      <c r="H296" s="29">
        <v>135</v>
      </c>
      <c r="I296" s="29">
        <v>13</v>
      </c>
      <c r="J296" s="15" t="s">
        <v>56</v>
      </c>
      <c r="K296" s="13">
        <v>40.858853333299997</v>
      </c>
      <c r="L296" s="13">
        <v>72.0770083333</v>
      </c>
      <c r="M296" s="15">
        <v>100</v>
      </c>
    </row>
    <row r="297" spans="1:13" ht="30" customHeight="1">
      <c r="A297" s="16" t="s">
        <v>45</v>
      </c>
      <c r="B297" s="30" t="s">
        <v>385</v>
      </c>
      <c r="C297" s="30" t="s">
        <v>383</v>
      </c>
      <c r="D297" s="27">
        <v>29347.978407607796</v>
      </c>
      <c r="E297" s="28">
        <v>17975.015751556035</v>
      </c>
      <c r="F297" s="27">
        <f t="shared" si="9"/>
        <v>11372.962656051761</v>
      </c>
      <c r="G297" s="27">
        <f t="shared" si="10"/>
        <v>38.752116067741071</v>
      </c>
      <c r="H297" s="29">
        <v>1</v>
      </c>
      <c r="I297" s="29">
        <v>3</v>
      </c>
      <c r="J297" s="15" t="s">
        <v>87</v>
      </c>
      <c r="K297" s="13">
        <v>40.833135628299999</v>
      </c>
      <c r="L297" s="13">
        <v>72.203557438199994</v>
      </c>
      <c r="M297" s="15">
        <v>630</v>
      </c>
    </row>
    <row r="298" spans="1:13" ht="30" customHeight="1">
      <c r="A298" s="16" t="s">
        <v>30</v>
      </c>
      <c r="B298" s="30" t="s">
        <v>384</v>
      </c>
      <c r="C298" s="30" t="s">
        <v>114</v>
      </c>
      <c r="D298" s="27">
        <v>29272.72787951658</v>
      </c>
      <c r="E298" s="28">
        <v>17909.084878808288</v>
      </c>
      <c r="F298" s="27">
        <f t="shared" si="9"/>
        <v>11363.643000708293</v>
      </c>
      <c r="G298" s="27">
        <f t="shared" si="10"/>
        <v>38.819897644933647</v>
      </c>
      <c r="H298" s="29">
        <v>18</v>
      </c>
      <c r="I298" s="29">
        <v>3</v>
      </c>
      <c r="J298" s="15" t="s">
        <v>88</v>
      </c>
      <c r="K298" s="13">
        <v>40.8940533333</v>
      </c>
      <c r="L298" s="13">
        <v>71.926556666699994</v>
      </c>
      <c r="M298" s="15">
        <v>40</v>
      </c>
    </row>
    <row r="299" spans="1:13" ht="30" customHeight="1">
      <c r="A299" s="16" t="s">
        <v>13</v>
      </c>
      <c r="B299" s="30" t="s">
        <v>388</v>
      </c>
      <c r="C299" s="30" t="s">
        <v>402</v>
      </c>
      <c r="D299" s="44">
        <v>3133.8649999999998</v>
      </c>
      <c r="E299" s="44">
        <v>3133.8649999999998</v>
      </c>
      <c r="F299" s="27">
        <f t="shared" si="9"/>
        <v>0</v>
      </c>
      <c r="G299" s="27">
        <f t="shared" si="10"/>
        <v>0</v>
      </c>
      <c r="H299" s="29">
        <v>1</v>
      </c>
      <c r="I299" s="35">
        <f>SUM(I3:I298)</f>
        <v>1239</v>
      </c>
      <c r="J299" s="12"/>
      <c r="K299" s="13"/>
      <c r="L299" s="13"/>
      <c r="M299" s="36"/>
    </row>
    <row r="300" spans="1:13" ht="30" customHeight="1">
      <c r="A300" s="16" t="s">
        <v>13</v>
      </c>
      <c r="B300" s="30" t="s">
        <v>387</v>
      </c>
      <c r="C300" s="30" t="s">
        <v>404</v>
      </c>
      <c r="D300" s="44">
        <v>2565.8434999999995</v>
      </c>
      <c r="E300" s="44">
        <v>2565.8434999999995</v>
      </c>
      <c r="F300" s="27">
        <f t="shared" si="9"/>
        <v>0</v>
      </c>
      <c r="G300" s="27">
        <f t="shared" si="10"/>
        <v>0</v>
      </c>
      <c r="H300" s="29">
        <v>1</v>
      </c>
      <c r="I300" s="12"/>
      <c r="J300" s="12"/>
      <c r="K300" s="13"/>
      <c r="L300" s="13"/>
      <c r="M300" s="36"/>
    </row>
    <row r="301" spans="1:13" ht="30" customHeight="1">
      <c r="A301" s="16" t="s">
        <v>13</v>
      </c>
      <c r="B301" s="30" t="s">
        <v>388</v>
      </c>
      <c r="C301" s="30" t="s">
        <v>405</v>
      </c>
      <c r="D301" s="44">
        <v>860.26800000000003</v>
      </c>
      <c r="E301" s="44">
        <v>860.26800000000003</v>
      </c>
      <c r="F301" s="27">
        <f t="shared" si="9"/>
        <v>0</v>
      </c>
      <c r="G301" s="27">
        <v>0</v>
      </c>
      <c r="H301" s="29">
        <v>1</v>
      </c>
      <c r="I301" s="12"/>
      <c r="J301" s="12"/>
      <c r="K301" s="13"/>
      <c r="L301" s="13"/>
      <c r="M301" s="36"/>
    </row>
    <row r="302" spans="1:13" ht="30" customHeight="1">
      <c r="A302" s="16" t="s">
        <v>13</v>
      </c>
      <c r="B302" s="30" t="s">
        <v>388</v>
      </c>
      <c r="C302" s="30" t="s">
        <v>407</v>
      </c>
      <c r="D302" s="44">
        <v>2606.8394999999996</v>
      </c>
      <c r="E302" s="44">
        <v>2606.8394999999996</v>
      </c>
      <c r="F302" s="27">
        <f t="shared" si="9"/>
        <v>0</v>
      </c>
      <c r="G302" s="27">
        <f t="shared" si="10"/>
        <v>0</v>
      </c>
      <c r="H302" s="29">
        <v>1</v>
      </c>
      <c r="I302" s="12"/>
      <c r="J302" s="12"/>
      <c r="K302" s="13"/>
      <c r="L302" s="13"/>
      <c r="M302" s="36"/>
    </row>
    <row r="303" spans="1:13" ht="30" customHeight="1">
      <c r="A303" s="16" t="s">
        <v>13</v>
      </c>
      <c r="B303" s="30" t="s">
        <v>388</v>
      </c>
      <c r="C303" s="30" t="s">
        <v>408</v>
      </c>
      <c r="D303" s="44">
        <v>2617.0884999999994</v>
      </c>
      <c r="E303" s="44">
        <v>2617.0884999999994</v>
      </c>
      <c r="F303" s="27">
        <f t="shared" si="9"/>
        <v>0</v>
      </c>
      <c r="G303" s="27">
        <f t="shared" si="10"/>
        <v>0</v>
      </c>
      <c r="H303" s="29">
        <v>1</v>
      </c>
      <c r="I303" s="12"/>
      <c r="J303" s="12"/>
      <c r="K303" s="13"/>
      <c r="L303" s="13"/>
      <c r="M303" s="36"/>
    </row>
    <row r="304" spans="1:13" ht="30" customHeight="1">
      <c r="A304" s="16" t="s">
        <v>13</v>
      </c>
      <c r="B304" s="30" t="s">
        <v>388</v>
      </c>
      <c r="C304" s="30" t="s">
        <v>410</v>
      </c>
      <c r="D304" s="44">
        <v>2750.0979999999995</v>
      </c>
      <c r="E304" s="44">
        <v>2750.0979999999995</v>
      </c>
      <c r="F304" s="27">
        <f t="shared" si="9"/>
        <v>0</v>
      </c>
      <c r="G304" s="27">
        <f t="shared" si="10"/>
        <v>0</v>
      </c>
      <c r="H304" s="29">
        <v>1</v>
      </c>
      <c r="I304" s="12"/>
      <c r="J304" s="12"/>
      <c r="K304" s="13"/>
      <c r="L304" s="13"/>
      <c r="M304" s="36"/>
    </row>
    <row r="305" spans="1:13" ht="30" customHeight="1">
      <c r="A305" s="16" t="s">
        <v>13</v>
      </c>
      <c r="B305" s="30" t="s">
        <v>387</v>
      </c>
      <c r="C305" s="30" t="s">
        <v>411</v>
      </c>
      <c r="D305" s="44">
        <v>3398.9979999999991</v>
      </c>
      <c r="E305" s="44">
        <v>3398.9979999999991</v>
      </c>
      <c r="F305" s="27">
        <f t="shared" si="9"/>
        <v>0</v>
      </c>
      <c r="G305" s="27">
        <f t="shared" si="10"/>
        <v>0</v>
      </c>
      <c r="H305" s="29">
        <v>1</v>
      </c>
      <c r="I305" s="12"/>
      <c r="J305" s="12"/>
      <c r="K305" s="13"/>
      <c r="L305" s="13"/>
      <c r="M305" s="36"/>
    </row>
    <row r="306" spans="1:13" ht="30" customHeight="1">
      <c r="A306" s="16" t="s">
        <v>13</v>
      </c>
      <c r="B306" s="30" t="s">
        <v>387</v>
      </c>
      <c r="C306" s="30" t="s">
        <v>412</v>
      </c>
      <c r="D306" s="44">
        <v>4513.4980000000005</v>
      </c>
      <c r="E306" s="44">
        <v>4513.4980000000005</v>
      </c>
      <c r="F306" s="27">
        <f t="shared" si="9"/>
        <v>0</v>
      </c>
      <c r="G306" s="27">
        <f t="shared" si="10"/>
        <v>0</v>
      </c>
      <c r="H306" s="29">
        <v>1</v>
      </c>
      <c r="I306" s="12"/>
      <c r="J306" s="12"/>
      <c r="K306" s="13"/>
      <c r="L306" s="13"/>
      <c r="M306" s="36"/>
    </row>
    <row r="307" spans="1:13" ht="30" customHeight="1">
      <c r="A307" s="16" t="s">
        <v>13</v>
      </c>
      <c r="B307" s="30" t="s">
        <v>388</v>
      </c>
      <c r="C307" s="30" t="s">
        <v>413</v>
      </c>
      <c r="D307" s="44">
        <v>5255.9980000000005</v>
      </c>
      <c r="E307" s="44">
        <v>5255.9980000000005</v>
      </c>
      <c r="F307" s="27">
        <f t="shared" si="9"/>
        <v>0</v>
      </c>
      <c r="G307" s="27">
        <f t="shared" si="10"/>
        <v>0</v>
      </c>
      <c r="H307" s="29">
        <v>1</v>
      </c>
      <c r="I307" s="12"/>
      <c r="J307" s="12"/>
      <c r="K307" s="13"/>
      <c r="L307" s="13"/>
      <c r="M307" s="36"/>
    </row>
    <row r="308" spans="1:13" ht="30" customHeight="1">
      <c r="A308" s="16" t="s">
        <v>13</v>
      </c>
      <c r="B308" s="30" t="s">
        <v>388</v>
      </c>
      <c r="C308" s="30" t="s">
        <v>414</v>
      </c>
      <c r="D308" s="44">
        <v>2570.9679999999994</v>
      </c>
      <c r="E308" s="44">
        <v>2570.9679999999994</v>
      </c>
      <c r="F308" s="27">
        <f t="shared" si="9"/>
        <v>0</v>
      </c>
      <c r="G308" s="27">
        <f t="shared" si="10"/>
        <v>0</v>
      </c>
      <c r="H308" s="29">
        <v>1</v>
      </c>
      <c r="I308" s="12"/>
      <c r="J308" s="12"/>
      <c r="K308" s="13"/>
      <c r="L308" s="13"/>
      <c r="M308" s="36"/>
    </row>
    <row r="309" spans="1:13" ht="30" customHeight="1">
      <c r="A309" s="16" t="s">
        <v>13</v>
      </c>
      <c r="B309" s="30" t="s">
        <v>388</v>
      </c>
      <c r="C309" s="30" t="s">
        <v>415</v>
      </c>
      <c r="D309" s="44">
        <v>1510.1965000000002</v>
      </c>
      <c r="E309" s="44">
        <v>1510.1965000000002</v>
      </c>
      <c r="F309" s="27">
        <f t="shared" si="9"/>
        <v>0</v>
      </c>
      <c r="G309" s="27">
        <f t="shared" si="10"/>
        <v>0</v>
      </c>
      <c r="H309" s="29">
        <v>1</v>
      </c>
      <c r="I309" s="12"/>
      <c r="J309" s="12"/>
      <c r="K309" s="13"/>
      <c r="L309" s="13"/>
      <c r="M309" s="36"/>
    </row>
    <row r="310" spans="1:13" ht="30" customHeight="1">
      <c r="A310" s="16" t="s">
        <v>13</v>
      </c>
      <c r="B310" s="30" t="s">
        <v>388</v>
      </c>
      <c r="C310" s="30" t="s">
        <v>416</v>
      </c>
      <c r="D310" s="44">
        <v>1484.5739999999998</v>
      </c>
      <c r="E310" s="44">
        <v>1484.5739999999998</v>
      </c>
      <c r="F310" s="27">
        <f t="shared" si="9"/>
        <v>0</v>
      </c>
      <c r="G310" s="27">
        <f t="shared" si="10"/>
        <v>0</v>
      </c>
      <c r="H310" s="29">
        <v>1</v>
      </c>
      <c r="I310" s="12"/>
      <c r="J310" s="12"/>
      <c r="K310" s="13"/>
      <c r="L310" s="13"/>
      <c r="M310" s="36"/>
    </row>
    <row r="311" spans="1:13" ht="30" customHeight="1">
      <c r="A311" s="16" t="s">
        <v>13</v>
      </c>
      <c r="B311" s="30" t="s">
        <v>388</v>
      </c>
      <c r="C311" s="30" t="s">
        <v>417</v>
      </c>
      <c r="D311" s="44">
        <v>2581.2169999999996</v>
      </c>
      <c r="E311" s="44">
        <v>2581.2169999999996</v>
      </c>
      <c r="F311" s="27">
        <f t="shared" si="9"/>
        <v>0</v>
      </c>
      <c r="G311" s="27">
        <f t="shared" si="10"/>
        <v>0</v>
      </c>
      <c r="H311" s="29">
        <v>1</v>
      </c>
      <c r="I311" s="12"/>
      <c r="J311" s="12"/>
      <c r="K311" s="13"/>
      <c r="L311" s="13"/>
      <c r="M311" s="36"/>
    </row>
    <row r="312" spans="1:13" ht="30" customHeight="1">
      <c r="A312" s="16" t="s">
        <v>13</v>
      </c>
      <c r="B312" s="30" t="s">
        <v>388</v>
      </c>
      <c r="C312" s="30" t="s">
        <v>431</v>
      </c>
      <c r="D312" s="44">
        <v>2601.7149999999997</v>
      </c>
      <c r="E312" s="44">
        <v>2601.7149999999997</v>
      </c>
      <c r="F312" s="27">
        <f t="shared" si="9"/>
        <v>0</v>
      </c>
      <c r="G312" s="27">
        <f t="shared" si="10"/>
        <v>0</v>
      </c>
      <c r="H312" s="29">
        <v>1</v>
      </c>
      <c r="I312" s="12"/>
      <c r="J312" s="12"/>
      <c r="K312" s="13"/>
      <c r="L312" s="13"/>
      <c r="M312" s="36"/>
    </row>
    <row r="313" spans="1:13" ht="30" customHeight="1">
      <c r="A313" s="16" t="s">
        <v>13</v>
      </c>
      <c r="B313" s="30" t="s">
        <v>388</v>
      </c>
      <c r="C313" s="30" t="s">
        <v>418</v>
      </c>
      <c r="D313" s="44">
        <v>860.26800000000003</v>
      </c>
      <c r="E313" s="44">
        <v>860.26800000000003</v>
      </c>
      <c r="F313" s="27">
        <f t="shared" si="9"/>
        <v>0</v>
      </c>
      <c r="G313" s="27">
        <v>0</v>
      </c>
      <c r="H313" s="29">
        <v>1</v>
      </c>
      <c r="I313" s="12"/>
      <c r="J313" s="12"/>
      <c r="K313" s="13"/>
      <c r="L313" s="13"/>
      <c r="M313" s="36"/>
    </row>
    <row r="314" spans="1:13" ht="30" customHeight="1">
      <c r="A314" s="16" t="s">
        <v>13</v>
      </c>
      <c r="B314" s="30" t="s">
        <v>387</v>
      </c>
      <c r="C314" s="30" t="s">
        <v>419</v>
      </c>
      <c r="D314" s="44">
        <v>2586.3414999999995</v>
      </c>
      <c r="E314" s="44">
        <v>2586.3414999999995</v>
      </c>
      <c r="F314" s="27">
        <f t="shared" si="9"/>
        <v>0</v>
      </c>
      <c r="G314" s="27">
        <f t="shared" si="10"/>
        <v>0</v>
      </c>
      <c r="H314" s="29">
        <v>1</v>
      </c>
      <c r="I314" s="12"/>
      <c r="J314" s="12"/>
      <c r="K314" s="13"/>
      <c r="L314" s="13"/>
      <c r="M314" s="36"/>
    </row>
    <row r="315" spans="1:13" ht="30" customHeight="1">
      <c r="A315" s="16" t="s">
        <v>13</v>
      </c>
      <c r="B315" s="30" t="s">
        <v>387</v>
      </c>
      <c r="C315" s="30" t="s">
        <v>420</v>
      </c>
      <c r="D315" s="44">
        <v>2652.9599999999996</v>
      </c>
      <c r="E315" s="44">
        <v>2652.9599999999996</v>
      </c>
      <c r="F315" s="27">
        <f t="shared" si="9"/>
        <v>0</v>
      </c>
      <c r="G315" s="27">
        <f t="shared" si="10"/>
        <v>0</v>
      </c>
      <c r="H315" s="29">
        <v>1</v>
      </c>
      <c r="I315" s="12"/>
      <c r="J315" s="12"/>
      <c r="K315" s="13"/>
      <c r="L315" s="13"/>
      <c r="M315" s="36"/>
    </row>
    <row r="316" spans="1:13" ht="30" customHeight="1">
      <c r="A316" s="16" t="s">
        <v>13</v>
      </c>
      <c r="B316" s="30" t="s">
        <v>387</v>
      </c>
      <c r="C316" s="30" t="s">
        <v>421</v>
      </c>
      <c r="D316" s="44">
        <v>2663.2089999999994</v>
      </c>
      <c r="E316" s="44">
        <v>2663.2089999999994</v>
      </c>
      <c r="F316" s="27">
        <f t="shared" si="9"/>
        <v>0</v>
      </c>
      <c r="G316" s="27">
        <f t="shared" si="10"/>
        <v>0</v>
      </c>
      <c r="H316" s="29">
        <v>1</v>
      </c>
      <c r="I316" s="12"/>
      <c r="J316" s="12"/>
      <c r="K316" s="13"/>
      <c r="L316" s="13"/>
      <c r="M316" s="36"/>
    </row>
    <row r="317" spans="1:13" ht="30" customHeight="1">
      <c r="A317" s="16" t="s">
        <v>13</v>
      </c>
      <c r="B317" s="30" t="s">
        <v>387</v>
      </c>
      <c r="C317" s="30" t="s">
        <v>422</v>
      </c>
      <c r="D317" s="44">
        <v>2729.8274999999994</v>
      </c>
      <c r="E317" s="44">
        <v>2729.8274999999994</v>
      </c>
      <c r="F317" s="27">
        <f t="shared" si="9"/>
        <v>0</v>
      </c>
      <c r="G317" s="27">
        <f t="shared" si="10"/>
        <v>0</v>
      </c>
      <c r="H317" s="29">
        <v>1</v>
      </c>
      <c r="I317" s="12"/>
      <c r="J317" s="12"/>
      <c r="K317" s="13"/>
      <c r="L317" s="13"/>
      <c r="M317" s="36"/>
    </row>
    <row r="318" spans="1:13" ht="30" customHeight="1">
      <c r="A318" s="16" t="s">
        <v>13</v>
      </c>
      <c r="B318" s="30" t="s">
        <v>387</v>
      </c>
      <c r="C318" s="30" t="s">
        <v>423</v>
      </c>
      <c r="D318" s="44">
        <v>3554.8979999999988</v>
      </c>
      <c r="E318" s="44">
        <v>3554.8979999999988</v>
      </c>
      <c r="F318" s="27">
        <f t="shared" si="9"/>
        <v>0</v>
      </c>
      <c r="G318" s="27">
        <f t="shared" si="10"/>
        <v>0</v>
      </c>
      <c r="H318" s="29">
        <v>1</v>
      </c>
      <c r="I318" s="12"/>
      <c r="J318" s="12"/>
      <c r="K318" s="13"/>
      <c r="L318" s="13"/>
      <c r="M318" s="36"/>
    </row>
    <row r="319" spans="1:13" ht="30" customHeight="1">
      <c r="A319" s="16" t="s">
        <v>13</v>
      </c>
      <c r="B319" s="30" t="s">
        <v>386</v>
      </c>
      <c r="C319" s="30" t="s">
        <v>424</v>
      </c>
      <c r="D319" s="44">
        <v>2428.2979999999993</v>
      </c>
      <c r="E319" s="44">
        <v>2428.2979999999993</v>
      </c>
      <c r="F319" s="27">
        <f t="shared" si="9"/>
        <v>0</v>
      </c>
      <c r="G319" s="27">
        <f t="shared" si="10"/>
        <v>0</v>
      </c>
      <c r="H319" s="29">
        <v>1</v>
      </c>
      <c r="I319" s="12"/>
      <c r="J319" s="12"/>
      <c r="K319" s="13"/>
      <c r="L319" s="13"/>
      <c r="M319" s="36"/>
    </row>
    <row r="320" spans="1:13" ht="30" customHeight="1">
      <c r="A320" s="16" t="s">
        <v>13</v>
      </c>
      <c r="B320" s="30"/>
      <c r="C320" s="30" t="s">
        <v>394</v>
      </c>
      <c r="D320" s="44">
        <v>4514.8980000000001</v>
      </c>
      <c r="E320" s="44">
        <v>4514.8980000000001</v>
      </c>
      <c r="F320" s="27">
        <f t="shared" si="9"/>
        <v>0</v>
      </c>
      <c r="G320" s="27">
        <f t="shared" si="10"/>
        <v>0</v>
      </c>
      <c r="H320" s="29">
        <v>1</v>
      </c>
      <c r="I320" s="12"/>
      <c r="J320" s="12"/>
      <c r="K320" s="13"/>
      <c r="L320" s="13"/>
      <c r="M320" s="36"/>
    </row>
    <row r="321" spans="1:13" ht="30" customHeight="1">
      <c r="A321" s="16" t="s">
        <v>13</v>
      </c>
      <c r="B321" s="30" t="s">
        <v>386</v>
      </c>
      <c r="C321" s="30" t="s">
        <v>395</v>
      </c>
      <c r="D321" s="44">
        <v>1786.9195000000002</v>
      </c>
      <c r="E321" s="44">
        <v>1786.9195000000002</v>
      </c>
      <c r="F321" s="27">
        <f t="shared" si="9"/>
        <v>0</v>
      </c>
      <c r="G321" s="27">
        <f t="shared" si="10"/>
        <v>0</v>
      </c>
      <c r="H321" s="29">
        <v>1</v>
      </c>
      <c r="I321" s="12"/>
      <c r="J321" s="12"/>
      <c r="K321" s="13"/>
      <c r="L321" s="13"/>
      <c r="M321" s="36"/>
    </row>
    <row r="322" spans="1:13" ht="30" customHeight="1">
      <c r="A322" s="16" t="s">
        <v>13</v>
      </c>
      <c r="B322" s="30" t="s">
        <v>384</v>
      </c>
      <c r="C322" s="30" t="s">
        <v>396</v>
      </c>
      <c r="D322" s="44">
        <v>1971.4014999999997</v>
      </c>
      <c r="E322" s="44">
        <v>1971.4014999999997</v>
      </c>
      <c r="F322" s="27">
        <f t="shared" si="9"/>
        <v>0</v>
      </c>
      <c r="G322" s="27">
        <f t="shared" si="10"/>
        <v>0</v>
      </c>
      <c r="H322" s="29">
        <v>1</v>
      </c>
      <c r="I322" s="12"/>
      <c r="J322" s="12"/>
      <c r="K322" s="13"/>
      <c r="L322" s="13"/>
      <c r="M322" s="36"/>
    </row>
    <row r="323" spans="1:13" ht="30" customHeight="1">
      <c r="A323" s="16" t="s">
        <v>13</v>
      </c>
      <c r="B323" s="30" t="s">
        <v>386</v>
      </c>
      <c r="C323" s="30" t="s">
        <v>397</v>
      </c>
      <c r="D323" s="44">
        <v>2545.3454999999994</v>
      </c>
      <c r="E323" s="44">
        <v>2545.3454999999994</v>
      </c>
      <c r="F323" s="27">
        <f t="shared" si="9"/>
        <v>0</v>
      </c>
      <c r="G323" s="27">
        <f t="shared" si="10"/>
        <v>0</v>
      </c>
      <c r="H323" s="29">
        <v>1</v>
      </c>
      <c r="I323" s="12"/>
      <c r="J323" s="12"/>
      <c r="K323" s="13"/>
      <c r="L323" s="13"/>
      <c r="M323" s="36"/>
    </row>
    <row r="324" spans="1:13" ht="30" customHeight="1">
      <c r="A324" s="16" t="s">
        <v>13</v>
      </c>
      <c r="B324" s="30" t="s">
        <v>387</v>
      </c>
      <c r="C324" s="30" t="s">
        <v>398</v>
      </c>
      <c r="D324" s="44">
        <v>4449.9980000000005</v>
      </c>
      <c r="E324" s="44">
        <v>4449.9980000000005</v>
      </c>
      <c r="F324" s="27">
        <f t="shared" si="9"/>
        <v>0</v>
      </c>
      <c r="G324" s="27">
        <f t="shared" si="10"/>
        <v>0</v>
      </c>
      <c r="H324" s="29">
        <v>1</v>
      </c>
      <c r="I324" s="12"/>
      <c r="J324" s="12"/>
      <c r="K324" s="13"/>
      <c r="L324" s="13"/>
      <c r="M324" s="36"/>
    </row>
    <row r="325" spans="1:13" ht="30" customHeight="1">
      <c r="A325" s="16" t="s">
        <v>13</v>
      </c>
      <c r="B325" s="30" t="s">
        <v>387</v>
      </c>
      <c r="C325" s="30" t="s">
        <v>399</v>
      </c>
      <c r="D325" s="44">
        <v>2611.9639999999995</v>
      </c>
      <c r="E325" s="44">
        <v>2611.9639999999995</v>
      </c>
      <c r="F325" s="27">
        <f t="shared" ref="F325:F362" si="11">+D325-E325</f>
        <v>0</v>
      </c>
      <c r="G325" s="27">
        <f t="shared" si="10"/>
        <v>0</v>
      </c>
      <c r="H325" s="29">
        <v>1</v>
      </c>
      <c r="I325" s="12"/>
      <c r="J325" s="12"/>
      <c r="K325" s="13"/>
      <c r="L325" s="13"/>
      <c r="M325" s="36"/>
    </row>
    <row r="326" spans="1:13" ht="30" customHeight="1">
      <c r="A326" s="16" t="s">
        <v>13</v>
      </c>
      <c r="B326" s="30" t="s">
        <v>387</v>
      </c>
      <c r="C326" s="30" t="s">
        <v>400</v>
      </c>
      <c r="D326" s="44">
        <v>1392.3329999999999</v>
      </c>
      <c r="E326" s="44">
        <v>1392.3329999999999</v>
      </c>
      <c r="F326" s="27">
        <f t="shared" si="11"/>
        <v>0</v>
      </c>
      <c r="G326" s="27">
        <f t="shared" si="10"/>
        <v>0</v>
      </c>
      <c r="H326" s="29">
        <v>1</v>
      </c>
      <c r="I326" s="12"/>
      <c r="J326" s="12"/>
      <c r="K326" s="13"/>
      <c r="L326" s="13"/>
      <c r="M326" s="36"/>
    </row>
    <row r="327" spans="1:13" ht="30" customHeight="1">
      <c r="A327" s="16" t="s">
        <v>13</v>
      </c>
      <c r="B327" s="30" t="s">
        <v>387</v>
      </c>
      <c r="C327" s="30" t="s">
        <v>401</v>
      </c>
      <c r="D327" s="44">
        <v>3638.8980000000001</v>
      </c>
      <c r="E327" s="44">
        <v>3638.8980000000001</v>
      </c>
      <c r="F327" s="27">
        <f t="shared" si="11"/>
        <v>0</v>
      </c>
      <c r="G327" s="27">
        <f t="shared" si="10"/>
        <v>0</v>
      </c>
      <c r="H327" s="29">
        <v>1</v>
      </c>
      <c r="I327" s="12"/>
      <c r="J327" s="12"/>
      <c r="K327" s="13"/>
      <c r="L327" s="13"/>
      <c r="M327" s="36"/>
    </row>
    <row r="328" spans="1:13" ht="30" customHeight="1">
      <c r="A328" s="16" t="s">
        <v>13</v>
      </c>
      <c r="B328" s="30" t="s">
        <v>387</v>
      </c>
      <c r="C328" s="30" t="s">
        <v>403</v>
      </c>
      <c r="D328" s="44">
        <v>1751.048</v>
      </c>
      <c r="E328" s="44">
        <v>1751.048</v>
      </c>
      <c r="F328" s="27">
        <f t="shared" si="11"/>
        <v>0</v>
      </c>
      <c r="G328" s="27">
        <f t="shared" si="10"/>
        <v>0</v>
      </c>
      <c r="H328" s="29">
        <v>1</v>
      </c>
      <c r="I328" s="12"/>
      <c r="J328" s="12"/>
      <c r="K328" s="13"/>
      <c r="L328" s="13"/>
      <c r="M328" s="36"/>
    </row>
    <row r="329" spans="1:13" ht="30" customHeight="1">
      <c r="A329" s="16" t="s">
        <v>13</v>
      </c>
      <c r="B329" s="30" t="s">
        <v>386</v>
      </c>
      <c r="C329" s="30" t="s">
        <v>425</v>
      </c>
      <c r="D329" s="44">
        <v>2076.9979999999996</v>
      </c>
      <c r="E329" s="44">
        <v>2076.9979999999996</v>
      </c>
      <c r="F329" s="27">
        <f t="shared" si="11"/>
        <v>0</v>
      </c>
      <c r="G329" s="27">
        <f t="shared" si="10"/>
        <v>0</v>
      </c>
      <c r="H329" s="29">
        <v>1</v>
      </c>
      <c r="I329" s="12"/>
      <c r="J329" s="12"/>
      <c r="K329" s="13"/>
      <c r="L329" s="13"/>
      <c r="M329" s="36"/>
    </row>
    <row r="330" spans="1:13" ht="30" customHeight="1">
      <c r="A330" s="16" t="s">
        <v>13</v>
      </c>
      <c r="B330" s="30" t="s">
        <v>386</v>
      </c>
      <c r="C330" s="30" t="s">
        <v>427</v>
      </c>
      <c r="D330" s="44">
        <v>2555.5944999999997</v>
      </c>
      <c r="E330" s="44">
        <v>2555.5944999999997</v>
      </c>
      <c r="F330" s="27">
        <f t="shared" si="11"/>
        <v>0</v>
      </c>
      <c r="G330" s="27">
        <f t="shared" si="10"/>
        <v>0</v>
      </c>
      <c r="H330" s="29">
        <v>1</v>
      </c>
      <c r="I330" s="12"/>
      <c r="J330" s="12"/>
      <c r="K330" s="13"/>
      <c r="L330" s="13"/>
      <c r="M330" s="36"/>
    </row>
    <row r="331" spans="1:13" ht="30" customHeight="1">
      <c r="A331" s="16" t="s">
        <v>13</v>
      </c>
      <c r="B331" s="30" t="s">
        <v>386</v>
      </c>
      <c r="C331" s="30" t="s">
        <v>428</v>
      </c>
      <c r="D331" s="44">
        <v>1417.9555000000003</v>
      </c>
      <c r="E331" s="44">
        <v>1417.9555000000003</v>
      </c>
      <c r="F331" s="27">
        <f t="shared" si="11"/>
        <v>0</v>
      </c>
      <c r="G331" s="27">
        <f t="shared" si="10"/>
        <v>0</v>
      </c>
      <c r="H331" s="29">
        <v>1</v>
      </c>
      <c r="I331" s="12"/>
      <c r="J331" s="12"/>
      <c r="K331" s="13"/>
      <c r="L331" s="13"/>
      <c r="M331" s="36"/>
    </row>
    <row r="332" spans="1:13" ht="30" customHeight="1">
      <c r="A332" s="16" t="s">
        <v>13</v>
      </c>
      <c r="B332" s="30" t="s">
        <v>384</v>
      </c>
      <c r="C332" s="30" t="s">
        <v>406</v>
      </c>
      <c r="D332" s="44">
        <v>2596.5904999999993</v>
      </c>
      <c r="E332" s="44">
        <v>2596.5904999999993</v>
      </c>
      <c r="F332" s="27">
        <f t="shared" si="11"/>
        <v>0</v>
      </c>
      <c r="G332" s="27">
        <f t="shared" si="10"/>
        <v>0</v>
      </c>
      <c r="H332" s="29">
        <v>1</v>
      </c>
      <c r="I332" s="12"/>
      <c r="J332" s="12"/>
      <c r="K332" s="13"/>
      <c r="L332" s="13"/>
      <c r="M332" s="36"/>
    </row>
    <row r="333" spans="1:13" ht="30" customHeight="1">
      <c r="A333" s="16" t="s">
        <v>13</v>
      </c>
      <c r="B333" s="30" t="s">
        <v>384</v>
      </c>
      <c r="C333" s="30" t="s">
        <v>409</v>
      </c>
      <c r="D333" s="44">
        <v>2642.7109999999993</v>
      </c>
      <c r="E333" s="44">
        <v>2642.7109999999993</v>
      </c>
      <c r="F333" s="27">
        <f t="shared" si="11"/>
        <v>0</v>
      </c>
      <c r="G333" s="27">
        <f t="shared" si="10"/>
        <v>0</v>
      </c>
      <c r="H333" s="29">
        <v>1</v>
      </c>
      <c r="I333" s="12"/>
      <c r="J333" s="12"/>
      <c r="K333" s="13"/>
      <c r="L333" s="13"/>
      <c r="M333" s="36"/>
    </row>
    <row r="334" spans="1:13" ht="30" customHeight="1">
      <c r="A334" s="16" t="s">
        <v>13</v>
      </c>
      <c r="B334" s="30" t="s">
        <v>384</v>
      </c>
      <c r="C334" s="30" t="s">
        <v>429</v>
      </c>
      <c r="D334" s="44">
        <v>860.26800000000003</v>
      </c>
      <c r="E334" s="44">
        <v>860.26800000000003</v>
      </c>
      <c r="F334" s="27">
        <f t="shared" si="11"/>
        <v>0</v>
      </c>
      <c r="G334" s="27">
        <v>0</v>
      </c>
      <c r="H334" s="29">
        <v>1</v>
      </c>
      <c r="I334" s="12"/>
      <c r="J334" s="12"/>
      <c r="K334" s="13"/>
      <c r="L334" s="13"/>
      <c r="M334" s="36"/>
    </row>
    <row r="335" spans="1:13" ht="30" customHeight="1">
      <c r="A335" s="16" t="s">
        <v>13</v>
      </c>
      <c r="B335" s="30" t="s">
        <v>386</v>
      </c>
      <c r="C335" s="30" t="s">
        <v>430</v>
      </c>
      <c r="D335" s="44">
        <v>1556.3170000000002</v>
      </c>
      <c r="E335" s="44">
        <v>1556.3170000000002</v>
      </c>
      <c r="F335" s="27">
        <v>0</v>
      </c>
      <c r="G335" s="27">
        <v>0</v>
      </c>
      <c r="H335" s="29">
        <v>1</v>
      </c>
      <c r="I335" s="12"/>
      <c r="J335" s="12"/>
      <c r="K335" s="13"/>
      <c r="L335" s="13"/>
      <c r="M335" s="36"/>
    </row>
    <row r="336" spans="1:13" ht="30" customHeight="1">
      <c r="A336" s="16" t="s">
        <v>13</v>
      </c>
      <c r="B336" s="30" t="s">
        <v>386</v>
      </c>
      <c r="C336" s="30" t="s">
        <v>436</v>
      </c>
      <c r="D336" s="44">
        <v>860.26800000000003</v>
      </c>
      <c r="E336" s="44">
        <v>860.26800000000003</v>
      </c>
      <c r="F336" s="27">
        <f t="shared" si="11"/>
        <v>0</v>
      </c>
      <c r="G336" s="27">
        <v>0</v>
      </c>
      <c r="H336" s="29">
        <v>1</v>
      </c>
      <c r="I336" s="12"/>
      <c r="J336" s="12"/>
      <c r="K336" s="13"/>
      <c r="L336" s="13"/>
      <c r="M336" s="36"/>
    </row>
    <row r="337" spans="1:13" ht="30" customHeight="1">
      <c r="A337" s="16" t="s">
        <v>13</v>
      </c>
      <c r="B337" s="30" t="s">
        <v>386</v>
      </c>
      <c r="C337" s="30" t="s">
        <v>432</v>
      </c>
      <c r="D337" s="44">
        <v>2632.4619999999995</v>
      </c>
      <c r="E337" s="44">
        <v>2632.4619999999995</v>
      </c>
      <c r="F337" s="27">
        <f t="shared" si="11"/>
        <v>0</v>
      </c>
      <c r="G337" s="27">
        <f t="shared" si="10"/>
        <v>0</v>
      </c>
      <c r="H337" s="29">
        <v>1</v>
      </c>
      <c r="I337" s="12"/>
      <c r="J337" s="12"/>
      <c r="K337" s="13"/>
      <c r="L337" s="13"/>
      <c r="M337" s="36"/>
    </row>
    <row r="338" spans="1:13" ht="30" customHeight="1">
      <c r="A338" s="16" t="s">
        <v>13</v>
      </c>
      <c r="B338" s="30" t="s">
        <v>384</v>
      </c>
      <c r="C338" s="30" t="s">
        <v>433</v>
      </c>
      <c r="D338" s="44">
        <v>2591.4659999999994</v>
      </c>
      <c r="E338" s="44">
        <v>2591.4659999999994</v>
      </c>
      <c r="F338" s="27">
        <f t="shared" si="11"/>
        <v>0</v>
      </c>
      <c r="G338" s="27">
        <f t="shared" si="10"/>
        <v>0</v>
      </c>
      <c r="H338" s="29">
        <v>1</v>
      </c>
      <c r="I338" s="12"/>
      <c r="J338" s="12"/>
      <c r="K338" s="13"/>
      <c r="L338" s="13"/>
      <c r="M338" s="36"/>
    </row>
    <row r="339" spans="1:13" ht="30" customHeight="1">
      <c r="A339" s="16" t="s">
        <v>13</v>
      </c>
      <c r="B339" s="30" t="s">
        <v>386</v>
      </c>
      <c r="C339" s="30" t="s">
        <v>434</v>
      </c>
      <c r="D339" s="44">
        <v>2688.8314999999993</v>
      </c>
      <c r="E339" s="44">
        <v>2688.8314999999993</v>
      </c>
      <c r="F339" s="27">
        <f t="shared" si="11"/>
        <v>0</v>
      </c>
      <c r="G339" s="27">
        <f t="shared" si="10"/>
        <v>0</v>
      </c>
      <c r="H339" s="29">
        <v>1</v>
      </c>
      <c r="I339" s="12"/>
      <c r="J339" s="12"/>
      <c r="K339" s="13"/>
      <c r="L339" s="13"/>
      <c r="M339" s="36"/>
    </row>
    <row r="340" spans="1:13" ht="30" customHeight="1">
      <c r="A340" s="16" t="s">
        <v>13</v>
      </c>
      <c r="B340" s="30" t="s">
        <v>384</v>
      </c>
      <c r="C340" s="30" t="s">
        <v>393</v>
      </c>
      <c r="D340" s="27">
        <v>1756.1724999999999</v>
      </c>
      <c r="E340" s="27">
        <v>1756.1724999999999</v>
      </c>
      <c r="F340" s="27">
        <f t="shared" si="11"/>
        <v>0</v>
      </c>
      <c r="G340" s="27">
        <f t="shared" si="10"/>
        <v>0</v>
      </c>
      <c r="H340" s="29">
        <v>1</v>
      </c>
      <c r="I340" s="12"/>
      <c r="J340" s="12"/>
      <c r="K340" s="13"/>
      <c r="L340" s="13"/>
      <c r="M340" s="36"/>
    </row>
    <row r="341" spans="1:13" ht="30" customHeight="1">
      <c r="A341" s="16" t="s">
        <v>13</v>
      </c>
      <c r="B341" s="30" t="s">
        <v>384</v>
      </c>
      <c r="C341" s="30" t="s">
        <v>435</v>
      </c>
      <c r="D341" s="27">
        <v>2673.4579999999996</v>
      </c>
      <c r="E341" s="27">
        <v>2673.4579999999996</v>
      </c>
      <c r="F341" s="27">
        <f t="shared" si="11"/>
        <v>0</v>
      </c>
      <c r="G341" s="27">
        <f t="shared" si="10"/>
        <v>0</v>
      </c>
      <c r="H341" s="29">
        <v>1</v>
      </c>
      <c r="I341" s="12"/>
      <c r="J341" s="12"/>
      <c r="K341" s="13"/>
      <c r="L341" s="13"/>
      <c r="M341" s="36"/>
    </row>
    <row r="342" spans="1:13" ht="30" customHeight="1">
      <c r="A342" s="16" t="s">
        <v>13</v>
      </c>
      <c r="B342" s="30" t="s">
        <v>384</v>
      </c>
      <c r="C342" s="30" t="s">
        <v>426</v>
      </c>
      <c r="D342" s="27">
        <v>1735.6744999999999</v>
      </c>
      <c r="E342" s="27">
        <v>1735.6744999999999</v>
      </c>
      <c r="F342" s="27">
        <f t="shared" si="11"/>
        <v>0</v>
      </c>
      <c r="G342" s="27">
        <f t="shared" si="10"/>
        <v>0</v>
      </c>
      <c r="H342" s="29">
        <v>1</v>
      </c>
      <c r="I342" s="12"/>
      <c r="J342" s="12"/>
      <c r="K342" s="13"/>
      <c r="L342" s="13"/>
      <c r="M342" s="36"/>
    </row>
    <row r="343" spans="1:13" ht="30" customHeight="1">
      <c r="A343" s="5" t="s">
        <v>45</v>
      </c>
      <c r="B343" s="30" t="s">
        <v>392</v>
      </c>
      <c r="C343" s="30" t="s">
        <v>437</v>
      </c>
      <c r="D343" s="27">
        <v>1986.7749999999999</v>
      </c>
      <c r="E343" s="27">
        <v>1986.7749999999999</v>
      </c>
      <c r="F343" s="27">
        <f t="shared" si="11"/>
        <v>0</v>
      </c>
      <c r="G343" s="27">
        <f t="shared" si="10"/>
        <v>0</v>
      </c>
      <c r="H343" s="29">
        <v>1</v>
      </c>
      <c r="I343" s="12"/>
      <c r="J343" s="12"/>
      <c r="K343" s="13"/>
      <c r="L343" s="13"/>
      <c r="M343" s="36"/>
    </row>
    <row r="344" spans="1:13" ht="30" customHeight="1">
      <c r="A344" s="5" t="s">
        <v>45</v>
      </c>
      <c r="B344" s="30" t="s">
        <v>392</v>
      </c>
      <c r="C344" s="30" t="s">
        <v>438</v>
      </c>
      <c r="D344" s="27">
        <v>2734.9519999999998</v>
      </c>
      <c r="E344" s="27">
        <v>2734.9519999999998</v>
      </c>
      <c r="F344" s="27">
        <f t="shared" si="11"/>
        <v>0</v>
      </c>
      <c r="G344" s="27">
        <f t="shared" si="10"/>
        <v>0</v>
      </c>
      <c r="H344" s="29">
        <v>1</v>
      </c>
      <c r="I344" s="12"/>
      <c r="J344" s="12"/>
      <c r="K344" s="13"/>
      <c r="L344" s="13"/>
      <c r="M344" s="36"/>
    </row>
    <row r="345" spans="1:13" ht="30" customHeight="1">
      <c r="A345" s="5" t="s">
        <v>45</v>
      </c>
      <c r="B345" s="30" t="s">
        <v>392</v>
      </c>
      <c r="C345" s="30" t="s">
        <v>440</v>
      </c>
      <c r="D345" s="27">
        <v>1294.9675</v>
      </c>
      <c r="E345" s="27">
        <v>1294.9675</v>
      </c>
      <c r="F345" s="27">
        <f t="shared" si="11"/>
        <v>0</v>
      </c>
      <c r="G345" s="27">
        <f t="shared" si="10"/>
        <v>0</v>
      </c>
      <c r="H345" s="29">
        <v>1</v>
      </c>
      <c r="I345" s="12"/>
      <c r="J345" s="12"/>
      <c r="K345" s="13"/>
      <c r="L345" s="13"/>
      <c r="M345" s="36"/>
    </row>
    <row r="346" spans="1:13" ht="30" customHeight="1">
      <c r="A346" s="5" t="s">
        <v>45</v>
      </c>
      <c r="B346" s="30" t="s">
        <v>392</v>
      </c>
      <c r="C346" s="30" t="s">
        <v>439</v>
      </c>
      <c r="D346" s="27">
        <v>1300.0919999999999</v>
      </c>
      <c r="E346" s="27">
        <v>1300.0919999999999</v>
      </c>
      <c r="F346" s="27">
        <f t="shared" si="11"/>
        <v>0</v>
      </c>
      <c r="G346" s="27">
        <f t="shared" si="10"/>
        <v>0</v>
      </c>
      <c r="H346" s="29">
        <v>1</v>
      </c>
      <c r="I346" s="12"/>
      <c r="J346" s="12"/>
      <c r="K346" s="13"/>
      <c r="L346" s="13"/>
      <c r="M346" s="36"/>
    </row>
    <row r="347" spans="1:13" ht="30" customHeight="1">
      <c r="A347" s="16" t="s">
        <v>30</v>
      </c>
      <c r="B347" s="30" t="s">
        <v>389</v>
      </c>
      <c r="C347" s="30" t="s">
        <v>441</v>
      </c>
      <c r="D347" s="27">
        <v>2637.5864999999994</v>
      </c>
      <c r="E347" s="27">
        <v>2637.5864999999994</v>
      </c>
      <c r="F347" s="27">
        <f t="shared" si="11"/>
        <v>0</v>
      </c>
      <c r="G347" s="27">
        <f t="shared" si="10"/>
        <v>0</v>
      </c>
      <c r="H347" s="29">
        <v>1</v>
      </c>
      <c r="I347" s="12"/>
      <c r="J347" s="12"/>
      <c r="K347" s="13"/>
      <c r="L347" s="13"/>
      <c r="M347" s="36"/>
    </row>
    <row r="348" spans="1:13" ht="30" customHeight="1">
      <c r="A348" s="16" t="s">
        <v>30</v>
      </c>
      <c r="B348" s="30" t="s">
        <v>391</v>
      </c>
      <c r="C348" s="30" t="s">
        <v>442</v>
      </c>
      <c r="D348" s="27">
        <v>2576.0924999999997</v>
      </c>
      <c r="E348" s="27">
        <v>2576.0924999999997</v>
      </c>
      <c r="F348" s="27">
        <f t="shared" si="11"/>
        <v>0</v>
      </c>
      <c r="G348" s="27">
        <f t="shared" si="10"/>
        <v>0</v>
      </c>
      <c r="H348" s="29">
        <v>1</v>
      </c>
      <c r="I348" s="12"/>
      <c r="J348" s="12"/>
      <c r="K348" s="13"/>
      <c r="L348" s="13"/>
      <c r="M348" s="36"/>
    </row>
    <row r="349" spans="1:13" ht="30" customHeight="1">
      <c r="A349" s="16" t="s">
        <v>30</v>
      </c>
      <c r="B349" s="30" t="s">
        <v>389</v>
      </c>
      <c r="C349" s="30" t="s">
        <v>443</v>
      </c>
      <c r="D349" s="27">
        <v>2627.3374999999996</v>
      </c>
      <c r="E349" s="27">
        <v>2627.3374999999996</v>
      </c>
      <c r="F349" s="27">
        <f t="shared" si="11"/>
        <v>0</v>
      </c>
      <c r="G349" s="27">
        <f t="shared" si="10"/>
        <v>0</v>
      </c>
      <c r="H349" s="29">
        <v>1</v>
      </c>
      <c r="I349" s="12"/>
      <c r="J349" s="12"/>
      <c r="K349" s="13"/>
      <c r="L349" s="13"/>
      <c r="M349" s="36"/>
    </row>
    <row r="350" spans="1:13" ht="30" customHeight="1">
      <c r="A350" s="16" t="s">
        <v>30</v>
      </c>
      <c r="B350" s="30" t="s">
        <v>389</v>
      </c>
      <c r="C350" s="30" t="s">
        <v>444</v>
      </c>
      <c r="D350" s="27">
        <v>1182.2284999999999</v>
      </c>
      <c r="E350" s="27">
        <v>1182.2284999999999</v>
      </c>
      <c r="F350" s="27">
        <f t="shared" si="11"/>
        <v>0</v>
      </c>
      <c r="G350" s="27">
        <f t="shared" si="10"/>
        <v>0</v>
      </c>
      <c r="H350" s="29">
        <v>1</v>
      </c>
      <c r="I350" s="12"/>
      <c r="J350" s="12"/>
      <c r="K350" s="13"/>
      <c r="L350" s="13"/>
      <c r="M350" s="36"/>
    </row>
    <row r="351" spans="1:13" ht="30" customHeight="1">
      <c r="A351" s="16" t="s">
        <v>30</v>
      </c>
      <c r="B351" s="30" t="s">
        <v>391</v>
      </c>
      <c r="C351" s="30" t="s">
        <v>445</v>
      </c>
      <c r="D351" s="27">
        <v>2647.8354999999997</v>
      </c>
      <c r="E351" s="27">
        <v>2647.8354999999997</v>
      </c>
      <c r="F351" s="27">
        <f t="shared" si="11"/>
        <v>0</v>
      </c>
      <c r="G351" s="27">
        <f t="shared" si="10"/>
        <v>0</v>
      </c>
      <c r="H351" s="29">
        <v>1</v>
      </c>
      <c r="I351" s="12"/>
      <c r="J351" s="12"/>
      <c r="K351" s="13"/>
      <c r="L351" s="13"/>
      <c r="M351" s="36"/>
    </row>
    <row r="352" spans="1:13" ht="30" customHeight="1">
      <c r="A352" s="16" t="s">
        <v>30</v>
      </c>
      <c r="B352" s="30" t="s">
        <v>391</v>
      </c>
      <c r="C352" s="30" t="s">
        <v>446</v>
      </c>
      <c r="D352" s="27">
        <v>1043.867</v>
      </c>
      <c r="E352" s="27">
        <v>1043.867</v>
      </c>
      <c r="F352" s="27">
        <f t="shared" si="11"/>
        <v>0</v>
      </c>
      <c r="G352" s="27">
        <f t="shared" si="10"/>
        <v>0</v>
      </c>
      <c r="H352" s="29">
        <v>1</v>
      </c>
      <c r="I352" s="12"/>
      <c r="J352" s="12"/>
      <c r="K352" s="13"/>
      <c r="L352" s="13"/>
      <c r="M352" s="36"/>
    </row>
    <row r="353" spans="1:13" ht="30" customHeight="1">
      <c r="A353" s="16" t="s">
        <v>30</v>
      </c>
      <c r="B353" s="30" t="s">
        <v>389</v>
      </c>
      <c r="C353" s="30" t="s">
        <v>447</v>
      </c>
      <c r="D353" s="27">
        <v>2709.3294999999994</v>
      </c>
      <c r="E353" s="27">
        <v>2709.3294999999994</v>
      </c>
      <c r="F353" s="27">
        <f t="shared" si="11"/>
        <v>0</v>
      </c>
      <c r="G353" s="27">
        <f t="shared" si="10"/>
        <v>0</v>
      </c>
      <c r="H353" s="29">
        <v>1</v>
      </c>
      <c r="I353" s="12"/>
      <c r="J353" s="12"/>
      <c r="K353" s="13"/>
      <c r="L353" s="13"/>
      <c r="M353" s="36"/>
    </row>
    <row r="354" spans="1:13" ht="30" customHeight="1">
      <c r="A354" s="16" t="s">
        <v>30</v>
      </c>
      <c r="B354" s="30" t="s">
        <v>391</v>
      </c>
      <c r="C354" s="30" t="s">
        <v>448</v>
      </c>
      <c r="D354" s="27">
        <v>1930.4054999999996</v>
      </c>
      <c r="E354" s="27">
        <v>1930.4054999999996</v>
      </c>
      <c r="F354" s="27">
        <f t="shared" si="11"/>
        <v>0</v>
      </c>
      <c r="G354" s="27">
        <f t="shared" si="10"/>
        <v>0</v>
      </c>
      <c r="H354" s="29">
        <v>1</v>
      </c>
      <c r="I354" s="12"/>
      <c r="J354" s="12"/>
      <c r="K354" s="13"/>
      <c r="L354" s="13"/>
      <c r="M354" s="36"/>
    </row>
    <row r="355" spans="1:13" ht="30" customHeight="1">
      <c r="A355" s="16" t="s">
        <v>30</v>
      </c>
      <c r="B355" s="30" t="s">
        <v>391</v>
      </c>
      <c r="C355" s="30" t="s">
        <v>449</v>
      </c>
      <c r="D355" s="27">
        <v>2745.2009999999996</v>
      </c>
      <c r="E355" s="27">
        <v>2745.2009999999996</v>
      </c>
      <c r="F355" s="27">
        <f t="shared" si="11"/>
        <v>0</v>
      </c>
      <c r="G355" s="27">
        <f t="shared" si="10"/>
        <v>0</v>
      </c>
      <c r="H355" s="29">
        <v>1</v>
      </c>
      <c r="I355" s="12"/>
      <c r="J355" s="12"/>
      <c r="K355" s="13"/>
      <c r="L355" s="13"/>
      <c r="M355" s="36"/>
    </row>
    <row r="356" spans="1:13" ht="30" customHeight="1">
      <c r="A356" s="16" t="s">
        <v>30</v>
      </c>
      <c r="B356" s="30" t="s">
        <v>389</v>
      </c>
      <c r="C356" s="30" t="s">
        <v>450</v>
      </c>
      <c r="D356" s="27">
        <v>860.26800000000003</v>
      </c>
      <c r="E356" s="27">
        <v>860.26800000000003</v>
      </c>
      <c r="F356" s="27">
        <f t="shared" si="11"/>
        <v>0</v>
      </c>
      <c r="G356" s="27">
        <v>0</v>
      </c>
      <c r="H356" s="29">
        <v>1</v>
      </c>
      <c r="I356" s="12"/>
      <c r="J356" s="12"/>
      <c r="K356" s="13"/>
      <c r="L356" s="13"/>
      <c r="M356" s="36"/>
    </row>
    <row r="357" spans="1:13" ht="30" customHeight="1">
      <c r="A357" s="16" t="s">
        <v>30</v>
      </c>
      <c r="B357" s="30" t="s">
        <v>390</v>
      </c>
      <c r="C357" s="30" t="s">
        <v>451</v>
      </c>
      <c r="D357" s="27">
        <v>860.26800000000003</v>
      </c>
      <c r="E357" s="27">
        <v>860.26800000000003</v>
      </c>
      <c r="F357" s="27">
        <f t="shared" si="11"/>
        <v>0</v>
      </c>
      <c r="G357" s="27">
        <v>0</v>
      </c>
      <c r="H357" s="29">
        <v>1</v>
      </c>
      <c r="I357" s="12"/>
      <c r="J357" s="12"/>
      <c r="K357" s="13"/>
      <c r="L357" s="13"/>
      <c r="M357" s="36"/>
    </row>
    <row r="358" spans="1:13" ht="30" customHeight="1">
      <c r="A358" s="16" t="s">
        <v>30</v>
      </c>
      <c r="B358" s="30" t="s">
        <v>391</v>
      </c>
      <c r="C358" s="30" t="s">
        <v>452</v>
      </c>
      <c r="D358" s="27">
        <v>2699.0804999999996</v>
      </c>
      <c r="E358" s="27">
        <v>2699.0804999999996</v>
      </c>
      <c r="F358" s="27">
        <f t="shared" si="11"/>
        <v>0</v>
      </c>
      <c r="G358" s="27">
        <f t="shared" ref="G358:G362" si="12">+F358*100/D358</f>
        <v>0</v>
      </c>
      <c r="H358" s="29">
        <v>1</v>
      </c>
      <c r="I358" s="12"/>
      <c r="J358" s="12"/>
      <c r="K358" s="13"/>
      <c r="L358" s="13"/>
      <c r="M358" s="36"/>
    </row>
    <row r="359" spans="1:13" ht="30" customHeight="1">
      <c r="A359" s="16" t="s">
        <v>30</v>
      </c>
      <c r="B359" s="30" t="s">
        <v>390</v>
      </c>
      <c r="C359" s="30" t="s">
        <v>453</v>
      </c>
      <c r="D359" s="27">
        <v>2750.3254999999995</v>
      </c>
      <c r="E359" s="27">
        <v>2750.3254999999995</v>
      </c>
      <c r="F359" s="27">
        <f t="shared" si="11"/>
        <v>0</v>
      </c>
      <c r="G359" s="27">
        <f t="shared" si="12"/>
        <v>0</v>
      </c>
      <c r="H359" s="29">
        <v>1</v>
      </c>
      <c r="I359" s="12"/>
      <c r="J359" s="12"/>
      <c r="K359" s="13"/>
      <c r="L359" s="13"/>
      <c r="M359" s="36"/>
    </row>
    <row r="360" spans="1:13" ht="30" customHeight="1">
      <c r="A360" s="16" t="s">
        <v>30</v>
      </c>
      <c r="B360" s="30" t="s">
        <v>389</v>
      </c>
      <c r="C360" s="30" t="s">
        <v>454</v>
      </c>
      <c r="D360" s="27">
        <v>2622.2129999999997</v>
      </c>
      <c r="E360" s="27">
        <v>2622.2129999999997</v>
      </c>
      <c r="F360" s="27">
        <f t="shared" si="11"/>
        <v>0</v>
      </c>
      <c r="G360" s="27">
        <f t="shared" si="12"/>
        <v>0</v>
      </c>
      <c r="H360" s="29">
        <v>1</v>
      </c>
      <c r="I360" s="12"/>
      <c r="J360" s="12"/>
      <c r="K360" s="13"/>
      <c r="L360" s="13"/>
      <c r="M360" s="36"/>
    </row>
    <row r="361" spans="1:13" ht="30" customHeight="1">
      <c r="A361" s="16" t="s">
        <v>30</v>
      </c>
      <c r="B361" s="30" t="s">
        <v>391</v>
      </c>
      <c r="C361" s="30" t="s">
        <v>456</v>
      </c>
      <c r="D361" s="27">
        <v>2724.7029999999995</v>
      </c>
      <c r="E361" s="27">
        <v>2724.7029999999995</v>
      </c>
      <c r="F361" s="27">
        <f t="shared" si="11"/>
        <v>0</v>
      </c>
      <c r="G361" s="27">
        <f t="shared" si="12"/>
        <v>0</v>
      </c>
      <c r="H361" s="29">
        <v>1</v>
      </c>
      <c r="I361" s="12"/>
      <c r="J361" s="12"/>
      <c r="K361" s="13"/>
      <c r="L361" s="13"/>
      <c r="M361" s="36"/>
    </row>
    <row r="362" spans="1:13" ht="30" customHeight="1">
      <c r="A362" s="16" t="s">
        <v>30</v>
      </c>
      <c r="B362" s="30" t="s">
        <v>391</v>
      </c>
      <c r="C362" s="30" t="s">
        <v>455</v>
      </c>
      <c r="D362" s="27">
        <v>2714.4539999999997</v>
      </c>
      <c r="E362" s="27">
        <v>2714.4539999999997</v>
      </c>
      <c r="F362" s="27">
        <f t="shared" si="11"/>
        <v>0</v>
      </c>
      <c r="G362" s="27">
        <f t="shared" si="12"/>
        <v>0</v>
      </c>
      <c r="H362" s="29">
        <v>1</v>
      </c>
      <c r="I362" s="12"/>
      <c r="J362" s="12"/>
      <c r="K362" s="13"/>
      <c r="L362" s="13"/>
      <c r="M362" s="36"/>
    </row>
    <row r="363" spans="1:13" ht="30" customHeight="1">
      <c r="A363" s="2"/>
      <c r="B363" s="2"/>
      <c r="C363" s="2"/>
      <c r="D363" s="31"/>
      <c r="E363" s="2"/>
      <c r="F363" s="2"/>
      <c r="G363" s="2"/>
      <c r="H363" s="2"/>
      <c r="I363" s="2"/>
      <c r="J363" s="2"/>
      <c r="K363" s="11"/>
      <c r="L363" s="11"/>
      <c r="M363" s="9"/>
    </row>
    <row r="364" spans="1:13" ht="3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11"/>
      <c r="L364" s="11"/>
      <c r="M364" s="9"/>
    </row>
    <row r="365" spans="1:13" ht="3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11"/>
      <c r="L365" s="11"/>
      <c r="M365" s="9"/>
    </row>
    <row r="366" spans="1:13" ht="3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11"/>
      <c r="L366" s="11"/>
      <c r="M366" s="9"/>
    </row>
    <row r="367" spans="1:13" ht="3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11"/>
      <c r="L367" s="11"/>
      <c r="M367" s="9"/>
    </row>
    <row r="368" spans="1:13" ht="3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11"/>
      <c r="L368" s="11"/>
      <c r="M368" s="9"/>
    </row>
    <row r="369" spans="1:13" ht="3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11"/>
      <c r="L369" s="11"/>
      <c r="M369" s="9"/>
    </row>
    <row r="370" spans="1:13" ht="3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11"/>
      <c r="L370" s="11"/>
      <c r="M370" s="9"/>
    </row>
    <row r="371" spans="1:13" ht="3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11"/>
      <c r="L371" s="11"/>
      <c r="M371" s="9"/>
    </row>
    <row r="372" spans="1:13" ht="3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11"/>
      <c r="L372" s="11"/>
      <c r="M372" s="9"/>
    </row>
    <row r="373" spans="1:13" ht="3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11"/>
      <c r="L373" s="11"/>
      <c r="M373" s="9"/>
    </row>
    <row r="374" spans="1:13" ht="3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11"/>
      <c r="L374" s="11"/>
      <c r="M374" s="9"/>
    </row>
    <row r="375" spans="1:13" ht="3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11"/>
      <c r="L375" s="11"/>
      <c r="M375" s="9"/>
    </row>
    <row r="376" spans="1:13" ht="3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11"/>
      <c r="L376" s="11"/>
      <c r="M376" s="9"/>
    </row>
    <row r="377" spans="1:13" ht="3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11"/>
      <c r="L377" s="11"/>
      <c r="M377" s="9"/>
    </row>
    <row r="378" spans="1:13" ht="3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11"/>
      <c r="L378" s="11"/>
      <c r="M378" s="9"/>
    </row>
    <row r="379" spans="1:13" ht="3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11"/>
      <c r="L379" s="11"/>
      <c r="M379" s="9"/>
    </row>
    <row r="380" spans="1:13" ht="3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11"/>
      <c r="L380" s="11"/>
      <c r="M380" s="9"/>
    </row>
    <row r="381" spans="1:13" ht="3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11"/>
      <c r="L381" s="11"/>
      <c r="M381" s="9"/>
    </row>
    <row r="382" spans="1:13" ht="3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11"/>
      <c r="L382" s="11"/>
      <c r="M382" s="9"/>
    </row>
    <row r="383" spans="1:13" ht="3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11"/>
      <c r="L383" s="11"/>
      <c r="M383" s="9"/>
    </row>
    <row r="384" spans="1:13" ht="3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11"/>
      <c r="L384" s="11"/>
      <c r="M384" s="9"/>
    </row>
    <row r="385" spans="1:13" ht="3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11"/>
      <c r="L385" s="11"/>
      <c r="M385" s="9"/>
    </row>
    <row r="386" spans="1:13" ht="3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11"/>
      <c r="L386" s="11"/>
      <c r="M386" s="9"/>
    </row>
    <row r="387" spans="1:13" ht="3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11"/>
      <c r="L387" s="11"/>
      <c r="M387" s="9"/>
    </row>
    <row r="388" spans="1:13" ht="3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11"/>
      <c r="L388" s="11"/>
      <c r="M388" s="9"/>
    </row>
    <row r="389" spans="1:13" ht="3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11"/>
      <c r="L389" s="11"/>
      <c r="M389" s="9"/>
    </row>
    <row r="390" spans="1:13" ht="3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11"/>
      <c r="L390" s="11"/>
      <c r="M390" s="9"/>
    </row>
    <row r="391" spans="1:13" ht="3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11"/>
      <c r="L391" s="11"/>
      <c r="M391" s="9"/>
    </row>
    <row r="392" spans="1:13" ht="3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11"/>
      <c r="L392" s="11"/>
      <c r="M392" s="9"/>
    </row>
    <row r="393" spans="1:13" ht="3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11"/>
      <c r="L393" s="11"/>
      <c r="M393" s="9"/>
    </row>
    <row r="394" spans="1:13" ht="3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11"/>
      <c r="L394" s="11"/>
      <c r="M394" s="9"/>
    </row>
    <row r="395" spans="1:13" ht="3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11"/>
      <c r="L395" s="11"/>
      <c r="M395" s="9"/>
    </row>
    <row r="396" spans="1:13" ht="3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11"/>
      <c r="L396" s="11"/>
      <c r="M396" s="9"/>
    </row>
    <row r="397" spans="1:13" ht="3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11"/>
      <c r="L397" s="11"/>
      <c r="M397" s="9"/>
    </row>
    <row r="398" spans="1:13" ht="3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11"/>
      <c r="L398" s="11"/>
      <c r="M398" s="9"/>
    </row>
    <row r="399" spans="1:13" ht="3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11"/>
      <c r="L399" s="11"/>
      <c r="M399" s="9"/>
    </row>
    <row r="400" spans="1:13" ht="3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11"/>
      <c r="L400" s="11"/>
      <c r="M400" s="9"/>
    </row>
    <row r="401" spans="1:13" ht="3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11"/>
      <c r="L401" s="11"/>
      <c r="M401" s="9"/>
    </row>
    <row r="402" spans="1:13" ht="3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11"/>
      <c r="L402" s="11"/>
      <c r="M402" s="9"/>
    </row>
    <row r="403" spans="1:13" ht="3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11"/>
      <c r="L403" s="11"/>
      <c r="M403" s="9"/>
    </row>
    <row r="404" spans="1:13" ht="3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11"/>
      <c r="L404" s="11"/>
      <c r="M404" s="9"/>
    </row>
    <row r="405" spans="1:13" ht="3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11"/>
      <c r="L405" s="11"/>
      <c r="M405" s="9"/>
    </row>
    <row r="406" spans="1:13" ht="3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11"/>
      <c r="L406" s="11"/>
      <c r="M406" s="9"/>
    </row>
    <row r="407" spans="1:13" ht="3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11"/>
      <c r="L407" s="11"/>
      <c r="M407" s="9"/>
    </row>
    <row r="408" spans="1:13" ht="3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11"/>
      <c r="L408" s="11"/>
      <c r="M408" s="9"/>
    </row>
    <row r="409" spans="1:13" ht="3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11"/>
      <c r="L409" s="11"/>
      <c r="M409" s="9"/>
    </row>
    <row r="410" spans="1:13" ht="3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11"/>
      <c r="L410" s="11"/>
      <c r="M410" s="9"/>
    </row>
    <row r="411" spans="1:13" ht="3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11"/>
      <c r="L411" s="11"/>
      <c r="M411" s="9"/>
    </row>
    <row r="412" spans="1:13" ht="3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11"/>
      <c r="L412" s="11"/>
      <c r="M412" s="9"/>
    </row>
    <row r="413" spans="1:13" ht="3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11"/>
      <c r="L413" s="11"/>
      <c r="M413" s="9"/>
    </row>
    <row r="414" spans="1:13" ht="3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11"/>
      <c r="L414" s="11"/>
      <c r="M414" s="9"/>
    </row>
    <row r="415" spans="1:13" ht="3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11"/>
      <c r="L415" s="11"/>
      <c r="M415" s="9"/>
    </row>
    <row r="416" spans="1:13" ht="3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11"/>
      <c r="L416" s="11"/>
      <c r="M416" s="9"/>
    </row>
    <row r="417" spans="1:13" ht="3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11"/>
      <c r="L417" s="11"/>
      <c r="M417" s="9"/>
    </row>
    <row r="418" spans="1:13" ht="3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11"/>
      <c r="L418" s="11"/>
      <c r="M418" s="9"/>
    </row>
    <row r="419" spans="1:13" ht="3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11"/>
      <c r="L419" s="11"/>
      <c r="M419" s="9"/>
    </row>
    <row r="420" spans="1:13" ht="3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11"/>
      <c r="L420" s="11"/>
      <c r="M420" s="9"/>
    </row>
    <row r="421" spans="1:13" ht="3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11"/>
      <c r="L421" s="11"/>
      <c r="M421" s="9"/>
    </row>
    <row r="422" spans="1:13" ht="3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11"/>
      <c r="L422" s="11"/>
      <c r="M422" s="9"/>
    </row>
    <row r="423" spans="1:13" ht="3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11"/>
      <c r="L423" s="11"/>
      <c r="M423" s="9"/>
    </row>
    <row r="424" spans="1:13" ht="3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11"/>
      <c r="L424" s="11"/>
      <c r="M424" s="9"/>
    </row>
    <row r="425" spans="1:13" ht="3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11"/>
      <c r="L425" s="11"/>
      <c r="M425" s="9"/>
    </row>
    <row r="426" spans="1:13" ht="3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11"/>
      <c r="L426" s="11"/>
      <c r="M426" s="9"/>
    </row>
    <row r="427" spans="1:13" ht="3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11"/>
      <c r="L427" s="11"/>
      <c r="M427" s="9"/>
    </row>
    <row r="428" spans="1:13" ht="3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11"/>
      <c r="L428" s="11"/>
      <c r="M428" s="9"/>
    </row>
    <row r="429" spans="1:13" ht="3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11"/>
      <c r="L429" s="11"/>
      <c r="M429" s="9"/>
    </row>
    <row r="430" spans="1:13" ht="3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11"/>
      <c r="L430" s="11"/>
      <c r="M430" s="9"/>
    </row>
    <row r="431" spans="1:13" ht="3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11"/>
      <c r="L431" s="11"/>
      <c r="M431" s="9"/>
    </row>
    <row r="432" spans="1:13" ht="3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11"/>
      <c r="L432" s="11"/>
      <c r="M432" s="9"/>
    </row>
    <row r="433" spans="1:13" ht="3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11"/>
      <c r="L433" s="11"/>
      <c r="M433" s="9"/>
    </row>
    <row r="434" spans="1:13" ht="3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11"/>
      <c r="L434" s="11"/>
      <c r="M434" s="9"/>
    </row>
    <row r="435" spans="1:13" ht="3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11"/>
      <c r="L435" s="11"/>
      <c r="M435" s="9"/>
    </row>
    <row r="436" spans="1:13" ht="3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11"/>
      <c r="L436" s="11"/>
      <c r="M436" s="9"/>
    </row>
    <row r="437" spans="1:13" ht="3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11"/>
      <c r="L437" s="11"/>
      <c r="M437" s="9"/>
    </row>
    <row r="438" spans="1:13" ht="3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11"/>
      <c r="L438" s="11"/>
      <c r="M438" s="9"/>
    </row>
    <row r="439" spans="1:13" ht="3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11"/>
      <c r="L439" s="11"/>
      <c r="M439" s="9"/>
    </row>
    <row r="440" spans="1:13" ht="3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11"/>
      <c r="L440" s="11"/>
      <c r="M440" s="9"/>
    </row>
    <row r="441" spans="1:13" ht="3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11"/>
      <c r="L441" s="11"/>
      <c r="M441" s="9"/>
    </row>
    <row r="442" spans="1:13" ht="3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11"/>
      <c r="L442" s="11"/>
      <c r="M442" s="9"/>
    </row>
    <row r="443" spans="1:13" ht="3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11"/>
      <c r="L443" s="11"/>
      <c r="M443" s="9"/>
    </row>
    <row r="444" spans="1:13" ht="3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11"/>
      <c r="L444" s="11"/>
      <c r="M444" s="9"/>
    </row>
    <row r="445" spans="1:13" ht="3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11"/>
      <c r="L445" s="11"/>
      <c r="M445" s="9"/>
    </row>
    <row r="446" spans="1:13" ht="3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11"/>
      <c r="L446" s="11"/>
      <c r="M446" s="9"/>
    </row>
    <row r="447" spans="1:13" ht="3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11"/>
      <c r="L447" s="11"/>
      <c r="M447" s="9"/>
    </row>
    <row r="448" spans="1:13" ht="3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11"/>
      <c r="L448" s="11"/>
      <c r="M448" s="9"/>
    </row>
    <row r="449" spans="1:13" ht="3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11"/>
      <c r="L449" s="11"/>
      <c r="M449" s="9"/>
    </row>
    <row r="450" spans="1:13" ht="3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11"/>
      <c r="L450" s="11"/>
      <c r="M450" s="9"/>
    </row>
    <row r="451" spans="1:13" ht="3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11"/>
      <c r="L451" s="11"/>
      <c r="M451" s="9"/>
    </row>
    <row r="452" spans="1:13" ht="3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11"/>
      <c r="L452" s="11"/>
      <c r="M452" s="9"/>
    </row>
    <row r="453" spans="1:13" ht="3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11"/>
      <c r="L453" s="11"/>
      <c r="M453" s="9"/>
    </row>
    <row r="454" spans="1:13" ht="3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11"/>
      <c r="L454" s="11"/>
      <c r="M454" s="9"/>
    </row>
    <row r="455" spans="1:13" ht="3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11"/>
      <c r="L455" s="11"/>
      <c r="M455" s="9"/>
    </row>
    <row r="456" spans="1:13" ht="3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11"/>
      <c r="L456" s="11"/>
      <c r="M456" s="9"/>
    </row>
    <row r="457" spans="1:13" ht="3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11"/>
      <c r="L457" s="11"/>
      <c r="M457" s="9"/>
    </row>
    <row r="458" spans="1:13" ht="3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11"/>
      <c r="L458" s="11"/>
      <c r="M458" s="9"/>
    </row>
    <row r="459" spans="1:13" ht="3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11"/>
      <c r="L459" s="11"/>
      <c r="M459" s="9"/>
    </row>
    <row r="460" spans="1:13" ht="3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11"/>
      <c r="L460" s="11"/>
      <c r="M460" s="9"/>
    </row>
    <row r="461" spans="1:13" ht="3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11"/>
      <c r="L461" s="11"/>
      <c r="M461" s="9"/>
    </row>
    <row r="462" spans="1:13" ht="3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11"/>
      <c r="L462" s="11"/>
      <c r="M462" s="9"/>
    </row>
    <row r="463" spans="1:13" ht="3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11"/>
      <c r="L463" s="11"/>
      <c r="M463" s="9"/>
    </row>
    <row r="464" spans="1:13" ht="3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11"/>
      <c r="L464" s="11"/>
      <c r="M464" s="9"/>
    </row>
    <row r="465" spans="1:13" ht="3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11"/>
      <c r="L465" s="11"/>
      <c r="M465" s="9"/>
    </row>
    <row r="466" spans="1:13" ht="3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11"/>
      <c r="L466" s="11"/>
      <c r="M466" s="9"/>
    </row>
    <row r="467" spans="1:13" ht="3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11"/>
      <c r="L467" s="11"/>
      <c r="M467" s="9"/>
    </row>
    <row r="468" spans="1:13" ht="3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11"/>
      <c r="L468" s="11"/>
      <c r="M468" s="9"/>
    </row>
    <row r="469" spans="1:13" ht="3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11"/>
      <c r="L469" s="11"/>
      <c r="M469" s="9"/>
    </row>
    <row r="470" spans="1:13" ht="3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11"/>
      <c r="L470" s="11"/>
      <c r="M470" s="9"/>
    </row>
    <row r="471" spans="1:13" ht="3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11"/>
      <c r="L471" s="11"/>
      <c r="M471" s="9"/>
    </row>
    <row r="472" spans="1:13" ht="3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11"/>
      <c r="L472" s="11"/>
      <c r="M472" s="9"/>
    </row>
    <row r="473" spans="1:13" ht="3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11"/>
      <c r="L473" s="11"/>
      <c r="M473" s="9"/>
    </row>
    <row r="474" spans="1:13" ht="3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11"/>
      <c r="L474" s="11"/>
      <c r="M474" s="9"/>
    </row>
    <row r="475" spans="1:13" ht="3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11"/>
      <c r="L475" s="11"/>
      <c r="M475" s="9"/>
    </row>
    <row r="476" spans="1:13" ht="3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11"/>
      <c r="L476" s="11"/>
      <c r="M476" s="9"/>
    </row>
    <row r="477" spans="1:13" ht="3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11"/>
      <c r="L477" s="11"/>
      <c r="M477" s="9"/>
    </row>
    <row r="478" spans="1:13" ht="3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11"/>
      <c r="L478" s="11"/>
      <c r="M478" s="9"/>
    </row>
    <row r="479" spans="1:13" ht="3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11"/>
      <c r="L479" s="11"/>
      <c r="M479" s="9"/>
    </row>
    <row r="480" spans="1:13" ht="3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11"/>
      <c r="L480" s="11"/>
      <c r="M480" s="9"/>
    </row>
    <row r="481" spans="1:13" ht="3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11"/>
      <c r="L481" s="11"/>
      <c r="M481" s="9"/>
    </row>
    <row r="482" spans="1:13" ht="3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11"/>
      <c r="L482" s="11"/>
      <c r="M482" s="9"/>
    </row>
    <row r="483" spans="1:13" ht="3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11"/>
      <c r="L483" s="11"/>
      <c r="M483" s="9"/>
    </row>
    <row r="484" spans="1:13" ht="3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11"/>
      <c r="L484" s="11"/>
      <c r="M484" s="9"/>
    </row>
    <row r="485" spans="1:13" ht="3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11"/>
      <c r="L485" s="11"/>
      <c r="M485" s="9"/>
    </row>
    <row r="486" spans="1:13" ht="3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11"/>
      <c r="L486" s="11"/>
      <c r="M486" s="9"/>
    </row>
    <row r="487" spans="1:13" ht="3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11"/>
      <c r="L487" s="11"/>
      <c r="M487" s="9"/>
    </row>
    <row r="488" spans="1:13" ht="3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11"/>
      <c r="L488" s="11"/>
      <c r="M488" s="9"/>
    </row>
    <row r="489" spans="1:13" ht="3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11"/>
      <c r="L489" s="11"/>
      <c r="M489" s="9"/>
    </row>
    <row r="490" spans="1:13" ht="3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11"/>
      <c r="L490" s="11"/>
      <c r="M490" s="9"/>
    </row>
    <row r="491" spans="1:13" ht="3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11"/>
      <c r="L491" s="11"/>
      <c r="M491" s="9"/>
    </row>
    <row r="492" spans="1:13" ht="3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11"/>
      <c r="L492" s="11"/>
      <c r="M492" s="9"/>
    </row>
    <row r="493" spans="1:13" ht="3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11"/>
      <c r="L493" s="11"/>
      <c r="M493" s="9"/>
    </row>
    <row r="494" spans="1:13" ht="3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11"/>
      <c r="L494" s="11"/>
      <c r="M494" s="9"/>
    </row>
    <row r="495" spans="1:13" ht="3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11"/>
      <c r="L495" s="11"/>
      <c r="M495" s="9"/>
    </row>
    <row r="496" spans="1:13" ht="3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11"/>
      <c r="L496" s="11"/>
      <c r="M496" s="9"/>
    </row>
    <row r="497" spans="1:13" ht="3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11"/>
      <c r="L497" s="11"/>
      <c r="M497" s="9"/>
    </row>
    <row r="498" spans="1:13" ht="3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11"/>
      <c r="L498" s="11"/>
      <c r="M498" s="9"/>
    </row>
    <row r="499" spans="1:13" ht="3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11"/>
      <c r="L499" s="11"/>
      <c r="M499" s="9"/>
    </row>
    <row r="500" spans="1:13" ht="3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11"/>
      <c r="L500" s="11"/>
      <c r="M500" s="9"/>
    </row>
    <row r="501" spans="1:13" ht="3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11"/>
      <c r="L501" s="11"/>
      <c r="M501" s="9"/>
    </row>
    <row r="502" spans="1:13" ht="3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11"/>
      <c r="L502" s="11"/>
      <c r="M502" s="9"/>
    </row>
    <row r="503" spans="1:13" ht="3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11"/>
      <c r="L503" s="11"/>
      <c r="M503" s="9"/>
    </row>
    <row r="504" spans="1:13" ht="3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11"/>
      <c r="L504" s="11"/>
      <c r="M504" s="9"/>
    </row>
    <row r="505" spans="1:13" ht="3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11"/>
      <c r="L505" s="11"/>
      <c r="M505" s="9"/>
    </row>
    <row r="506" spans="1:13" ht="3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11"/>
      <c r="L506" s="11"/>
      <c r="M506" s="9"/>
    </row>
    <row r="507" spans="1:13" ht="3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11"/>
      <c r="L507" s="11"/>
      <c r="M507" s="9"/>
    </row>
    <row r="508" spans="1:13" ht="3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11"/>
      <c r="L508" s="11"/>
      <c r="M508" s="9"/>
    </row>
    <row r="509" spans="1:13" ht="3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11"/>
      <c r="L509" s="11"/>
      <c r="M509" s="9"/>
    </row>
    <row r="510" spans="1:13" ht="3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11"/>
      <c r="L510" s="11"/>
      <c r="M510" s="9"/>
    </row>
    <row r="511" spans="1:13" ht="3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11"/>
      <c r="L511" s="11"/>
      <c r="M511" s="9"/>
    </row>
    <row r="512" spans="1:13" ht="3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11"/>
      <c r="L512" s="11"/>
      <c r="M512" s="9"/>
    </row>
    <row r="513" spans="1:13" ht="3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11"/>
      <c r="L513" s="11"/>
      <c r="M513" s="9"/>
    </row>
    <row r="514" spans="1:13" ht="3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11"/>
      <c r="L514" s="11"/>
      <c r="M514" s="9"/>
    </row>
    <row r="515" spans="1:13" ht="3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11"/>
      <c r="L515" s="11"/>
      <c r="M515" s="9"/>
    </row>
    <row r="516" spans="1:13" ht="3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11"/>
      <c r="L516" s="11"/>
      <c r="M516" s="9"/>
    </row>
    <row r="517" spans="1:13" ht="3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11"/>
      <c r="L517" s="11"/>
      <c r="M517" s="9"/>
    </row>
    <row r="518" spans="1:13" ht="3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11"/>
      <c r="L518" s="11"/>
      <c r="M518" s="9"/>
    </row>
    <row r="519" spans="1:13" ht="3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11"/>
      <c r="L519" s="11"/>
      <c r="M519" s="9"/>
    </row>
    <row r="520" spans="1:13" ht="3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11"/>
      <c r="L520" s="11"/>
      <c r="M520" s="9"/>
    </row>
    <row r="521" spans="1:13" ht="3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11"/>
      <c r="L521" s="11"/>
      <c r="M521" s="9"/>
    </row>
    <row r="522" spans="1:13" ht="3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11"/>
      <c r="L522" s="11"/>
      <c r="M522" s="9"/>
    </row>
    <row r="523" spans="1:13" ht="3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11"/>
      <c r="L523" s="11"/>
      <c r="M523" s="9"/>
    </row>
    <row r="524" spans="1:13" ht="3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11"/>
      <c r="L524" s="11"/>
      <c r="M524" s="9"/>
    </row>
    <row r="525" spans="1:13" ht="3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11"/>
      <c r="L525" s="11"/>
      <c r="M525" s="9"/>
    </row>
    <row r="526" spans="1:13" ht="3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11"/>
      <c r="L526" s="11"/>
      <c r="M526" s="9"/>
    </row>
    <row r="527" spans="1:13" ht="3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11"/>
      <c r="L527" s="11"/>
      <c r="M527" s="9"/>
    </row>
    <row r="528" spans="1:13" ht="3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11"/>
      <c r="L528" s="11"/>
      <c r="M528" s="9"/>
    </row>
    <row r="529" spans="1:13" ht="3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11"/>
      <c r="L529" s="11"/>
      <c r="M529" s="9"/>
    </row>
    <row r="530" spans="1:13" ht="3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11"/>
      <c r="L530" s="11"/>
      <c r="M530" s="9"/>
    </row>
    <row r="531" spans="1:13" ht="3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11"/>
      <c r="L531" s="11"/>
      <c r="M531" s="9"/>
    </row>
    <row r="532" spans="1:13" ht="3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11"/>
      <c r="L532" s="11"/>
      <c r="M532" s="9"/>
    </row>
    <row r="533" spans="1:13" ht="3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11"/>
      <c r="L533" s="11"/>
      <c r="M533" s="9"/>
    </row>
    <row r="534" spans="1:13" ht="3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11"/>
      <c r="L534" s="11"/>
      <c r="M534" s="9"/>
    </row>
    <row r="535" spans="1:13" ht="3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11"/>
      <c r="L535" s="11"/>
      <c r="M535" s="9"/>
    </row>
    <row r="536" spans="1:13" ht="3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11"/>
      <c r="L536" s="11"/>
      <c r="M536" s="9"/>
    </row>
    <row r="537" spans="1:13" ht="3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11"/>
      <c r="L537" s="11"/>
      <c r="M537" s="9"/>
    </row>
    <row r="538" spans="1:13" ht="3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11"/>
      <c r="L538" s="11"/>
      <c r="M538" s="9"/>
    </row>
    <row r="539" spans="1:13" ht="3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11"/>
      <c r="L539" s="11"/>
      <c r="M539" s="9"/>
    </row>
    <row r="540" spans="1:13" ht="3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11"/>
      <c r="L540" s="11"/>
      <c r="M540" s="9"/>
    </row>
    <row r="541" spans="1:13" ht="3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11"/>
      <c r="L541" s="11"/>
      <c r="M541" s="9"/>
    </row>
    <row r="542" spans="1:13" ht="3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11"/>
      <c r="L542" s="11"/>
      <c r="M542" s="9"/>
    </row>
    <row r="543" spans="1:13" ht="3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11"/>
      <c r="L543" s="11"/>
      <c r="M543" s="9"/>
    </row>
    <row r="544" spans="1:13" ht="3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11"/>
      <c r="L544" s="11"/>
      <c r="M544" s="9"/>
    </row>
    <row r="545" spans="1:13" ht="3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11"/>
      <c r="L545" s="11"/>
      <c r="M545" s="9"/>
    </row>
    <row r="546" spans="1:13" ht="3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11"/>
      <c r="L546" s="11"/>
      <c r="M546" s="9"/>
    </row>
    <row r="547" spans="1:13" ht="3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11"/>
      <c r="L547" s="11"/>
      <c r="M547" s="9"/>
    </row>
    <row r="548" spans="1:13" ht="3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11"/>
      <c r="L548" s="11"/>
      <c r="M548" s="9"/>
    </row>
    <row r="549" spans="1:13" ht="3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11"/>
      <c r="L549" s="11"/>
      <c r="M549" s="9"/>
    </row>
    <row r="550" spans="1:13" ht="3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11"/>
      <c r="L550" s="11"/>
      <c r="M550" s="9"/>
    </row>
    <row r="551" spans="1:13" ht="3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11"/>
      <c r="L551" s="11"/>
      <c r="M551" s="9"/>
    </row>
    <row r="552" spans="1:13" ht="3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11"/>
      <c r="L552" s="11"/>
      <c r="M552" s="9"/>
    </row>
    <row r="553" spans="1:13" ht="3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11"/>
      <c r="L553" s="11"/>
      <c r="M553" s="9"/>
    </row>
    <row r="554" spans="1:13" ht="3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11"/>
      <c r="L554" s="11"/>
      <c r="M554" s="9"/>
    </row>
    <row r="555" spans="1:13" ht="3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11"/>
      <c r="L555" s="11"/>
      <c r="M555" s="9"/>
    </row>
    <row r="556" spans="1:13" ht="3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11"/>
      <c r="L556" s="11"/>
      <c r="M556" s="9"/>
    </row>
    <row r="557" spans="1:13" ht="3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11"/>
      <c r="L557" s="11"/>
      <c r="M557" s="9"/>
    </row>
    <row r="558" spans="1:13" ht="3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11"/>
      <c r="L558" s="11"/>
      <c r="M558" s="9"/>
    </row>
    <row r="559" spans="1:13" ht="3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11"/>
      <c r="L559" s="11"/>
      <c r="M559" s="9"/>
    </row>
    <row r="560" spans="1:13" ht="3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11"/>
      <c r="L560" s="11"/>
      <c r="M560" s="9"/>
    </row>
    <row r="561" spans="1:13" ht="3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11"/>
      <c r="L561" s="11"/>
      <c r="M561" s="9"/>
    </row>
    <row r="562" spans="1:13" ht="3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11"/>
      <c r="L562" s="11"/>
      <c r="M562" s="9"/>
    </row>
    <row r="563" spans="1:13" ht="3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11"/>
      <c r="L563" s="11"/>
      <c r="M563" s="9"/>
    </row>
    <row r="564" spans="1:13" ht="3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11"/>
      <c r="L564" s="11"/>
      <c r="M564" s="9"/>
    </row>
    <row r="565" spans="1:13" ht="3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11"/>
      <c r="L565" s="11"/>
      <c r="M565" s="9"/>
    </row>
    <row r="566" spans="1:13" ht="3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11"/>
      <c r="L566" s="11"/>
      <c r="M566" s="9"/>
    </row>
    <row r="567" spans="1:13" ht="3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11"/>
      <c r="L567" s="11"/>
      <c r="M567" s="9"/>
    </row>
    <row r="568" spans="1:13" ht="3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11"/>
      <c r="L568" s="11"/>
      <c r="M568" s="9"/>
    </row>
    <row r="569" spans="1:13" ht="3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11"/>
      <c r="L569" s="11"/>
      <c r="M569" s="9"/>
    </row>
    <row r="570" spans="1:13" ht="3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11"/>
      <c r="L570" s="11"/>
      <c r="M570" s="9"/>
    </row>
    <row r="571" spans="1:13" ht="3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11"/>
      <c r="L571" s="11"/>
      <c r="M571" s="9"/>
    </row>
    <row r="572" spans="1:13" ht="3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11"/>
      <c r="L572" s="11"/>
      <c r="M572" s="9"/>
    </row>
    <row r="573" spans="1:13" ht="3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11"/>
      <c r="L573" s="11"/>
      <c r="M573" s="9"/>
    </row>
    <row r="574" spans="1:13" ht="3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11"/>
      <c r="L574" s="11"/>
      <c r="M574" s="9"/>
    </row>
    <row r="575" spans="1:13" ht="3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11"/>
      <c r="L575" s="11"/>
      <c r="M575" s="9"/>
    </row>
    <row r="576" spans="1:13" ht="3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11"/>
      <c r="L576" s="11"/>
      <c r="M576" s="9"/>
    </row>
    <row r="577" spans="1:13" ht="3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11"/>
      <c r="L577" s="11"/>
      <c r="M577" s="9"/>
    </row>
    <row r="578" spans="1:13" ht="3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11"/>
      <c r="L578" s="11"/>
      <c r="M578" s="9"/>
    </row>
    <row r="579" spans="1:13" ht="3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11"/>
      <c r="L579" s="11"/>
      <c r="M579" s="9"/>
    </row>
    <row r="580" spans="1:13" ht="3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11"/>
      <c r="L580" s="11"/>
      <c r="M580" s="9"/>
    </row>
    <row r="581" spans="1:13" ht="3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11"/>
      <c r="L581" s="11"/>
      <c r="M581" s="9"/>
    </row>
    <row r="582" spans="1:13" ht="3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11"/>
      <c r="L582" s="11"/>
      <c r="M582" s="9"/>
    </row>
    <row r="583" spans="1:13" ht="3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11"/>
      <c r="L583" s="11"/>
      <c r="M583" s="9"/>
    </row>
    <row r="584" spans="1:13" ht="3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11"/>
      <c r="L584" s="11"/>
      <c r="M584" s="9"/>
    </row>
    <row r="585" spans="1:13" ht="3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11"/>
      <c r="L585" s="11"/>
      <c r="M585" s="9"/>
    </row>
    <row r="586" spans="1:13" ht="3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11"/>
      <c r="L586" s="11"/>
      <c r="M586" s="9"/>
    </row>
  </sheetData>
  <autoFilter ref="A2:M298" xr:uid="{48C3EA1C-1E31-4450-8B8A-792657D07DD1}"/>
  <mergeCells count="1">
    <mergeCell ref="A1:M1"/>
  </mergeCells>
  <conditionalFormatting sqref="C1:C298 C363:C1048576">
    <cfRule type="duplicateValues" dxfId="15" priority="2"/>
  </conditionalFormatting>
  <conditionalFormatting sqref="C299:C362">
    <cfRule type="duplicateValues" dxfId="0" priority="1"/>
  </conditionalFormatting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5F5C7-9145-40FE-93CB-314E9FB36F82}">
  <sheetPr>
    <outlinePr summaryBelow="0" summaryRight="0"/>
  </sheetPr>
  <dimension ref="A1:N585"/>
  <sheetViews>
    <sheetView zoomScale="55" zoomScaleNormal="55" workbookViewId="0">
      <pane xSplit="1" ySplit="2" topLeftCell="B298" activePane="bottomRight" state="frozen"/>
      <selection pane="topRight" activeCell="B1" sqref="B1"/>
      <selection pane="bottomLeft" activeCell="A3" sqref="A3"/>
      <selection pane="bottomRight" activeCell="D317" sqref="D317"/>
    </sheetView>
  </sheetViews>
  <sheetFormatPr defaultColWidth="12.5703125" defaultRowHeight="15.75" customHeight="1"/>
  <cols>
    <col min="1" max="10" width="31.5703125" style="32" customWidth="1"/>
    <col min="11" max="12" width="31.5703125" style="33" customWidth="1"/>
    <col min="13" max="13" width="31.5703125" style="34" customWidth="1"/>
    <col min="14" max="16384" width="12.5703125" style="32"/>
  </cols>
  <sheetData>
    <row r="1" spans="1:14" ht="30" customHeight="1">
      <c r="A1" s="37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9"/>
      <c r="L1" s="39"/>
      <c r="M1" s="40"/>
    </row>
    <row r="2" spans="1:14" ht="3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/>
      <c r="H2" s="1" t="s">
        <v>7</v>
      </c>
      <c r="I2" s="1" t="s">
        <v>8</v>
      </c>
      <c r="J2" s="1" t="s">
        <v>9</v>
      </c>
      <c r="K2" s="10" t="s">
        <v>10</v>
      </c>
      <c r="L2" s="10" t="s">
        <v>11</v>
      </c>
      <c r="M2" s="8" t="s">
        <v>12</v>
      </c>
    </row>
    <row r="3" spans="1:14" ht="30" customHeight="1">
      <c r="A3" s="7" t="s">
        <v>13</v>
      </c>
      <c r="B3" s="30" t="s">
        <v>384</v>
      </c>
      <c r="C3" s="30" t="s">
        <v>89</v>
      </c>
      <c r="D3" s="27">
        <v>25082.589253300383</v>
      </c>
      <c r="E3" s="28">
        <v>14121.057221150619</v>
      </c>
      <c r="F3" s="27">
        <f>+D3-E3</f>
        <v>10961.532032149764</v>
      </c>
      <c r="G3" s="27">
        <f t="shared" ref="G3:G66" si="0">+F3*100/D3</f>
        <v>43.70175631173101</v>
      </c>
      <c r="H3" s="29">
        <v>61</v>
      </c>
      <c r="I3" s="29">
        <v>3</v>
      </c>
      <c r="J3" s="18" t="s">
        <v>14</v>
      </c>
      <c r="K3" s="30">
        <v>40.865291666700003</v>
      </c>
      <c r="L3" s="30">
        <v>71.961494999999999</v>
      </c>
      <c r="M3" s="15">
        <v>160</v>
      </c>
      <c r="N3" s="32">
        <v>3</v>
      </c>
    </row>
    <row r="4" spans="1:14" ht="30" customHeight="1">
      <c r="A4" s="7" t="s">
        <v>13</v>
      </c>
      <c r="B4" s="30" t="s">
        <v>385</v>
      </c>
      <c r="C4" s="30" t="s">
        <v>123</v>
      </c>
      <c r="D4" s="27">
        <v>26837.05996330038</v>
      </c>
      <c r="E4" s="28">
        <v>15656.02722115062</v>
      </c>
      <c r="F4" s="27">
        <f>+D4-E4</f>
        <v>11181.03274214976</v>
      </c>
      <c r="G4" s="27">
        <f t="shared" si="0"/>
        <v>41.662658865910785</v>
      </c>
      <c r="H4" s="29">
        <v>35</v>
      </c>
      <c r="I4" s="29">
        <v>4</v>
      </c>
      <c r="J4" s="4" t="s">
        <v>16</v>
      </c>
      <c r="K4" s="30">
        <v>40.859666666700001</v>
      </c>
      <c r="L4" s="30">
        <v>72.121076666700006</v>
      </c>
      <c r="M4" s="15">
        <v>63</v>
      </c>
    </row>
    <row r="5" spans="1:14" ht="30" customHeight="1">
      <c r="A5" s="7" t="s">
        <v>13</v>
      </c>
      <c r="B5" s="30" t="s">
        <v>386</v>
      </c>
      <c r="C5" s="30" t="s">
        <v>124</v>
      </c>
      <c r="D5" s="27">
        <v>28516.09267330038</v>
      </c>
      <c r="E5" s="28">
        <v>17124.997221150617</v>
      </c>
      <c r="F5" s="27">
        <f t="shared" ref="F5:F68" si="1">+D5-E5</f>
        <v>11391.095452149762</v>
      </c>
      <c r="G5" s="27">
        <f t="shared" si="0"/>
        <v>39.9462001426838</v>
      </c>
      <c r="H5" s="29">
        <v>19</v>
      </c>
      <c r="I5" s="29">
        <v>4</v>
      </c>
      <c r="J5" s="4" t="s">
        <v>15</v>
      </c>
      <c r="K5" s="30">
        <v>40.875443333299998</v>
      </c>
      <c r="L5" s="30">
        <v>71.966825</v>
      </c>
      <c r="M5" s="15">
        <v>250</v>
      </c>
    </row>
    <row r="6" spans="1:14" ht="30" customHeight="1">
      <c r="A6" s="7" t="s">
        <v>13</v>
      </c>
      <c r="B6" s="30" t="s">
        <v>387</v>
      </c>
      <c r="C6" s="30" t="s">
        <v>125</v>
      </c>
      <c r="D6" s="27">
        <v>28049.702953300381</v>
      </c>
      <c r="E6" s="28">
        <v>16716.95722115062</v>
      </c>
      <c r="F6" s="27">
        <f t="shared" si="1"/>
        <v>11332.74573214976</v>
      </c>
      <c r="G6" s="27">
        <f t="shared" si="0"/>
        <v>40.402373426262358</v>
      </c>
      <c r="H6" s="29">
        <v>69</v>
      </c>
      <c r="I6" s="29">
        <v>3</v>
      </c>
      <c r="J6" s="4" t="s">
        <v>15</v>
      </c>
      <c r="K6" s="30">
        <v>40.879336666500002</v>
      </c>
      <c r="L6" s="30">
        <v>71.986581666700005</v>
      </c>
      <c r="M6" s="15">
        <v>160</v>
      </c>
    </row>
    <row r="7" spans="1:14" ht="30" customHeight="1">
      <c r="A7" s="7" t="s">
        <v>13</v>
      </c>
      <c r="B7" s="30" t="s">
        <v>388</v>
      </c>
      <c r="C7" s="30" t="s">
        <v>126</v>
      </c>
      <c r="D7" s="27">
        <v>24211.341313300381</v>
      </c>
      <c r="E7" s="28">
        <v>13358.810554483953</v>
      </c>
      <c r="F7" s="27">
        <f t="shared" si="1"/>
        <v>10852.530758816429</v>
      </c>
      <c r="G7" s="27">
        <f t="shared" si="0"/>
        <v>44.824161612453267</v>
      </c>
      <c r="H7" s="29">
        <v>13</v>
      </c>
      <c r="I7" s="29">
        <v>3</v>
      </c>
      <c r="J7" s="4" t="s">
        <v>15</v>
      </c>
      <c r="K7" s="30">
        <v>40.874026666600002</v>
      </c>
      <c r="L7" s="30">
        <v>72.094549999700007</v>
      </c>
      <c r="M7" s="15">
        <v>400</v>
      </c>
    </row>
    <row r="8" spans="1:14" ht="30" customHeight="1">
      <c r="A8" s="7" t="s">
        <v>13</v>
      </c>
      <c r="B8" s="30" t="s">
        <v>385</v>
      </c>
      <c r="C8" s="30" t="s">
        <v>127</v>
      </c>
      <c r="D8" s="27">
        <v>27735.214123300379</v>
      </c>
      <c r="E8" s="28">
        <v>16441.813887817287</v>
      </c>
      <c r="F8" s="27">
        <f t="shared" si="1"/>
        <v>11293.400235483092</v>
      </c>
      <c r="G8" s="27">
        <f t="shared" si="0"/>
        <v>40.718633666489332</v>
      </c>
      <c r="H8" s="29">
        <v>59</v>
      </c>
      <c r="I8" s="29">
        <v>5</v>
      </c>
      <c r="J8" s="4" t="s">
        <v>17</v>
      </c>
      <c r="K8" s="30">
        <v>40.859666666700001</v>
      </c>
      <c r="L8" s="30">
        <v>72.121076666700006</v>
      </c>
      <c r="M8" s="15">
        <v>100</v>
      </c>
    </row>
    <row r="9" spans="1:14" ht="30" customHeight="1">
      <c r="A9" s="7" t="s">
        <v>13</v>
      </c>
      <c r="B9" s="30" t="s">
        <v>385</v>
      </c>
      <c r="C9" s="30" t="s">
        <v>128</v>
      </c>
      <c r="D9" s="27">
        <v>30681.121363300379</v>
      </c>
      <c r="E9" s="28">
        <v>19019.160554483955</v>
      </c>
      <c r="F9" s="27">
        <f t="shared" si="1"/>
        <v>11661.960808816424</v>
      </c>
      <c r="G9" s="27">
        <f t="shared" si="0"/>
        <v>38.010217001931451</v>
      </c>
      <c r="H9" s="29">
        <v>81</v>
      </c>
      <c r="I9" s="29">
        <v>11</v>
      </c>
      <c r="J9" s="4" t="s">
        <v>17</v>
      </c>
      <c r="K9" s="30">
        <v>40.861923333299998</v>
      </c>
      <c r="L9" s="30">
        <v>72.000451666700002</v>
      </c>
      <c r="M9" s="15">
        <v>250</v>
      </c>
    </row>
    <row r="10" spans="1:14" ht="30" customHeight="1">
      <c r="A10" s="7" t="s">
        <v>13</v>
      </c>
      <c r="B10" s="30" t="s">
        <v>388</v>
      </c>
      <c r="C10" s="30" t="s">
        <v>129</v>
      </c>
      <c r="D10" s="27">
        <v>29355.56140330038</v>
      </c>
      <c r="E10" s="28">
        <v>17859.440554483954</v>
      </c>
      <c r="F10" s="27">
        <f t="shared" si="1"/>
        <v>11496.120848816427</v>
      </c>
      <c r="G10" s="27">
        <f t="shared" si="0"/>
        <v>39.161645355295242</v>
      </c>
      <c r="H10" s="29">
        <v>97</v>
      </c>
      <c r="I10" s="29">
        <v>3</v>
      </c>
      <c r="J10" s="4" t="s">
        <v>17</v>
      </c>
      <c r="K10" s="30">
        <v>40.876303333300001</v>
      </c>
      <c r="L10" s="30">
        <v>71.989218333300002</v>
      </c>
      <c r="M10" s="15">
        <v>160</v>
      </c>
    </row>
    <row r="11" spans="1:14" ht="30" customHeight="1">
      <c r="A11" s="7" t="s">
        <v>13</v>
      </c>
      <c r="B11" s="30" t="s">
        <v>387</v>
      </c>
      <c r="C11" s="30" t="s">
        <v>130</v>
      </c>
      <c r="D11" s="27">
        <v>29736.957643300382</v>
      </c>
      <c r="E11" s="28">
        <v>18193.120554483954</v>
      </c>
      <c r="F11" s="27">
        <f t="shared" si="1"/>
        <v>11543.837088816428</v>
      </c>
      <c r="G11" s="27">
        <f t="shared" si="0"/>
        <v>38.819832301900625</v>
      </c>
      <c r="H11" s="29">
        <v>66</v>
      </c>
      <c r="I11" s="29">
        <v>3</v>
      </c>
      <c r="J11" s="4" t="s">
        <v>14</v>
      </c>
      <c r="K11" s="30">
        <v>40.880254999999998</v>
      </c>
      <c r="L11" s="30">
        <v>71.986491666700005</v>
      </c>
      <c r="M11" s="15">
        <v>400</v>
      </c>
    </row>
    <row r="12" spans="1:14" ht="30" customHeight="1">
      <c r="A12" s="7" t="s">
        <v>13</v>
      </c>
      <c r="B12" s="30" t="s">
        <v>388</v>
      </c>
      <c r="C12" s="30" t="s">
        <v>131</v>
      </c>
      <c r="D12" s="27">
        <v>27161.919613300379</v>
      </c>
      <c r="E12" s="28">
        <v>15940.243887817287</v>
      </c>
      <c r="F12" s="27">
        <f t="shared" si="1"/>
        <v>11221.675725483092</v>
      </c>
      <c r="G12" s="27">
        <f t="shared" si="0"/>
        <v>41.314000944131259</v>
      </c>
      <c r="H12" s="29">
        <v>61</v>
      </c>
      <c r="I12" s="29">
        <v>4</v>
      </c>
      <c r="J12" s="4" t="s">
        <v>16</v>
      </c>
      <c r="K12" s="30">
        <v>40.881878333300001</v>
      </c>
      <c r="L12" s="30">
        <v>71.992743333299998</v>
      </c>
      <c r="M12" s="15">
        <v>60</v>
      </c>
    </row>
    <row r="13" spans="1:14" ht="30" customHeight="1">
      <c r="A13" s="7" t="s">
        <v>13</v>
      </c>
      <c r="B13" s="30" t="s">
        <v>388</v>
      </c>
      <c r="C13" s="30" t="s">
        <v>132</v>
      </c>
      <c r="D13" s="27">
        <v>31760.589613300384</v>
      </c>
      <c r="E13" s="28">
        <v>19963.577221150619</v>
      </c>
      <c r="F13" s="27">
        <f t="shared" si="1"/>
        <v>11797.012392149765</v>
      </c>
      <c r="G13" s="27">
        <f t="shared" si="0"/>
        <v>37.143556010085938</v>
      </c>
      <c r="H13" s="29">
        <v>22</v>
      </c>
      <c r="I13" s="29">
        <v>4</v>
      </c>
      <c r="J13" s="4" t="s">
        <v>18</v>
      </c>
      <c r="K13" s="30">
        <v>40.8861933333</v>
      </c>
      <c r="L13" s="30">
        <v>71.991990000000001</v>
      </c>
      <c r="M13" s="15">
        <v>100</v>
      </c>
    </row>
    <row r="14" spans="1:14" ht="30" customHeight="1">
      <c r="A14" s="7" t="s">
        <v>13</v>
      </c>
      <c r="B14" s="30" t="s">
        <v>388</v>
      </c>
      <c r="C14" s="30" t="s">
        <v>133</v>
      </c>
      <c r="D14" s="27">
        <v>31816.794733300383</v>
      </c>
      <c r="E14" s="28">
        <v>20012.750554483955</v>
      </c>
      <c r="F14" s="27">
        <f t="shared" si="1"/>
        <v>11804.044178816428</v>
      </c>
      <c r="G14" s="27">
        <f t="shared" si="0"/>
        <v>37.100041904793038</v>
      </c>
      <c r="H14" s="29">
        <v>105</v>
      </c>
      <c r="I14" s="29">
        <v>4</v>
      </c>
      <c r="J14" s="4" t="s">
        <v>18</v>
      </c>
      <c r="K14" s="30">
        <v>40.871985000000002</v>
      </c>
      <c r="L14" s="30">
        <v>72.001351666700003</v>
      </c>
      <c r="M14" s="15">
        <v>100</v>
      </c>
    </row>
    <row r="15" spans="1:14" ht="30" customHeight="1">
      <c r="A15" s="7" t="s">
        <v>13</v>
      </c>
      <c r="B15" s="30" t="s">
        <v>384</v>
      </c>
      <c r="C15" s="30" t="s">
        <v>109</v>
      </c>
      <c r="D15" s="27">
        <v>29919.475693300381</v>
      </c>
      <c r="E15" s="28">
        <v>18352.803887817288</v>
      </c>
      <c r="F15" s="27">
        <f t="shared" si="1"/>
        <v>11566.671805483093</v>
      </c>
      <c r="G15" s="27">
        <f t="shared" si="0"/>
        <v>38.65933990304891</v>
      </c>
      <c r="H15" s="29">
        <v>67</v>
      </c>
      <c r="I15" s="29">
        <v>3</v>
      </c>
      <c r="J15" s="4" t="s">
        <v>14</v>
      </c>
      <c r="K15" s="30">
        <v>40.863475000000001</v>
      </c>
      <c r="L15" s="30">
        <v>71.947638333300006</v>
      </c>
      <c r="M15" s="15">
        <v>400</v>
      </c>
    </row>
    <row r="16" spans="1:14" ht="30" customHeight="1">
      <c r="A16" s="7" t="s">
        <v>13</v>
      </c>
      <c r="B16" s="30" t="s">
        <v>386</v>
      </c>
      <c r="C16" s="30" t="s">
        <v>134</v>
      </c>
      <c r="D16" s="27">
        <v>30487.306663300376</v>
      </c>
      <c r="E16" s="28">
        <v>18849.593887817286</v>
      </c>
      <c r="F16" s="27">
        <f t="shared" si="1"/>
        <v>11637.712775483091</v>
      </c>
      <c r="G16" s="27">
        <f t="shared" si="0"/>
        <v>38.172321694432227</v>
      </c>
      <c r="H16" s="29">
        <v>41</v>
      </c>
      <c r="I16" s="29">
        <v>3</v>
      </c>
      <c r="J16" s="4" t="s">
        <v>17</v>
      </c>
      <c r="K16" s="30">
        <v>40.867853333299998</v>
      </c>
      <c r="L16" s="30">
        <v>71.9555883333</v>
      </c>
      <c r="M16" s="15">
        <v>160</v>
      </c>
    </row>
    <row r="17" spans="1:13" ht="30" customHeight="1">
      <c r="A17" s="7" t="s">
        <v>13</v>
      </c>
      <c r="B17" s="30" t="s">
        <v>386</v>
      </c>
      <c r="C17" s="30" t="s">
        <v>135</v>
      </c>
      <c r="D17" s="27">
        <v>33707.312923300378</v>
      </c>
      <c r="E17" s="28">
        <v>21666.747221150617</v>
      </c>
      <c r="F17" s="27">
        <f t="shared" si="1"/>
        <v>12040.565702149761</v>
      </c>
      <c r="G17" s="27">
        <f t="shared" si="0"/>
        <v>35.720930142214478</v>
      </c>
      <c r="H17" s="29">
        <v>77</v>
      </c>
      <c r="I17" s="29">
        <v>4</v>
      </c>
      <c r="J17" s="4" t="s">
        <v>19</v>
      </c>
      <c r="K17" s="30">
        <v>40.871698333300003</v>
      </c>
      <c r="L17" s="30">
        <v>71.957906666699998</v>
      </c>
      <c r="M17" s="15">
        <v>160</v>
      </c>
    </row>
    <row r="18" spans="1:13" ht="30" customHeight="1">
      <c r="A18" s="7" t="s">
        <v>13</v>
      </c>
      <c r="B18" s="30" t="s">
        <v>388</v>
      </c>
      <c r="C18" s="30" t="s">
        <v>136</v>
      </c>
      <c r="D18" s="27">
        <v>30472.340983300383</v>
      </c>
      <c r="E18" s="28">
        <v>18836.500554483951</v>
      </c>
      <c r="F18" s="27">
        <f t="shared" si="1"/>
        <v>11635.840428816431</v>
      </c>
      <c r="G18" s="27">
        <f t="shared" si="0"/>
        <v>38.184924601602376</v>
      </c>
      <c r="H18" s="29">
        <v>80</v>
      </c>
      <c r="I18" s="29">
        <v>6</v>
      </c>
      <c r="J18" s="4" t="s">
        <v>16</v>
      </c>
      <c r="K18" s="30">
        <v>40.881491666700001</v>
      </c>
      <c r="L18" s="30">
        <v>72.005658333300005</v>
      </c>
      <c r="M18" s="15">
        <v>400</v>
      </c>
    </row>
    <row r="19" spans="1:13" ht="30" customHeight="1">
      <c r="A19" s="7" t="s">
        <v>13</v>
      </c>
      <c r="B19" s="30" t="s">
        <v>388</v>
      </c>
      <c r="C19" s="30" t="s">
        <v>137</v>
      </c>
      <c r="D19" s="27">
        <v>28119.551683300378</v>
      </c>
      <c r="E19" s="28">
        <v>16778.067221150617</v>
      </c>
      <c r="F19" s="27">
        <f t="shared" si="1"/>
        <v>11341.484462149761</v>
      </c>
      <c r="G19" s="27">
        <f t="shared" si="0"/>
        <v>40.33309133048958</v>
      </c>
      <c r="H19" s="29">
        <v>102</v>
      </c>
      <c r="I19" s="29">
        <v>3</v>
      </c>
      <c r="J19" s="4" t="s">
        <v>16</v>
      </c>
      <c r="K19" s="30">
        <v>40.882366666700001</v>
      </c>
      <c r="L19" s="30">
        <v>72.011693333300002</v>
      </c>
      <c r="M19" s="15">
        <v>63</v>
      </c>
    </row>
    <row r="20" spans="1:13" ht="30" customHeight="1">
      <c r="A20" s="7" t="s">
        <v>13</v>
      </c>
      <c r="B20" s="30" t="s">
        <v>387</v>
      </c>
      <c r="C20" s="30" t="s">
        <v>138</v>
      </c>
      <c r="D20" s="27">
        <v>38529.210823300382</v>
      </c>
      <c r="E20" s="28">
        <v>25885.380554483956</v>
      </c>
      <c r="F20" s="27">
        <f t="shared" si="1"/>
        <v>12643.830268816426</v>
      </c>
      <c r="G20" s="27">
        <f t="shared" si="0"/>
        <v>32.816219171481507</v>
      </c>
      <c r="H20" s="29">
        <v>4</v>
      </c>
      <c r="I20" s="29">
        <v>4</v>
      </c>
      <c r="J20" s="4" t="s">
        <v>16</v>
      </c>
      <c r="K20" s="30">
        <v>40.867094999999999</v>
      </c>
      <c r="L20" s="30">
        <v>71.968564999999998</v>
      </c>
      <c r="M20" s="15">
        <v>160</v>
      </c>
    </row>
    <row r="21" spans="1:13" ht="30" customHeight="1">
      <c r="A21" s="7" t="s">
        <v>13</v>
      </c>
      <c r="B21" s="30" t="s">
        <v>388</v>
      </c>
      <c r="C21" s="30" t="s">
        <v>139</v>
      </c>
      <c r="D21" s="27">
        <v>24070.074133300383</v>
      </c>
      <c r="E21" s="28">
        <v>13235.217221150619</v>
      </c>
      <c r="F21" s="27">
        <f t="shared" si="1"/>
        <v>10834.856912149764</v>
      </c>
      <c r="G21" s="27">
        <f t="shared" si="0"/>
        <v>45.013807818564189</v>
      </c>
      <c r="H21" s="29">
        <v>34</v>
      </c>
      <c r="I21" s="29">
        <v>4</v>
      </c>
      <c r="J21" s="4" t="s">
        <v>16</v>
      </c>
      <c r="K21" s="30">
        <v>40.865857601199998</v>
      </c>
      <c r="L21" s="30">
        <v>71.963380873199995</v>
      </c>
      <c r="M21" s="15">
        <v>160</v>
      </c>
    </row>
    <row r="22" spans="1:13" ht="30" customHeight="1">
      <c r="A22" s="7" t="s">
        <v>13</v>
      </c>
      <c r="B22" s="30" t="s">
        <v>387</v>
      </c>
      <c r="C22" s="30" t="s">
        <v>140</v>
      </c>
      <c r="D22" s="27">
        <v>26038.77352330038</v>
      </c>
      <c r="E22" s="28">
        <v>14957.613887817286</v>
      </c>
      <c r="F22" s="27">
        <f t="shared" si="1"/>
        <v>11081.159635483094</v>
      </c>
      <c r="G22" s="27">
        <f t="shared" si="0"/>
        <v>42.556380873958197</v>
      </c>
      <c r="H22" s="29">
        <v>33</v>
      </c>
      <c r="I22" s="29">
        <v>3</v>
      </c>
      <c r="J22" s="4" t="s">
        <v>16</v>
      </c>
      <c r="K22" s="30">
        <v>40.868364999999997</v>
      </c>
      <c r="L22" s="30">
        <v>71.977401666700004</v>
      </c>
      <c r="M22" s="15">
        <v>160</v>
      </c>
    </row>
    <row r="23" spans="1:13" ht="30" customHeight="1">
      <c r="A23" s="7" t="s">
        <v>13</v>
      </c>
      <c r="B23" s="30" t="s">
        <v>385</v>
      </c>
      <c r="C23" s="30" t="s">
        <v>141</v>
      </c>
      <c r="D23" s="27">
        <v>34552.066123300385</v>
      </c>
      <c r="E23" s="28">
        <v>22405.81388781729</v>
      </c>
      <c r="F23" s="27">
        <f t="shared" si="1"/>
        <v>12146.252235483094</v>
      </c>
      <c r="G23" s="27">
        <f t="shared" si="0"/>
        <v>35.153475893854576</v>
      </c>
      <c r="H23" s="29">
        <v>143</v>
      </c>
      <c r="I23" s="29">
        <v>6</v>
      </c>
      <c r="J23" s="3" t="s">
        <v>16</v>
      </c>
      <c r="K23" s="30">
        <v>40.866354999999999</v>
      </c>
      <c r="L23" s="30">
        <v>71.987798333300006</v>
      </c>
      <c r="M23" s="15">
        <v>63</v>
      </c>
    </row>
    <row r="24" spans="1:13" ht="30" customHeight="1">
      <c r="A24" s="7" t="s">
        <v>13</v>
      </c>
      <c r="B24" s="30" t="s">
        <v>385</v>
      </c>
      <c r="C24" s="30" t="s">
        <v>142</v>
      </c>
      <c r="D24" s="27">
        <v>39949.895053300381</v>
      </c>
      <c r="E24" s="28">
        <v>27128.323887817285</v>
      </c>
      <c r="F24" s="27">
        <f t="shared" si="1"/>
        <v>12821.571165483096</v>
      </c>
      <c r="G24" s="27">
        <f t="shared" si="0"/>
        <v>32.094129780258001</v>
      </c>
      <c r="H24" s="29">
        <v>198</v>
      </c>
      <c r="I24" s="29">
        <v>3</v>
      </c>
      <c r="J24" s="3" t="s">
        <v>16</v>
      </c>
      <c r="K24" s="30">
        <v>40.8589916667</v>
      </c>
      <c r="L24" s="30">
        <v>72.007035000000002</v>
      </c>
      <c r="M24" s="15">
        <v>63</v>
      </c>
    </row>
    <row r="25" spans="1:13" ht="30" customHeight="1">
      <c r="A25" s="7" t="s">
        <v>13</v>
      </c>
      <c r="B25" s="30" t="s">
        <v>387</v>
      </c>
      <c r="C25" s="30" t="s">
        <v>143</v>
      </c>
      <c r="D25" s="27">
        <v>42117.86887330038</v>
      </c>
      <c r="E25" s="28">
        <v>29025.06388781729</v>
      </c>
      <c r="F25" s="27">
        <f t="shared" si="1"/>
        <v>13092.80498548309</v>
      </c>
      <c r="G25" s="27">
        <f t="shared" si="0"/>
        <v>31.086105103914601</v>
      </c>
      <c r="H25" s="29">
        <v>45</v>
      </c>
      <c r="I25" s="29">
        <v>3</v>
      </c>
      <c r="J25" s="3" t="s">
        <v>14</v>
      </c>
      <c r="K25" s="30">
        <v>40.8780866667</v>
      </c>
      <c r="L25" s="30">
        <v>71.986896666700005</v>
      </c>
      <c r="M25" s="15">
        <v>250</v>
      </c>
    </row>
    <row r="26" spans="1:13" ht="30" customHeight="1">
      <c r="A26" s="7" t="s">
        <v>13</v>
      </c>
      <c r="B26" s="30" t="s">
        <v>388</v>
      </c>
      <c r="C26" s="30" t="s">
        <v>144</v>
      </c>
      <c r="D26" s="27">
        <v>30173.591263300383</v>
      </c>
      <c r="E26" s="28">
        <v>18575.127221150622</v>
      </c>
      <c r="F26" s="27">
        <f t="shared" si="1"/>
        <v>11598.464042149761</v>
      </c>
      <c r="G26" s="27">
        <f t="shared" si="0"/>
        <v>38.439123606266826</v>
      </c>
      <c r="H26" s="29">
        <v>174</v>
      </c>
      <c r="I26" s="29">
        <v>4</v>
      </c>
      <c r="J26" s="3" t="s">
        <v>14</v>
      </c>
      <c r="K26" s="30">
        <v>40.888159999999999</v>
      </c>
      <c r="L26" s="30">
        <v>72.008324999999999</v>
      </c>
      <c r="M26" s="15">
        <v>100</v>
      </c>
    </row>
    <row r="27" spans="1:13" ht="30" customHeight="1">
      <c r="A27" s="7" t="s">
        <v>13</v>
      </c>
      <c r="B27" s="30" t="s">
        <v>388</v>
      </c>
      <c r="C27" s="30" t="s">
        <v>145</v>
      </c>
      <c r="D27" s="27">
        <v>31406.640613300377</v>
      </c>
      <c r="E27" s="28">
        <v>19653.910554483955</v>
      </c>
      <c r="F27" s="27">
        <f t="shared" si="1"/>
        <v>11752.730058816422</v>
      </c>
      <c r="G27" s="27">
        <f t="shared" si="0"/>
        <v>37.421162624566939</v>
      </c>
      <c r="H27" s="29">
        <v>92</v>
      </c>
      <c r="I27" s="29">
        <v>12</v>
      </c>
      <c r="J27" s="17" t="s">
        <v>14</v>
      </c>
      <c r="K27" s="30">
        <v>40.879911666700004</v>
      </c>
      <c r="L27" s="30">
        <v>72.022811666699994</v>
      </c>
      <c r="M27" s="15">
        <v>100</v>
      </c>
    </row>
    <row r="28" spans="1:13" ht="30" customHeight="1">
      <c r="A28" s="7" t="s">
        <v>13</v>
      </c>
      <c r="B28" s="30" t="s">
        <v>389</v>
      </c>
      <c r="C28" s="30" t="s">
        <v>146</v>
      </c>
      <c r="D28" s="27">
        <v>31503.936583300383</v>
      </c>
      <c r="E28" s="28">
        <v>19739.033887817288</v>
      </c>
      <c r="F28" s="27">
        <f t="shared" si="1"/>
        <v>11764.902695483095</v>
      </c>
      <c r="G28" s="27">
        <f t="shared" si="0"/>
        <v>37.34423050394102</v>
      </c>
      <c r="H28" s="29">
        <v>130</v>
      </c>
      <c r="I28" s="29">
        <v>4</v>
      </c>
      <c r="J28" s="3" t="s">
        <v>14</v>
      </c>
      <c r="K28" s="30">
        <v>40.880920000000003</v>
      </c>
      <c r="L28" s="30">
        <v>72.040239999999997</v>
      </c>
      <c r="M28" s="20">
        <v>100</v>
      </c>
    </row>
    <row r="29" spans="1:13" ht="30" customHeight="1">
      <c r="A29" s="7" t="s">
        <v>13</v>
      </c>
      <c r="B29" s="30" t="s">
        <v>389</v>
      </c>
      <c r="C29" s="30" t="s">
        <v>147</v>
      </c>
      <c r="D29" s="27">
        <v>29274.202663300384</v>
      </c>
      <c r="E29" s="28">
        <v>17788.260554483953</v>
      </c>
      <c r="F29" s="27">
        <f t="shared" si="1"/>
        <v>11485.942108816431</v>
      </c>
      <c r="G29" s="27">
        <f t="shared" si="0"/>
        <v>39.235712893440429</v>
      </c>
      <c r="H29" s="29">
        <v>123</v>
      </c>
      <c r="I29" s="29">
        <v>3</v>
      </c>
      <c r="J29" s="3"/>
      <c r="K29" s="30">
        <v>40.881768333300002</v>
      </c>
      <c r="L29" s="30">
        <v>72.055153333299998</v>
      </c>
      <c r="M29" s="20">
        <v>63</v>
      </c>
    </row>
    <row r="30" spans="1:13" ht="30" customHeight="1">
      <c r="A30" s="7" t="s">
        <v>13</v>
      </c>
      <c r="B30" s="30" t="s">
        <v>389</v>
      </c>
      <c r="C30" s="30" t="s">
        <v>148</v>
      </c>
      <c r="D30" s="27">
        <v>32662.077523300381</v>
      </c>
      <c r="E30" s="28">
        <v>20752.28055448395</v>
      </c>
      <c r="F30" s="27">
        <f t="shared" si="1"/>
        <v>11909.79696881643</v>
      </c>
      <c r="G30" s="27">
        <f t="shared" si="0"/>
        <v>36.463684713013905</v>
      </c>
      <c r="H30" s="29">
        <v>160</v>
      </c>
      <c r="I30" s="29">
        <v>3</v>
      </c>
      <c r="J30" s="3" t="s">
        <v>20</v>
      </c>
      <c r="K30" s="30">
        <v>40.882671666699999</v>
      </c>
      <c r="L30" s="30">
        <v>72.072426666699997</v>
      </c>
      <c r="M30" s="21">
        <v>100</v>
      </c>
    </row>
    <row r="31" spans="1:13" ht="30" customHeight="1">
      <c r="A31" s="7" t="s">
        <v>13</v>
      </c>
      <c r="B31" s="30" t="s">
        <v>389</v>
      </c>
      <c r="C31" s="30" t="s">
        <v>149</v>
      </c>
      <c r="D31" s="27">
        <v>24345.986713300383</v>
      </c>
      <c r="E31" s="28">
        <v>13476.610554483952</v>
      </c>
      <c r="F31" s="27">
        <f t="shared" si="1"/>
        <v>10869.376158816431</v>
      </c>
      <c r="G31" s="27">
        <f t="shared" si="0"/>
        <v>44.645453424479257</v>
      </c>
      <c r="H31" s="29">
        <v>16</v>
      </c>
      <c r="I31" s="29">
        <v>3</v>
      </c>
      <c r="J31" s="3" t="s">
        <v>21</v>
      </c>
      <c r="K31" s="30">
        <v>40.877465000000001</v>
      </c>
      <c r="L31" s="30">
        <v>72.08811</v>
      </c>
      <c r="M31" s="15">
        <v>100</v>
      </c>
    </row>
    <row r="32" spans="1:13" ht="30" customHeight="1">
      <c r="A32" s="7" t="s">
        <v>13</v>
      </c>
      <c r="B32" s="30" t="s">
        <v>389</v>
      </c>
      <c r="C32" s="30" t="s">
        <v>150</v>
      </c>
      <c r="D32" s="27">
        <v>30381.842053300381</v>
      </c>
      <c r="E32" s="28">
        <v>18757.323887817285</v>
      </c>
      <c r="F32" s="27">
        <f t="shared" si="1"/>
        <v>11624.518165483096</v>
      </c>
      <c r="G32" s="27">
        <f t="shared" si="0"/>
        <v>38.261400164906469</v>
      </c>
      <c r="H32" s="29">
        <v>81</v>
      </c>
      <c r="I32" s="29">
        <v>4</v>
      </c>
      <c r="J32" s="3" t="s">
        <v>15</v>
      </c>
      <c r="K32" s="30">
        <v>40.879755000000003</v>
      </c>
      <c r="L32" s="30">
        <v>72.084291666699997</v>
      </c>
      <c r="M32" s="15">
        <v>100</v>
      </c>
    </row>
    <row r="33" spans="1:13" ht="30" customHeight="1">
      <c r="A33" s="7" t="s">
        <v>13</v>
      </c>
      <c r="B33" s="30" t="s">
        <v>390</v>
      </c>
      <c r="C33" s="30" t="s">
        <v>151</v>
      </c>
      <c r="D33" s="27">
        <v>30998.349583300384</v>
      </c>
      <c r="E33" s="28">
        <v>19296.700554483956</v>
      </c>
      <c r="F33" s="27">
        <f t="shared" si="1"/>
        <v>11701.649028816428</v>
      </c>
      <c r="G33" s="27">
        <f t="shared" si="0"/>
        <v>37.749264674143845</v>
      </c>
      <c r="H33" s="29">
        <v>107</v>
      </c>
      <c r="I33" s="29">
        <v>6</v>
      </c>
      <c r="J33" s="3" t="s">
        <v>22</v>
      </c>
      <c r="K33" s="30">
        <v>40.874026666699997</v>
      </c>
      <c r="L33" s="30">
        <v>72.094549999999998</v>
      </c>
      <c r="M33" s="15">
        <v>160</v>
      </c>
    </row>
    <row r="34" spans="1:13" ht="30" customHeight="1">
      <c r="A34" s="7" t="s">
        <v>13</v>
      </c>
      <c r="B34" s="30" t="s">
        <v>390</v>
      </c>
      <c r="C34" s="30" t="s">
        <v>152</v>
      </c>
      <c r="D34" s="27">
        <v>26360.733763300381</v>
      </c>
      <c r="E34" s="28">
        <v>15239.293887817286</v>
      </c>
      <c r="F34" s="27">
        <f t="shared" si="1"/>
        <v>11121.439875483095</v>
      </c>
      <c r="G34" s="27">
        <f t="shared" si="0"/>
        <v>42.189416938637912</v>
      </c>
      <c r="H34" s="29">
        <v>98</v>
      </c>
      <c r="I34" s="29">
        <v>3</v>
      </c>
      <c r="J34" s="3" t="s">
        <v>23</v>
      </c>
      <c r="K34" s="30">
        <v>40.863348333300003</v>
      </c>
      <c r="L34" s="30">
        <v>72.082953333299997</v>
      </c>
      <c r="M34" s="15">
        <v>160</v>
      </c>
    </row>
    <row r="35" spans="1:13" ht="30" customHeight="1">
      <c r="A35" s="7" t="s">
        <v>13</v>
      </c>
      <c r="B35" s="30" t="s">
        <v>391</v>
      </c>
      <c r="C35" s="30" t="s">
        <v>153</v>
      </c>
      <c r="D35" s="27">
        <v>25079.061193300382</v>
      </c>
      <c r="E35" s="28">
        <v>14117.970554483953</v>
      </c>
      <c r="F35" s="27">
        <f t="shared" si="1"/>
        <v>10961.090638816429</v>
      </c>
      <c r="G35" s="27">
        <f t="shared" si="0"/>
        <v>43.706144158795603</v>
      </c>
      <c r="H35" s="29">
        <v>84</v>
      </c>
      <c r="I35" s="29">
        <v>5</v>
      </c>
      <c r="J35" s="3" t="s">
        <v>23</v>
      </c>
      <c r="K35" s="30">
        <v>40.848415000000003</v>
      </c>
      <c r="L35" s="30">
        <v>72.071595000000002</v>
      </c>
      <c r="M35" s="15">
        <v>63</v>
      </c>
    </row>
    <row r="36" spans="1:13" ht="30" customHeight="1">
      <c r="A36" s="7" t="s">
        <v>13</v>
      </c>
      <c r="B36" s="30" t="s">
        <v>390</v>
      </c>
      <c r="C36" s="30" t="s">
        <v>154</v>
      </c>
      <c r="D36" s="27">
        <v>37545.510733300383</v>
      </c>
      <c r="E36" s="28">
        <v>25024.750554483951</v>
      </c>
      <c r="F36" s="27">
        <f t="shared" si="1"/>
        <v>12520.760178816432</v>
      </c>
      <c r="G36" s="27">
        <f t="shared" si="0"/>
        <v>33.348221756140198</v>
      </c>
      <c r="H36" s="29">
        <v>212</v>
      </c>
      <c r="I36" s="29">
        <v>8</v>
      </c>
      <c r="J36" s="3" t="s">
        <v>18</v>
      </c>
      <c r="K36" s="30">
        <v>40.8672316667</v>
      </c>
      <c r="L36" s="30">
        <v>72.104288333300005</v>
      </c>
      <c r="M36" s="15">
        <v>100</v>
      </c>
    </row>
    <row r="37" spans="1:13" ht="30" customHeight="1">
      <c r="A37" s="7" t="s">
        <v>13</v>
      </c>
      <c r="B37" s="30" t="s">
        <v>390</v>
      </c>
      <c r="C37" s="30" t="s">
        <v>155</v>
      </c>
      <c r="D37" s="27">
        <v>32333.114503300385</v>
      </c>
      <c r="E37" s="28">
        <v>20464.473887817287</v>
      </c>
      <c r="F37" s="27">
        <f t="shared" si="1"/>
        <v>11868.640615483098</v>
      </c>
      <c r="G37" s="27">
        <f t="shared" si="0"/>
        <v>36.707384357518713</v>
      </c>
      <c r="H37" s="29">
        <v>95</v>
      </c>
      <c r="I37" s="29">
        <v>4</v>
      </c>
      <c r="J37" s="3" t="s">
        <v>14</v>
      </c>
      <c r="K37" s="30">
        <v>40.875253333300002</v>
      </c>
      <c r="L37" s="30">
        <v>72.108715000000004</v>
      </c>
      <c r="M37" s="15">
        <v>100</v>
      </c>
    </row>
    <row r="38" spans="1:13" ht="30" customHeight="1">
      <c r="A38" s="7" t="s">
        <v>13</v>
      </c>
      <c r="B38" s="30" t="s">
        <v>390</v>
      </c>
      <c r="C38" s="30" t="s">
        <v>156</v>
      </c>
      <c r="D38" s="27">
        <v>24991.30927330038</v>
      </c>
      <c r="E38" s="28">
        <v>14041.197221150618</v>
      </c>
      <c r="F38" s="27">
        <f t="shared" si="1"/>
        <v>10950.112052149761</v>
      </c>
      <c r="G38" s="27">
        <f t="shared" si="0"/>
        <v>43.8156798125354</v>
      </c>
      <c r="H38" s="29">
        <v>103</v>
      </c>
      <c r="I38" s="29">
        <v>3</v>
      </c>
      <c r="J38" s="3" t="s">
        <v>23</v>
      </c>
      <c r="K38" s="30">
        <v>40.867996666700002</v>
      </c>
      <c r="L38" s="30">
        <v>72.122466666700006</v>
      </c>
      <c r="M38" s="15">
        <v>40</v>
      </c>
    </row>
    <row r="39" spans="1:13" ht="30" customHeight="1">
      <c r="A39" s="7" t="s">
        <v>13</v>
      </c>
      <c r="B39" s="30" t="s">
        <v>390</v>
      </c>
      <c r="C39" s="30" t="s">
        <v>157</v>
      </c>
      <c r="D39" s="27">
        <v>26470.873243300382</v>
      </c>
      <c r="E39" s="28">
        <v>15335.653887817287</v>
      </c>
      <c r="F39" s="27">
        <f t="shared" si="1"/>
        <v>11135.219355483096</v>
      </c>
      <c r="G39" s="27">
        <f t="shared" si="0"/>
        <v>42.065931309241378</v>
      </c>
      <c r="H39" s="29">
        <v>135</v>
      </c>
      <c r="I39" s="29">
        <v>4</v>
      </c>
      <c r="J39" s="3" t="s">
        <v>24</v>
      </c>
      <c r="K39" s="30">
        <v>40.856453333300003</v>
      </c>
      <c r="L39" s="30">
        <v>72.136276666699999</v>
      </c>
      <c r="M39" s="15">
        <v>100</v>
      </c>
    </row>
    <row r="40" spans="1:13" ht="30" customHeight="1">
      <c r="A40" s="7" t="s">
        <v>13</v>
      </c>
      <c r="B40" s="30" t="s">
        <v>390</v>
      </c>
      <c r="C40" s="30" t="s">
        <v>158</v>
      </c>
      <c r="D40" s="27">
        <v>31492.662793300384</v>
      </c>
      <c r="E40" s="28">
        <v>19729.170554483953</v>
      </c>
      <c r="F40" s="27">
        <f t="shared" si="1"/>
        <v>11763.49223881643</v>
      </c>
      <c r="G40" s="27">
        <f t="shared" si="0"/>
        <v>37.353120363384917</v>
      </c>
      <c r="H40" s="29">
        <v>167</v>
      </c>
      <c r="I40" s="29">
        <v>4</v>
      </c>
      <c r="J40" s="3" t="s">
        <v>24</v>
      </c>
      <c r="K40" s="30">
        <v>40.848101666700003</v>
      </c>
      <c r="L40" s="30">
        <v>72.161588333300003</v>
      </c>
      <c r="M40" s="15">
        <v>100</v>
      </c>
    </row>
    <row r="41" spans="1:13" ht="30" customHeight="1">
      <c r="A41" s="7" t="s">
        <v>13</v>
      </c>
      <c r="B41" s="30" t="s">
        <v>392</v>
      </c>
      <c r="C41" s="30" t="s">
        <v>159</v>
      </c>
      <c r="D41" s="27">
        <v>24959.800573300381</v>
      </c>
      <c r="E41" s="28">
        <v>14013.630554483952</v>
      </c>
      <c r="F41" s="27">
        <f t="shared" si="1"/>
        <v>10946.170018816429</v>
      </c>
      <c r="G41" s="27">
        <f t="shared" si="0"/>
        <v>43.855198228328796</v>
      </c>
      <c r="H41" s="29">
        <v>83</v>
      </c>
      <c r="I41" s="29">
        <v>5</v>
      </c>
      <c r="J41" s="3" t="s">
        <v>21</v>
      </c>
      <c r="K41" s="30">
        <v>40.823746666700004</v>
      </c>
      <c r="L41" s="30">
        <v>72.162056666699996</v>
      </c>
      <c r="M41" s="15">
        <v>160</v>
      </c>
    </row>
    <row r="42" spans="1:13" ht="30" customHeight="1">
      <c r="A42" s="7" t="s">
        <v>13</v>
      </c>
      <c r="B42" s="30" t="s">
        <v>391</v>
      </c>
      <c r="C42" s="30" t="s">
        <v>160</v>
      </c>
      <c r="D42" s="27">
        <v>29002.488703300383</v>
      </c>
      <c r="E42" s="28">
        <v>17550.540554483952</v>
      </c>
      <c r="F42" s="27">
        <f t="shared" si="1"/>
        <v>11451.948148816431</v>
      </c>
      <c r="G42" s="27">
        <f t="shared" si="0"/>
        <v>39.486087783608852</v>
      </c>
      <c r="H42" s="29">
        <v>95</v>
      </c>
      <c r="I42" s="29">
        <v>4</v>
      </c>
      <c r="J42" s="3" t="s">
        <v>19</v>
      </c>
      <c r="K42" s="30">
        <v>40.8202666667</v>
      </c>
      <c r="L42" s="30">
        <v>72.1321616667</v>
      </c>
      <c r="M42" s="20">
        <v>160</v>
      </c>
    </row>
    <row r="43" spans="1:13" ht="30" customHeight="1">
      <c r="A43" s="7" t="s">
        <v>13</v>
      </c>
      <c r="B43" s="30" t="s">
        <v>391</v>
      </c>
      <c r="C43" s="30" t="s">
        <v>161</v>
      </c>
      <c r="D43" s="27">
        <v>31163.387353300379</v>
      </c>
      <c r="E43" s="28">
        <v>19441.090554483952</v>
      </c>
      <c r="F43" s="27">
        <f t="shared" si="1"/>
        <v>11722.296798816427</v>
      </c>
      <c r="G43" s="27">
        <f t="shared" si="0"/>
        <v>37.615605344567818</v>
      </c>
      <c r="H43" s="29">
        <v>127</v>
      </c>
      <c r="I43" s="29">
        <v>4</v>
      </c>
      <c r="J43" s="3" t="s">
        <v>21</v>
      </c>
      <c r="K43" s="30">
        <v>40.829568333300003</v>
      </c>
      <c r="L43" s="30">
        <v>72.120596666699996</v>
      </c>
      <c r="M43" s="20">
        <v>160</v>
      </c>
    </row>
    <row r="44" spans="1:13" ht="30" customHeight="1">
      <c r="A44" s="7" t="s">
        <v>13</v>
      </c>
      <c r="B44" s="30" t="s">
        <v>391</v>
      </c>
      <c r="C44" s="30" t="s">
        <v>162</v>
      </c>
      <c r="D44" s="27">
        <v>32759.567803300379</v>
      </c>
      <c r="E44" s="28">
        <v>20837.573887817285</v>
      </c>
      <c r="F44" s="27">
        <f t="shared" si="1"/>
        <v>11921.993915483094</v>
      </c>
      <c r="G44" s="27">
        <f t="shared" si="0"/>
        <v>36.392402937263441</v>
      </c>
      <c r="H44" s="29">
        <v>162</v>
      </c>
      <c r="I44" s="29">
        <v>4</v>
      </c>
      <c r="J44" s="3" t="s">
        <v>21</v>
      </c>
      <c r="K44" s="30">
        <v>40.815874208499999</v>
      </c>
      <c r="L44" s="30">
        <v>72.111179034499997</v>
      </c>
      <c r="M44" s="20">
        <v>100</v>
      </c>
    </row>
    <row r="45" spans="1:13" ht="30" customHeight="1">
      <c r="A45" s="7" t="s">
        <v>13</v>
      </c>
      <c r="B45" s="30" t="s">
        <v>388</v>
      </c>
      <c r="C45" s="30" t="s">
        <v>163</v>
      </c>
      <c r="D45" s="27">
        <v>67637.039323300371</v>
      </c>
      <c r="E45" s="28">
        <v>51351.54722115062</v>
      </c>
      <c r="F45" s="27">
        <f t="shared" si="1"/>
        <v>16285.49210214975</v>
      </c>
      <c r="G45" s="27">
        <f t="shared" si="0"/>
        <v>24.077771979796786</v>
      </c>
      <c r="H45" s="29">
        <v>141</v>
      </c>
      <c r="I45" s="29">
        <v>3</v>
      </c>
      <c r="J45" s="3" t="s">
        <v>21</v>
      </c>
      <c r="K45" s="30">
        <v>40.875643333299998</v>
      </c>
      <c r="L45" s="30">
        <v>72.000879999999995</v>
      </c>
      <c r="M45" s="20">
        <v>160</v>
      </c>
    </row>
    <row r="46" spans="1:13" ht="30" customHeight="1">
      <c r="A46" s="7" t="s">
        <v>13</v>
      </c>
      <c r="B46" s="30" t="s">
        <v>388</v>
      </c>
      <c r="C46" s="30" t="s">
        <v>164</v>
      </c>
      <c r="D46" s="27">
        <v>27498.201643300381</v>
      </c>
      <c r="E46" s="28">
        <v>16234.453887817286</v>
      </c>
      <c r="F46" s="27">
        <f t="shared" si="1"/>
        <v>11263.747755483095</v>
      </c>
      <c r="G46" s="27">
        <f t="shared" si="0"/>
        <v>40.961761432960387</v>
      </c>
      <c r="H46" s="29">
        <v>80</v>
      </c>
      <c r="I46" s="29">
        <v>5</v>
      </c>
      <c r="J46" s="3" t="s">
        <v>20</v>
      </c>
      <c r="K46" s="30">
        <v>40.88138</v>
      </c>
      <c r="L46" s="30">
        <v>72.003778333300005</v>
      </c>
      <c r="M46" s="20">
        <v>63</v>
      </c>
    </row>
    <row r="47" spans="1:13" ht="30" customHeight="1">
      <c r="A47" s="7" t="s">
        <v>13</v>
      </c>
      <c r="B47" s="30" t="s">
        <v>389</v>
      </c>
      <c r="C47" s="30" t="s">
        <v>165</v>
      </c>
      <c r="D47" s="27">
        <v>30346.283323300377</v>
      </c>
      <c r="E47" s="28">
        <v>18726.213887817285</v>
      </c>
      <c r="F47" s="27">
        <f t="shared" si="1"/>
        <v>11620.069435483092</v>
      </c>
      <c r="G47" s="27">
        <f t="shared" si="0"/>
        <v>38.291573672091204</v>
      </c>
      <c r="H47" s="29">
        <v>114</v>
      </c>
      <c r="I47" s="29">
        <v>3</v>
      </c>
      <c r="J47" s="3" t="s">
        <v>20</v>
      </c>
      <c r="K47" s="30">
        <v>40.871155000000002</v>
      </c>
      <c r="L47" s="30">
        <v>72.043671666700007</v>
      </c>
      <c r="M47" s="20">
        <v>400</v>
      </c>
    </row>
    <row r="48" spans="1:13" ht="30" customHeight="1">
      <c r="A48" s="7" t="s">
        <v>13</v>
      </c>
      <c r="B48" s="30" t="s">
        <v>392</v>
      </c>
      <c r="C48" s="30" t="s">
        <v>166</v>
      </c>
      <c r="D48" s="27">
        <v>24939.87808330038</v>
      </c>
      <c r="E48" s="28">
        <v>13996.200554483952</v>
      </c>
      <c r="F48" s="27">
        <f t="shared" si="1"/>
        <v>10943.677528816428</v>
      </c>
      <c r="G48" s="27">
        <f t="shared" si="0"/>
        <v>43.880236672625365</v>
      </c>
      <c r="H48" s="29">
        <v>69</v>
      </c>
      <c r="I48" s="29">
        <v>3</v>
      </c>
      <c r="J48" s="3" t="s">
        <v>20</v>
      </c>
      <c r="K48" s="30">
        <v>40.820733333200003</v>
      </c>
      <c r="L48" s="30">
        <v>72.163296666700006</v>
      </c>
      <c r="M48" s="20">
        <v>160</v>
      </c>
    </row>
    <row r="49" spans="1:13" ht="30" customHeight="1">
      <c r="A49" s="7" t="s">
        <v>13</v>
      </c>
      <c r="B49" s="30" t="s">
        <v>392</v>
      </c>
      <c r="C49" s="30" t="s">
        <v>167</v>
      </c>
      <c r="D49" s="27">
        <v>28765.929613300381</v>
      </c>
      <c r="E49" s="28">
        <v>17343.577221150619</v>
      </c>
      <c r="F49" s="27">
        <f t="shared" si="1"/>
        <v>11422.352392149762</v>
      </c>
      <c r="G49" s="27">
        <f t="shared" si="0"/>
        <v>39.707920257402201</v>
      </c>
      <c r="H49" s="29">
        <v>94</v>
      </c>
      <c r="I49" s="29">
        <v>4</v>
      </c>
      <c r="J49" s="3" t="s">
        <v>25</v>
      </c>
      <c r="K49" s="30">
        <v>40.834948405699997</v>
      </c>
      <c r="L49" s="30">
        <v>72.194619056400001</v>
      </c>
      <c r="M49" s="20">
        <v>250</v>
      </c>
    </row>
    <row r="50" spans="1:13" ht="30" customHeight="1">
      <c r="A50" s="7" t="s">
        <v>13</v>
      </c>
      <c r="B50" s="30" t="s">
        <v>386</v>
      </c>
      <c r="C50" s="30" t="s">
        <v>168</v>
      </c>
      <c r="D50" s="27">
        <v>34523.919748300381</v>
      </c>
      <c r="E50" s="28">
        <v>22381.18888781729</v>
      </c>
      <c r="F50" s="27">
        <f t="shared" si="1"/>
        <v>12142.730860483091</v>
      </c>
      <c r="G50" s="27">
        <f t="shared" si="0"/>
        <v>35.171935715905718</v>
      </c>
      <c r="H50" s="29">
        <v>155</v>
      </c>
      <c r="I50" s="29">
        <v>3</v>
      </c>
      <c r="J50" s="3" t="s">
        <v>25</v>
      </c>
      <c r="K50" s="30">
        <v>40.878189999999996</v>
      </c>
      <c r="L50" s="30">
        <v>71.958991666700001</v>
      </c>
      <c r="M50" s="20">
        <v>160</v>
      </c>
    </row>
    <row r="51" spans="1:13" ht="30" customHeight="1">
      <c r="A51" s="7" t="s">
        <v>13</v>
      </c>
      <c r="B51" s="30" t="s">
        <v>386</v>
      </c>
      <c r="C51" s="30" t="s">
        <v>169</v>
      </c>
      <c r="D51" s="27">
        <v>30535.533643300383</v>
      </c>
      <c r="E51" s="28">
        <v>18891.787221150618</v>
      </c>
      <c r="F51" s="27">
        <f t="shared" si="1"/>
        <v>11643.746422149765</v>
      </c>
      <c r="G51" s="27">
        <f t="shared" si="0"/>
        <v>38.131792809536989</v>
      </c>
      <c r="H51" s="29">
        <v>110</v>
      </c>
      <c r="I51" s="29">
        <v>4</v>
      </c>
      <c r="J51" s="3" t="s">
        <v>22</v>
      </c>
      <c r="K51" s="30">
        <v>40.870921666699999</v>
      </c>
      <c r="L51" s="30">
        <v>71.95438</v>
      </c>
      <c r="M51" s="20">
        <v>250</v>
      </c>
    </row>
    <row r="52" spans="1:13" ht="30" customHeight="1">
      <c r="A52" s="7" t="s">
        <v>13</v>
      </c>
      <c r="B52" s="30" t="s">
        <v>390</v>
      </c>
      <c r="C52" s="30" t="s">
        <v>170</v>
      </c>
      <c r="D52" s="27">
        <v>27159.732673300379</v>
      </c>
      <c r="E52" s="28">
        <v>15938.330554483953</v>
      </c>
      <c r="F52" s="27">
        <f t="shared" si="1"/>
        <v>11221.402118816426</v>
      </c>
      <c r="G52" s="27">
        <f t="shared" si="0"/>
        <v>41.316320207553915</v>
      </c>
      <c r="H52" s="29">
        <v>72</v>
      </c>
      <c r="I52" s="29">
        <v>3</v>
      </c>
      <c r="J52" s="3" t="s">
        <v>22</v>
      </c>
      <c r="K52" s="30">
        <v>40.872001666700001</v>
      </c>
      <c r="L52" s="30">
        <v>72.092106666700005</v>
      </c>
      <c r="M52" s="20">
        <v>160</v>
      </c>
    </row>
    <row r="53" spans="1:13" ht="30" customHeight="1">
      <c r="A53" s="7" t="s">
        <v>13</v>
      </c>
      <c r="B53" s="30" t="s">
        <v>386</v>
      </c>
      <c r="C53" s="30" t="s">
        <v>171</v>
      </c>
      <c r="D53" s="27">
        <v>29332.263253300378</v>
      </c>
      <c r="E53" s="28">
        <v>17839.057221150619</v>
      </c>
      <c r="F53" s="27">
        <f t="shared" si="1"/>
        <v>11493.206032149759</v>
      </c>
      <c r="G53" s="27">
        <f t="shared" si="0"/>
        <v>39.182813589594311</v>
      </c>
      <c r="H53" s="29">
        <v>115</v>
      </c>
      <c r="I53" s="29">
        <v>3</v>
      </c>
      <c r="J53" s="3" t="s">
        <v>22</v>
      </c>
      <c r="K53" s="30">
        <v>40.872906666699997</v>
      </c>
      <c r="L53" s="30">
        <v>71.953943333300003</v>
      </c>
      <c r="M53" s="20">
        <v>40</v>
      </c>
    </row>
    <row r="54" spans="1:13" ht="30" customHeight="1">
      <c r="A54" s="7" t="s">
        <v>13</v>
      </c>
      <c r="B54" s="30" t="s">
        <v>384</v>
      </c>
      <c r="C54" s="30" t="s">
        <v>101</v>
      </c>
      <c r="D54" s="27">
        <v>27910.35982330038</v>
      </c>
      <c r="E54" s="28">
        <v>16595.04722115062</v>
      </c>
      <c r="F54" s="27">
        <f t="shared" si="1"/>
        <v>11315.312602149759</v>
      </c>
      <c r="G54" s="27">
        <f t="shared" si="0"/>
        <v>40.541622085084725</v>
      </c>
      <c r="H54" s="29">
        <v>73</v>
      </c>
      <c r="I54" s="29">
        <v>4</v>
      </c>
      <c r="J54" s="3" t="s">
        <v>17</v>
      </c>
      <c r="K54" s="30">
        <v>40.877846666700002</v>
      </c>
      <c r="L54" s="30">
        <v>71.933464999999998</v>
      </c>
      <c r="M54" s="20">
        <v>63</v>
      </c>
    </row>
    <row r="55" spans="1:13" ht="30" customHeight="1">
      <c r="A55" s="7" t="s">
        <v>13</v>
      </c>
      <c r="B55" s="30" t="s">
        <v>386</v>
      </c>
      <c r="C55" s="30" t="s">
        <v>172</v>
      </c>
      <c r="D55" s="27">
        <v>29720.803243300383</v>
      </c>
      <c r="E55" s="28">
        <v>18178.987221150619</v>
      </c>
      <c r="F55" s="27">
        <f t="shared" si="1"/>
        <v>11541.816022149764</v>
      </c>
      <c r="G55" s="27">
        <f t="shared" si="0"/>
        <v>38.83413219914069</v>
      </c>
      <c r="H55" s="29">
        <v>103</v>
      </c>
      <c r="I55" s="29">
        <v>4</v>
      </c>
      <c r="J55" s="3" t="s">
        <v>17</v>
      </c>
      <c r="K55" s="30">
        <v>40.873988333299998</v>
      </c>
      <c r="L55" s="30">
        <v>71.962540000000004</v>
      </c>
      <c r="M55" s="20">
        <v>100</v>
      </c>
    </row>
    <row r="56" spans="1:13" ht="30" customHeight="1">
      <c r="A56" s="7" t="s">
        <v>13</v>
      </c>
      <c r="B56" s="30" t="s">
        <v>386</v>
      </c>
      <c r="C56" s="30" t="s">
        <v>173</v>
      </c>
      <c r="D56" s="27">
        <v>25038.68281330038</v>
      </c>
      <c r="E56" s="28">
        <v>14082.643887817285</v>
      </c>
      <c r="F56" s="27">
        <f t="shared" si="1"/>
        <v>10956.038925483095</v>
      </c>
      <c r="G56" s="27">
        <f t="shared" si="0"/>
        <v>43.75645079725728</v>
      </c>
      <c r="H56" s="29">
        <v>33</v>
      </c>
      <c r="I56" s="29">
        <v>3</v>
      </c>
      <c r="J56" s="3" t="s">
        <v>27</v>
      </c>
      <c r="K56" s="30">
        <v>40.870921666500003</v>
      </c>
      <c r="L56" s="30">
        <v>71.95438</v>
      </c>
      <c r="M56" s="20">
        <v>160</v>
      </c>
    </row>
    <row r="57" spans="1:13" ht="30" customHeight="1">
      <c r="A57" s="7" t="s">
        <v>13</v>
      </c>
      <c r="B57" s="30" t="s">
        <v>386</v>
      </c>
      <c r="C57" s="30" t="s">
        <v>174</v>
      </c>
      <c r="D57" s="27">
        <v>32263.368643300382</v>
      </c>
      <c r="E57" s="28">
        <v>20403.453887817286</v>
      </c>
      <c r="F57" s="27">
        <f t="shared" si="1"/>
        <v>11859.914755483096</v>
      </c>
      <c r="G57" s="27">
        <f t="shared" si="0"/>
        <v>36.759691421577124</v>
      </c>
      <c r="H57" s="29">
        <v>69</v>
      </c>
      <c r="I57" s="29">
        <v>3</v>
      </c>
      <c r="J57" s="3" t="s">
        <v>28</v>
      </c>
      <c r="K57" s="30">
        <v>40.875286666699999</v>
      </c>
      <c r="L57" s="30">
        <v>71.9537066667</v>
      </c>
      <c r="M57" s="20">
        <v>100</v>
      </c>
    </row>
    <row r="58" spans="1:13" ht="30" customHeight="1">
      <c r="A58" s="7" t="s">
        <v>13</v>
      </c>
      <c r="B58" s="30" t="s">
        <v>384</v>
      </c>
      <c r="C58" s="30" t="s">
        <v>107</v>
      </c>
      <c r="D58" s="27">
        <v>28923.911263300382</v>
      </c>
      <c r="E58" s="28">
        <v>17481.793887817286</v>
      </c>
      <c r="F58" s="27">
        <f t="shared" si="1"/>
        <v>11442.117375483096</v>
      </c>
      <c r="G58" s="27">
        <f t="shared" si="0"/>
        <v>39.559371038457144</v>
      </c>
      <c r="H58" s="29">
        <v>85</v>
      </c>
      <c r="I58" s="29">
        <v>3</v>
      </c>
      <c r="J58" s="3" t="s">
        <v>25</v>
      </c>
      <c r="K58" s="30">
        <v>40.870680129199997</v>
      </c>
      <c r="L58" s="30">
        <v>71.958324657800006</v>
      </c>
      <c r="M58" s="20">
        <v>100</v>
      </c>
    </row>
    <row r="59" spans="1:13" ht="30" customHeight="1">
      <c r="A59" s="7" t="s">
        <v>13</v>
      </c>
      <c r="B59" s="30" t="s">
        <v>384</v>
      </c>
      <c r="C59" s="30" t="s">
        <v>113</v>
      </c>
      <c r="D59" s="27">
        <v>34768.081693300381</v>
      </c>
      <c r="E59" s="28">
        <v>22594.803887817288</v>
      </c>
      <c r="F59" s="27">
        <f t="shared" si="1"/>
        <v>12173.277805483092</v>
      </c>
      <c r="G59" s="27">
        <f t="shared" si="0"/>
        <v>35.012796831493915</v>
      </c>
      <c r="H59" s="29">
        <v>127</v>
      </c>
      <c r="I59" s="29">
        <v>4</v>
      </c>
      <c r="J59" s="3" t="s">
        <v>21</v>
      </c>
      <c r="K59" s="30">
        <v>40.867751666700002</v>
      </c>
      <c r="L59" s="30">
        <v>71.964714999999998</v>
      </c>
      <c r="M59" s="20">
        <v>100</v>
      </c>
    </row>
    <row r="60" spans="1:13" ht="30" customHeight="1">
      <c r="A60" s="7" t="s">
        <v>13</v>
      </c>
      <c r="B60" s="30" t="s">
        <v>384</v>
      </c>
      <c r="C60" s="30" t="s">
        <v>108</v>
      </c>
      <c r="D60" s="27">
        <v>32383.097893300379</v>
      </c>
      <c r="E60" s="28">
        <v>20508.203887817286</v>
      </c>
      <c r="F60" s="27">
        <f t="shared" si="1"/>
        <v>11874.894005483093</v>
      </c>
      <c r="G60" s="27">
        <f t="shared" si="0"/>
        <v>36.670037081102876</v>
      </c>
      <c r="H60" s="29">
        <v>72</v>
      </c>
      <c r="I60" s="29">
        <v>3</v>
      </c>
      <c r="J60" s="3" t="s">
        <v>21</v>
      </c>
      <c r="K60" s="30">
        <v>40.874960000000002</v>
      </c>
      <c r="L60" s="30">
        <v>71.946984999999998</v>
      </c>
      <c r="M60" s="20">
        <v>63</v>
      </c>
    </row>
    <row r="61" spans="1:13" ht="30" customHeight="1">
      <c r="A61" s="7" t="s">
        <v>13</v>
      </c>
      <c r="B61" s="30" t="s">
        <v>384</v>
      </c>
      <c r="C61" s="30" t="s">
        <v>93</v>
      </c>
      <c r="D61" s="27">
        <v>24204.121363300383</v>
      </c>
      <c r="E61" s="28">
        <v>13352.493887817287</v>
      </c>
      <c r="F61" s="27">
        <f t="shared" si="1"/>
        <v>10851.627475483096</v>
      </c>
      <c r="G61" s="27">
        <f t="shared" si="0"/>
        <v>44.83380046150706</v>
      </c>
      <c r="H61" s="29">
        <v>21</v>
      </c>
      <c r="I61" s="29">
        <v>4</v>
      </c>
      <c r="J61" s="3" t="s">
        <v>25</v>
      </c>
      <c r="K61" s="30">
        <v>40.879668882099999</v>
      </c>
      <c r="L61" s="30">
        <v>71.946328058800006</v>
      </c>
      <c r="M61" s="14">
        <v>100</v>
      </c>
    </row>
    <row r="62" spans="1:13" ht="30" customHeight="1">
      <c r="A62" s="7" t="s">
        <v>13</v>
      </c>
      <c r="B62" s="30" t="s">
        <v>384</v>
      </c>
      <c r="C62" s="30" t="s">
        <v>92</v>
      </c>
      <c r="D62" s="27">
        <v>29260.429513300383</v>
      </c>
      <c r="E62" s="28">
        <v>17776.210554483951</v>
      </c>
      <c r="F62" s="27">
        <f t="shared" si="1"/>
        <v>11484.218958816433</v>
      </c>
      <c r="G62" s="27">
        <f t="shared" si="0"/>
        <v>39.248292488653526</v>
      </c>
      <c r="H62" s="29">
        <v>52</v>
      </c>
      <c r="I62" s="29">
        <v>6</v>
      </c>
      <c r="J62" s="3" t="s">
        <v>17</v>
      </c>
      <c r="K62" s="30">
        <v>40.889975940799999</v>
      </c>
      <c r="L62" s="30">
        <v>71.955590816200001</v>
      </c>
      <c r="M62" s="14">
        <v>100</v>
      </c>
    </row>
    <row r="63" spans="1:13" ht="30" customHeight="1">
      <c r="A63" s="7" t="s">
        <v>13</v>
      </c>
      <c r="B63" s="30" t="s">
        <v>387</v>
      </c>
      <c r="C63" s="30" t="s">
        <v>175</v>
      </c>
      <c r="D63" s="27">
        <v>47599.594003300379</v>
      </c>
      <c r="E63" s="28">
        <v>33820.973887817287</v>
      </c>
      <c r="F63" s="27">
        <f t="shared" si="1"/>
        <v>13778.620115483092</v>
      </c>
      <c r="G63" s="27">
        <f t="shared" si="0"/>
        <v>28.946927813140029</v>
      </c>
      <c r="H63" s="29">
        <v>30</v>
      </c>
      <c r="I63" s="29">
        <v>4</v>
      </c>
      <c r="J63" s="3" t="s">
        <v>28</v>
      </c>
      <c r="K63" s="30">
        <v>40.879336666500002</v>
      </c>
      <c r="L63" s="30">
        <v>71.986581666700005</v>
      </c>
      <c r="M63" s="14">
        <v>100</v>
      </c>
    </row>
    <row r="64" spans="1:13" ht="30" customHeight="1">
      <c r="A64" s="7" t="s">
        <v>13</v>
      </c>
      <c r="B64" s="30" t="s">
        <v>387</v>
      </c>
      <c r="C64" s="30" t="s">
        <v>176</v>
      </c>
      <c r="D64" s="27">
        <v>47675.931163300382</v>
      </c>
      <c r="E64" s="28">
        <v>33887.760554483953</v>
      </c>
      <c r="F64" s="27">
        <f t="shared" si="1"/>
        <v>13788.170608816428</v>
      </c>
      <c r="G64" s="27">
        <f t="shared" si="0"/>
        <v>28.920611034504937</v>
      </c>
      <c r="H64" s="29">
        <v>148</v>
      </c>
      <c r="I64" s="29">
        <v>3</v>
      </c>
      <c r="J64" s="4" t="s">
        <v>29</v>
      </c>
      <c r="K64" s="30">
        <v>40.884120000000003</v>
      </c>
      <c r="L64" s="30">
        <v>71.971571666700001</v>
      </c>
      <c r="M64" s="14">
        <v>160</v>
      </c>
    </row>
    <row r="65" spans="1:13" ht="30" customHeight="1">
      <c r="A65" s="7" t="s">
        <v>13</v>
      </c>
      <c r="B65" s="30" t="s">
        <v>384</v>
      </c>
      <c r="C65" s="30" t="s">
        <v>111</v>
      </c>
      <c r="D65" s="27">
        <v>31256.008453300383</v>
      </c>
      <c r="E65" s="28">
        <v>19522.123887817288</v>
      </c>
      <c r="F65" s="27">
        <f t="shared" si="1"/>
        <v>11733.884565483095</v>
      </c>
      <c r="G65" s="27">
        <f t="shared" si="0"/>
        <v>37.541212541629228</v>
      </c>
      <c r="H65" s="29">
        <v>63</v>
      </c>
      <c r="I65" s="29">
        <v>3</v>
      </c>
      <c r="J65" s="4" t="s">
        <v>29</v>
      </c>
      <c r="K65" s="30">
        <v>40.883293333300003</v>
      </c>
      <c r="L65" s="30">
        <v>71.964291666700007</v>
      </c>
      <c r="M65" s="14">
        <v>100</v>
      </c>
    </row>
    <row r="66" spans="1:13" ht="30" customHeight="1">
      <c r="A66" s="7" t="s">
        <v>13</v>
      </c>
      <c r="B66" s="30" t="s">
        <v>388</v>
      </c>
      <c r="C66" s="30" t="s">
        <v>177</v>
      </c>
      <c r="D66" s="27">
        <v>40322.234923300384</v>
      </c>
      <c r="E66" s="28">
        <v>27454.080554483953</v>
      </c>
      <c r="F66" s="27">
        <f t="shared" si="1"/>
        <v>12868.154368816431</v>
      </c>
      <c r="G66" s="27">
        <f t="shared" si="0"/>
        <v>31.913296456145861</v>
      </c>
      <c r="H66" s="29">
        <v>89</v>
      </c>
      <c r="I66" s="29">
        <v>5</v>
      </c>
      <c r="J66" s="4" t="s">
        <v>29</v>
      </c>
      <c r="K66" s="30">
        <v>40.876348333300001</v>
      </c>
      <c r="L66" s="30">
        <v>71.981988333299995</v>
      </c>
      <c r="M66" s="14">
        <v>100</v>
      </c>
    </row>
    <row r="67" spans="1:13" ht="30" customHeight="1">
      <c r="A67" s="7" t="s">
        <v>13</v>
      </c>
      <c r="B67" s="30" t="s">
        <v>384</v>
      </c>
      <c r="C67" s="30" t="s">
        <v>110</v>
      </c>
      <c r="D67" s="27">
        <v>29276.751553300383</v>
      </c>
      <c r="E67" s="28">
        <v>17790.490554483953</v>
      </c>
      <c r="F67" s="27">
        <f t="shared" si="1"/>
        <v>11486.260998816429</v>
      </c>
      <c r="G67" s="27">
        <f t="shared" ref="G67:G130" si="2">+F67*100/D67</f>
        <v>39.233386183248115</v>
      </c>
      <c r="H67" s="29">
        <v>75</v>
      </c>
      <c r="I67" s="29">
        <v>5</v>
      </c>
      <c r="J67" s="4" t="s">
        <v>29</v>
      </c>
      <c r="K67" s="30">
        <v>40.883031666699999</v>
      </c>
      <c r="L67" s="30">
        <v>71.961638333300002</v>
      </c>
      <c r="M67" s="14">
        <v>250</v>
      </c>
    </row>
    <row r="68" spans="1:13" ht="30" customHeight="1">
      <c r="A68" s="7" t="s">
        <v>13</v>
      </c>
      <c r="B68" s="30" t="s">
        <v>384</v>
      </c>
      <c r="C68" s="30" t="s">
        <v>119</v>
      </c>
      <c r="D68" s="27">
        <v>35787.203353300385</v>
      </c>
      <c r="E68" s="28">
        <v>23486.423887817284</v>
      </c>
      <c r="F68" s="27">
        <f t="shared" si="1"/>
        <v>12300.779465483101</v>
      </c>
      <c r="G68" s="27">
        <f t="shared" si="2"/>
        <v>34.372005389878261</v>
      </c>
      <c r="H68" s="29">
        <v>78</v>
      </c>
      <c r="I68" s="29">
        <v>6</v>
      </c>
      <c r="J68" s="4" t="s">
        <v>28</v>
      </c>
      <c r="K68" s="30">
        <v>40.893335</v>
      </c>
      <c r="L68" s="30">
        <v>71.929253333299997</v>
      </c>
      <c r="M68" s="14">
        <v>160</v>
      </c>
    </row>
    <row r="69" spans="1:13" ht="30" customHeight="1">
      <c r="A69" s="7" t="s">
        <v>13</v>
      </c>
      <c r="B69" s="30" t="s">
        <v>384</v>
      </c>
      <c r="C69" s="30" t="s">
        <v>115</v>
      </c>
      <c r="D69" s="27">
        <v>32873.574433300382</v>
      </c>
      <c r="E69" s="28">
        <v>20937.317221150621</v>
      </c>
      <c r="F69" s="27">
        <f t="shared" ref="F69:F132" si="3">+D69-E69</f>
        <v>11936.257212149761</v>
      </c>
      <c r="G69" s="27">
        <f t="shared" si="2"/>
        <v>36.309581230261749</v>
      </c>
      <c r="H69" s="29">
        <v>62</v>
      </c>
      <c r="I69" s="29">
        <v>3</v>
      </c>
      <c r="J69" s="4" t="s">
        <v>28</v>
      </c>
      <c r="K69" s="30">
        <v>40.891123333300001</v>
      </c>
      <c r="L69" s="30">
        <v>71.940986666699999</v>
      </c>
      <c r="M69" s="14">
        <v>100</v>
      </c>
    </row>
    <row r="70" spans="1:13" ht="30" customHeight="1">
      <c r="A70" s="7" t="s">
        <v>13</v>
      </c>
      <c r="B70" s="30" t="s">
        <v>384</v>
      </c>
      <c r="C70" s="30" t="s">
        <v>105</v>
      </c>
      <c r="D70" s="27">
        <v>28581.182713300383</v>
      </c>
      <c r="E70" s="28">
        <v>17181.943887817284</v>
      </c>
      <c r="F70" s="27">
        <f t="shared" si="3"/>
        <v>11399.238825483098</v>
      </c>
      <c r="G70" s="27">
        <f t="shared" si="2"/>
        <v>39.883719788049255</v>
      </c>
      <c r="H70" s="29">
        <v>28</v>
      </c>
      <c r="I70" s="29">
        <v>4</v>
      </c>
      <c r="J70" s="6" t="s">
        <v>28</v>
      </c>
      <c r="K70" s="30">
        <v>40.880083115799998</v>
      </c>
      <c r="L70" s="30">
        <v>71.942641781600003</v>
      </c>
      <c r="M70" s="14">
        <v>250</v>
      </c>
    </row>
    <row r="71" spans="1:13" ht="30" customHeight="1">
      <c r="A71" s="7" t="s">
        <v>13</v>
      </c>
      <c r="B71" s="30" t="s">
        <v>384</v>
      </c>
      <c r="C71" s="30" t="s">
        <v>98</v>
      </c>
      <c r="D71" s="27">
        <v>30727.889113300378</v>
      </c>
      <c r="E71" s="28">
        <v>19060.077221150619</v>
      </c>
      <c r="F71" s="27">
        <f t="shared" si="3"/>
        <v>11667.811892149759</v>
      </c>
      <c r="G71" s="27">
        <f t="shared" si="2"/>
        <v>37.971407177134786</v>
      </c>
      <c r="H71" s="29">
        <v>138</v>
      </c>
      <c r="I71" s="29">
        <v>4</v>
      </c>
      <c r="J71" s="6" t="s">
        <v>29</v>
      </c>
      <c r="K71" s="30">
        <v>40.874026666600002</v>
      </c>
      <c r="L71" s="30">
        <v>72.094549999700007</v>
      </c>
      <c r="M71" s="19">
        <v>100</v>
      </c>
    </row>
    <row r="72" spans="1:13" ht="30" customHeight="1">
      <c r="A72" s="5" t="s">
        <v>30</v>
      </c>
      <c r="B72" s="30" t="s">
        <v>386</v>
      </c>
      <c r="C72" s="30" t="s">
        <v>178</v>
      </c>
      <c r="D72" s="27">
        <v>30338.556643300384</v>
      </c>
      <c r="E72" s="28">
        <v>18719.453887817286</v>
      </c>
      <c r="F72" s="27">
        <f t="shared" si="3"/>
        <v>11619.102755483098</v>
      </c>
      <c r="G72" s="27">
        <f t="shared" si="2"/>
        <v>38.298139532781384</v>
      </c>
      <c r="H72" s="29">
        <v>67</v>
      </c>
      <c r="I72" s="29">
        <v>4</v>
      </c>
      <c r="J72" s="6" t="s">
        <v>31</v>
      </c>
      <c r="K72" s="30">
        <v>40.875187246099998</v>
      </c>
      <c r="L72" s="30">
        <v>71.961364354899999</v>
      </c>
      <c r="M72" s="20">
        <v>60</v>
      </c>
    </row>
    <row r="73" spans="1:13" ht="30" customHeight="1">
      <c r="A73" s="5" t="s">
        <v>30</v>
      </c>
      <c r="B73" s="30" t="s">
        <v>384</v>
      </c>
      <c r="C73" s="30" t="s">
        <v>117</v>
      </c>
      <c r="D73" s="27">
        <v>28561.199263300383</v>
      </c>
      <c r="E73" s="28">
        <v>17164.460554483954</v>
      </c>
      <c r="F73" s="27">
        <f t="shared" si="3"/>
        <v>11396.738708816429</v>
      </c>
      <c r="G73" s="27">
        <f t="shared" si="2"/>
        <v>39.902871737814699</v>
      </c>
      <c r="H73" s="29">
        <v>30</v>
      </c>
      <c r="I73" s="29">
        <v>3</v>
      </c>
      <c r="J73" s="3" t="s">
        <v>32</v>
      </c>
      <c r="K73" s="30">
        <v>40.876370000000001</v>
      </c>
      <c r="L73" s="30">
        <v>71.934290000000004</v>
      </c>
      <c r="M73" s="20">
        <v>100</v>
      </c>
    </row>
    <row r="74" spans="1:13" ht="30" customHeight="1">
      <c r="A74" s="5" t="s">
        <v>30</v>
      </c>
      <c r="B74" s="30" t="s">
        <v>387</v>
      </c>
      <c r="C74" s="30" t="s">
        <v>179</v>
      </c>
      <c r="D74" s="27">
        <v>25455.13486330038</v>
      </c>
      <c r="E74" s="28">
        <v>14446.993887817287</v>
      </c>
      <c r="F74" s="27">
        <f t="shared" si="3"/>
        <v>11008.140975483093</v>
      </c>
      <c r="G74" s="27">
        <f t="shared" si="2"/>
        <v>43.245266758943558</v>
      </c>
      <c r="H74" s="29">
        <v>112</v>
      </c>
      <c r="I74" s="29">
        <v>4</v>
      </c>
      <c r="J74" s="3" t="s">
        <v>32</v>
      </c>
      <c r="K74" s="30">
        <v>40.871744999999997</v>
      </c>
      <c r="L74" s="30">
        <v>71.974869999999996</v>
      </c>
      <c r="M74" s="20">
        <v>160</v>
      </c>
    </row>
    <row r="75" spans="1:13" ht="30" customHeight="1">
      <c r="A75" s="5" t="s">
        <v>30</v>
      </c>
      <c r="B75" s="30" t="s">
        <v>387</v>
      </c>
      <c r="C75" s="30" t="s">
        <v>180</v>
      </c>
      <c r="D75" s="27">
        <v>25684.21492330038</v>
      </c>
      <c r="E75" s="28">
        <v>14647.413887817285</v>
      </c>
      <c r="F75" s="27">
        <f t="shared" si="3"/>
        <v>11036.801035483095</v>
      </c>
      <c r="G75" s="27">
        <f t="shared" si="2"/>
        <v>42.971144216172462</v>
      </c>
      <c r="H75" s="29">
        <v>14</v>
      </c>
      <c r="I75" s="29">
        <v>3</v>
      </c>
      <c r="J75" s="3" t="s">
        <v>32</v>
      </c>
      <c r="K75" s="30">
        <v>40.876070782500001</v>
      </c>
      <c r="L75" s="30">
        <v>71.971403360400004</v>
      </c>
      <c r="M75" s="20">
        <v>250</v>
      </c>
    </row>
    <row r="76" spans="1:13" ht="30" customHeight="1">
      <c r="A76" s="5" t="s">
        <v>30</v>
      </c>
      <c r="B76" s="30" t="s">
        <v>387</v>
      </c>
      <c r="C76" s="30" t="s">
        <v>181</v>
      </c>
      <c r="D76" s="27">
        <v>31444.435813300384</v>
      </c>
      <c r="E76" s="28">
        <v>19686.977221150621</v>
      </c>
      <c r="F76" s="27">
        <f t="shared" si="3"/>
        <v>11757.458592149764</v>
      </c>
      <c r="G76" s="27">
        <f t="shared" si="2"/>
        <v>37.39122133390795</v>
      </c>
      <c r="H76" s="29">
        <v>63</v>
      </c>
      <c r="I76" s="29">
        <v>3</v>
      </c>
      <c r="J76" s="3" t="s">
        <v>34</v>
      </c>
      <c r="K76" s="30">
        <v>40.882694999999998</v>
      </c>
      <c r="L76" s="30">
        <v>71.966549999999998</v>
      </c>
      <c r="M76" s="20">
        <v>250</v>
      </c>
    </row>
    <row r="77" spans="1:13" ht="30" customHeight="1">
      <c r="A77" s="5" t="s">
        <v>30</v>
      </c>
      <c r="B77" s="30" t="s">
        <v>384</v>
      </c>
      <c r="C77" s="30" t="s">
        <v>104</v>
      </c>
      <c r="D77" s="27">
        <v>29451.005713300379</v>
      </c>
      <c r="E77" s="28">
        <v>17942.943887817284</v>
      </c>
      <c r="F77" s="27">
        <f t="shared" si="3"/>
        <v>11508.061825483095</v>
      </c>
      <c r="G77" s="27">
        <f t="shared" si="2"/>
        <v>39.075276197735867</v>
      </c>
      <c r="H77" s="29">
        <v>98</v>
      </c>
      <c r="I77" s="29">
        <v>3</v>
      </c>
      <c r="J77" s="3" t="s">
        <v>34</v>
      </c>
      <c r="K77" s="30">
        <v>40.881264999999999</v>
      </c>
      <c r="L77" s="30">
        <v>71.952876666700007</v>
      </c>
      <c r="M77" s="20">
        <v>160</v>
      </c>
    </row>
    <row r="78" spans="1:13" ht="30" customHeight="1">
      <c r="A78" s="5" t="s">
        <v>30</v>
      </c>
      <c r="B78" s="30" t="s">
        <v>387</v>
      </c>
      <c r="C78" s="30" t="s">
        <v>182</v>
      </c>
      <c r="D78" s="27">
        <v>35589.449113300383</v>
      </c>
      <c r="E78" s="28">
        <v>23313.410554483955</v>
      </c>
      <c r="F78" s="27">
        <f t="shared" si="3"/>
        <v>12276.038558816428</v>
      </c>
      <c r="G78" s="27">
        <f t="shared" si="2"/>
        <v>34.49347732170618</v>
      </c>
      <c r="H78" s="29">
        <v>96</v>
      </c>
      <c r="I78" s="29">
        <v>3</v>
      </c>
      <c r="J78" s="3" t="s">
        <v>35</v>
      </c>
      <c r="K78" s="30">
        <v>40.879336666500002</v>
      </c>
      <c r="L78" s="30">
        <v>71.986581666700005</v>
      </c>
      <c r="M78" s="20">
        <v>100</v>
      </c>
    </row>
    <row r="79" spans="1:13" ht="30" customHeight="1">
      <c r="A79" s="5" t="s">
        <v>30</v>
      </c>
      <c r="B79" s="30" t="s">
        <v>387</v>
      </c>
      <c r="C79" s="30" t="s">
        <v>183</v>
      </c>
      <c r="D79" s="27">
        <v>46981.055743300385</v>
      </c>
      <c r="E79" s="28">
        <v>33279.820554483958</v>
      </c>
      <c r="F79" s="27">
        <f t="shared" si="3"/>
        <v>13701.235188816427</v>
      </c>
      <c r="G79" s="27">
        <f t="shared" si="2"/>
        <v>29.163319069879048</v>
      </c>
      <c r="H79" s="29">
        <v>107</v>
      </c>
      <c r="I79" s="29">
        <v>6</v>
      </c>
      <c r="J79" s="3" t="s">
        <v>36</v>
      </c>
      <c r="K79" s="30">
        <v>40.874789999999997</v>
      </c>
      <c r="L79" s="30">
        <v>71.973321666700002</v>
      </c>
      <c r="M79" s="20">
        <v>160</v>
      </c>
    </row>
    <row r="80" spans="1:13" ht="30" customHeight="1">
      <c r="A80" s="5" t="s">
        <v>30</v>
      </c>
      <c r="B80" s="30" t="s">
        <v>387</v>
      </c>
      <c r="C80" s="30" t="s">
        <v>184</v>
      </c>
      <c r="D80" s="27">
        <v>27035.031373300379</v>
      </c>
      <c r="E80" s="28">
        <v>15829.230554483951</v>
      </c>
      <c r="F80" s="27">
        <f t="shared" si="3"/>
        <v>11205.800818816428</v>
      </c>
      <c r="G80" s="27">
        <f t="shared" si="2"/>
        <v>41.449187404617568</v>
      </c>
      <c r="H80" s="29">
        <v>57</v>
      </c>
      <c r="I80" s="29">
        <v>5</v>
      </c>
      <c r="J80" s="3" t="s">
        <v>37</v>
      </c>
      <c r="K80" s="30">
        <v>40.870626666699998</v>
      </c>
      <c r="L80" s="30">
        <v>72.030681666700005</v>
      </c>
      <c r="M80" s="20">
        <v>160</v>
      </c>
    </row>
    <row r="81" spans="1:13" ht="30" customHeight="1">
      <c r="A81" s="5" t="s">
        <v>30</v>
      </c>
      <c r="B81" s="30" t="s">
        <v>387</v>
      </c>
      <c r="C81" s="30" t="s">
        <v>185</v>
      </c>
      <c r="D81" s="27">
        <v>28311.62521330038</v>
      </c>
      <c r="E81" s="28">
        <v>16946.110554483952</v>
      </c>
      <c r="F81" s="27">
        <f t="shared" si="3"/>
        <v>11365.514658816428</v>
      </c>
      <c r="G81" s="27">
        <f t="shared" si="2"/>
        <v>40.144338494128831</v>
      </c>
      <c r="H81" s="29">
        <v>95</v>
      </c>
      <c r="I81" s="29">
        <v>4</v>
      </c>
      <c r="J81" s="3" t="s">
        <v>38</v>
      </c>
      <c r="K81" s="30">
        <v>40.885669999999998</v>
      </c>
      <c r="L81" s="30">
        <v>71.975136666699996</v>
      </c>
      <c r="M81" s="20">
        <v>160</v>
      </c>
    </row>
    <row r="82" spans="1:13" ht="30" customHeight="1">
      <c r="A82" s="7" t="s">
        <v>13</v>
      </c>
      <c r="B82" s="30" t="s">
        <v>387</v>
      </c>
      <c r="C82" s="30" t="s">
        <v>186</v>
      </c>
      <c r="D82" s="27">
        <v>26432.49130330038</v>
      </c>
      <c r="E82" s="28">
        <v>15302.073887817285</v>
      </c>
      <c r="F82" s="27">
        <f t="shared" si="3"/>
        <v>11130.417415483094</v>
      </c>
      <c r="G82" s="27">
        <f t="shared" si="2"/>
        <v>42.108847356712616</v>
      </c>
      <c r="H82" s="29">
        <v>79</v>
      </c>
      <c r="I82" s="29">
        <v>6</v>
      </c>
      <c r="J82" s="3" t="s">
        <v>23</v>
      </c>
      <c r="K82" s="30">
        <v>40.875881666700003</v>
      </c>
      <c r="L82" s="30">
        <v>71.976506666700004</v>
      </c>
      <c r="M82" s="20">
        <v>63</v>
      </c>
    </row>
    <row r="83" spans="1:13" ht="30" customHeight="1">
      <c r="A83" s="5" t="s">
        <v>30</v>
      </c>
      <c r="B83" s="30" t="s">
        <v>389</v>
      </c>
      <c r="C83" s="30" t="s">
        <v>187</v>
      </c>
      <c r="D83" s="27">
        <v>31773.307393300383</v>
      </c>
      <c r="E83" s="28">
        <v>19974.703887817286</v>
      </c>
      <c r="F83" s="27">
        <f t="shared" si="3"/>
        <v>11798.603505483097</v>
      </c>
      <c r="G83" s="27">
        <f t="shared" si="2"/>
        <v>37.133696405716051</v>
      </c>
      <c r="H83" s="29">
        <v>155</v>
      </c>
      <c r="I83" s="29">
        <v>4</v>
      </c>
      <c r="J83" s="3" t="s">
        <v>39</v>
      </c>
      <c r="K83" s="30">
        <v>40.876424999999998</v>
      </c>
      <c r="L83" s="30">
        <v>72.024273333300002</v>
      </c>
      <c r="M83" s="20">
        <v>100</v>
      </c>
    </row>
    <row r="84" spans="1:13" ht="30" customHeight="1">
      <c r="A84" s="7" t="s">
        <v>13</v>
      </c>
      <c r="B84" s="30" t="s">
        <v>387</v>
      </c>
      <c r="C84" s="30" t="s">
        <v>188</v>
      </c>
      <c r="D84" s="27">
        <v>27252.875743300378</v>
      </c>
      <c r="E84" s="28">
        <v>16019.820554483951</v>
      </c>
      <c r="F84" s="27">
        <f t="shared" si="3"/>
        <v>11233.055188816426</v>
      </c>
      <c r="G84" s="27">
        <f t="shared" si="2"/>
        <v>41.217871077615982</v>
      </c>
      <c r="H84" s="29">
        <v>170</v>
      </c>
      <c r="I84" s="29">
        <v>4</v>
      </c>
      <c r="J84" s="3"/>
      <c r="K84" s="30">
        <v>40.870156999999999</v>
      </c>
      <c r="L84" s="30">
        <v>71.971063000000001</v>
      </c>
      <c r="M84" s="20">
        <v>100</v>
      </c>
    </row>
    <row r="85" spans="1:13" ht="30" customHeight="1">
      <c r="A85" s="7" t="s">
        <v>13</v>
      </c>
      <c r="B85" s="30" t="s">
        <v>388</v>
      </c>
      <c r="C85" s="30" t="s">
        <v>189</v>
      </c>
      <c r="D85" s="27">
        <v>28775.664163300382</v>
      </c>
      <c r="E85" s="28">
        <v>17352.093887817286</v>
      </c>
      <c r="F85" s="27">
        <f t="shared" si="3"/>
        <v>11423.570275483096</v>
      </c>
      <c r="G85" s="27">
        <f t="shared" si="2"/>
        <v>39.69871976074969</v>
      </c>
      <c r="H85" s="29">
        <v>76</v>
      </c>
      <c r="I85" s="29">
        <v>4</v>
      </c>
      <c r="J85" s="3"/>
      <c r="K85" s="30">
        <v>40.8745966667</v>
      </c>
      <c r="L85" s="30">
        <v>71.988754999999998</v>
      </c>
      <c r="M85" s="20">
        <v>160</v>
      </c>
    </row>
    <row r="86" spans="1:13" ht="30" customHeight="1">
      <c r="A86" s="7" t="s">
        <v>13</v>
      </c>
      <c r="B86" s="30" t="s">
        <v>389</v>
      </c>
      <c r="C86" s="30" t="s">
        <v>190</v>
      </c>
      <c r="D86" s="27">
        <v>27743.558023300378</v>
      </c>
      <c r="E86" s="28">
        <v>16449.113887817286</v>
      </c>
      <c r="F86" s="27">
        <f t="shared" si="3"/>
        <v>11294.444135483092</v>
      </c>
      <c r="G86" s="27">
        <f t="shared" si="2"/>
        <v>40.710150176114666</v>
      </c>
      <c r="H86" s="29">
        <v>58</v>
      </c>
      <c r="I86" s="29">
        <v>4</v>
      </c>
      <c r="J86" s="4"/>
      <c r="K86" s="30">
        <v>40.878901666700003</v>
      </c>
      <c r="L86" s="30">
        <v>72.031078333300002</v>
      </c>
      <c r="M86" s="20">
        <v>250</v>
      </c>
    </row>
    <row r="87" spans="1:13" ht="30" customHeight="1">
      <c r="A87" s="7" t="s">
        <v>13</v>
      </c>
      <c r="B87" s="30" t="s">
        <v>389</v>
      </c>
      <c r="C87" s="30" t="s">
        <v>191</v>
      </c>
      <c r="D87" s="27">
        <v>26359.362163300379</v>
      </c>
      <c r="E87" s="28">
        <v>15238.093887817286</v>
      </c>
      <c r="F87" s="27">
        <f t="shared" si="3"/>
        <v>11121.268275483093</v>
      </c>
      <c r="G87" s="27">
        <f t="shared" si="2"/>
        <v>42.190961247791556</v>
      </c>
      <c r="H87" s="29">
        <v>37</v>
      </c>
      <c r="I87" s="29">
        <v>3</v>
      </c>
      <c r="J87" s="4"/>
      <c r="K87" s="30">
        <v>40.877465000000001</v>
      </c>
      <c r="L87" s="30">
        <v>72.08811</v>
      </c>
      <c r="M87" s="20">
        <v>100</v>
      </c>
    </row>
    <row r="88" spans="1:13" ht="30" customHeight="1">
      <c r="A88" s="7" t="s">
        <v>13</v>
      </c>
      <c r="B88" s="30" t="s">
        <v>389</v>
      </c>
      <c r="C88" s="30" t="s">
        <v>192</v>
      </c>
      <c r="D88" s="27">
        <v>28015.49677330038</v>
      </c>
      <c r="E88" s="28">
        <v>16687.03055448395</v>
      </c>
      <c r="F88" s="27">
        <f t="shared" si="3"/>
        <v>11328.466218816429</v>
      </c>
      <c r="G88" s="27">
        <f t="shared" si="2"/>
        <v>40.436428132921066</v>
      </c>
      <c r="H88" s="29">
        <v>93</v>
      </c>
      <c r="I88" s="29">
        <v>5</v>
      </c>
      <c r="J88" s="4"/>
      <c r="K88" s="30">
        <v>40.875194999999998</v>
      </c>
      <c r="L88" s="30">
        <v>72.038955000000001</v>
      </c>
      <c r="M88" s="20">
        <v>100</v>
      </c>
    </row>
    <row r="89" spans="1:13" ht="30" customHeight="1">
      <c r="A89" s="7" t="s">
        <v>13</v>
      </c>
      <c r="B89" s="30" t="s">
        <v>389</v>
      </c>
      <c r="C89" s="30" t="s">
        <v>193</v>
      </c>
      <c r="D89" s="27">
        <v>25101.742123300381</v>
      </c>
      <c r="E89" s="28">
        <v>14137.813887817287</v>
      </c>
      <c r="F89" s="27">
        <f t="shared" si="3"/>
        <v>10963.928235483094</v>
      </c>
      <c r="G89" s="27">
        <f t="shared" si="2"/>
        <v>43.677957416772138</v>
      </c>
      <c r="H89" s="29">
        <v>75</v>
      </c>
      <c r="I89" s="29">
        <v>3</v>
      </c>
      <c r="J89" s="4" t="s">
        <v>14</v>
      </c>
      <c r="K89" s="30">
        <v>40.879893333299997</v>
      </c>
      <c r="L89" s="30">
        <v>72.067336666700001</v>
      </c>
      <c r="M89" s="20">
        <v>250</v>
      </c>
    </row>
    <row r="90" spans="1:13" ht="30" customHeight="1">
      <c r="A90" s="7" t="s">
        <v>13</v>
      </c>
      <c r="B90" s="30" t="s">
        <v>389</v>
      </c>
      <c r="C90" s="30" t="s">
        <v>194</v>
      </c>
      <c r="D90" s="27">
        <v>31992.344293300383</v>
      </c>
      <c r="E90" s="28">
        <v>20166.337221150621</v>
      </c>
      <c r="F90" s="27">
        <f t="shared" si="3"/>
        <v>11826.007072149761</v>
      </c>
      <c r="G90" s="27">
        <f t="shared" si="2"/>
        <v>36.965115665582168</v>
      </c>
      <c r="H90" s="29">
        <v>81</v>
      </c>
      <c r="I90" s="29">
        <v>3</v>
      </c>
      <c r="J90" s="4" t="s">
        <v>24</v>
      </c>
      <c r="K90" s="30">
        <v>40.878976666699998</v>
      </c>
      <c r="L90" s="30">
        <v>72.029004999999998</v>
      </c>
      <c r="M90" s="14">
        <v>250</v>
      </c>
    </row>
    <row r="91" spans="1:13" ht="30" customHeight="1">
      <c r="A91" s="7" t="s">
        <v>13</v>
      </c>
      <c r="B91" s="30" t="s">
        <v>384</v>
      </c>
      <c r="C91" s="30" t="s">
        <v>121</v>
      </c>
      <c r="D91" s="27">
        <v>30920.057893300378</v>
      </c>
      <c r="E91" s="28">
        <v>19228.203887817286</v>
      </c>
      <c r="F91" s="27">
        <f t="shared" si="3"/>
        <v>11691.854005483092</v>
      </c>
      <c r="G91" s="27">
        <f t="shared" si="2"/>
        <v>37.81316983891039</v>
      </c>
      <c r="H91" s="29">
        <v>127</v>
      </c>
      <c r="I91" s="29">
        <v>4</v>
      </c>
      <c r="J91" s="4" t="s">
        <v>23</v>
      </c>
      <c r="K91" s="30">
        <v>40.881158094900002</v>
      </c>
      <c r="L91" s="30">
        <v>71.960061555699994</v>
      </c>
      <c r="M91" s="14">
        <v>250</v>
      </c>
    </row>
    <row r="92" spans="1:13" ht="30" customHeight="1">
      <c r="A92" s="7" t="s">
        <v>13</v>
      </c>
      <c r="B92" s="30" t="s">
        <v>388</v>
      </c>
      <c r="C92" s="30" t="s">
        <v>195</v>
      </c>
      <c r="D92" s="27">
        <v>30438.572953300376</v>
      </c>
      <c r="E92" s="28">
        <v>18806.95722115062</v>
      </c>
      <c r="F92" s="27">
        <f t="shared" si="3"/>
        <v>11631.615732149756</v>
      </c>
      <c r="G92" s="27">
        <f t="shared" si="2"/>
        <v>38.213406883414912</v>
      </c>
      <c r="H92" s="29">
        <v>96</v>
      </c>
      <c r="I92" s="29">
        <v>5</v>
      </c>
      <c r="J92" s="4" t="s">
        <v>40</v>
      </c>
      <c r="K92" s="30">
        <v>40.880791666699999</v>
      </c>
      <c r="L92" s="30">
        <v>72.024038333299998</v>
      </c>
      <c r="M92" s="14">
        <v>160</v>
      </c>
    </row>
    <row r="93" spans="1:13" ht="30" customHeight="1">
      <c r="A93" s="7" t="s">
        <v>13</v>
      </c>
      <c r="B93" s="30" t="s">
        <v>389</v>
      </c>
      <c r="C93" s="30" t="s">
        <v>196</v>
      </c>
      <c r="D93" s="27">
        <v>31068.358333300384</v>
      </c>
      <c r="E93" s="28">
        <v>19357.950554483956</v>
      </c>
      <c r="F93" s="27">
        <f t="shared" si="3"/>
        <v>11710.407778816429</v>
      </c>
      <c r="G93" s="27">
        <f t="shared" si="2"/>
        <v>37.692393184047695</v>
      </c>
      <c r="H93" s="29">
        <v>97</v>
      </c>
      <c r="I93" s="29">
        <v>4</v>
      </c>
      <c r="J93" s="4" t="s">
        <v>23</v>
      </c>
      <c r="K93" s="30">
        <v>40.880018333300001</v>
      </c>
      <c r="L93" s="30">
        <v>72.078343333299998</v>
      </c>
      <c r="M93" s="14">
        <v>100</v>
      </c>
    </row>
    <row r="94" spans="1:13" ht="30" customHeight="1">
      <c r="A94" s="7" t="s">
        <v>13</v>
      </c>
      <c r="B94" s="30" t="s">
        <v>387</v>
      </c>
      <c r="C94" s="30" t="s">
        <v>197</v>
      </c>
      <c r="D94" s="27">
        <v>35453.409253300386</v>
      </c>
      <c r="E94" s="28">
        <v>23194.390554483951</v>
      </c>
      <c r="F94" s="27">
        <f t="shared" si="3"/>
        <v>12259.018698816435</v>
      </c>
      <c r="G94" s="27">
        <f t="shared" si="2"/>
        <v>34.577827512244774</v>
      </c>
      <c r="H94" s="29">
        <v>152</v>
      </c>
      <c r="I94" s="29">
        <v>4</v>
      </c>
      <c r="J94" s="3" t="s">
        <v>14</v>
      </c>
      <c r="K94" s="30">
        <v>40.878603333299999</v>
      </c>
      <c r="L94" s="30">
        <v>71.966620000000006</v>
      </c>
      <c r="M94" s="14">
        <v>100</v>
      </c>
    </row>
    <row r="95" spans="1:13" ht="30" customHeight="1">
      <c r="A95" s="7" t="s">
        <v>13</v>
      </c>
      <c r="B95" s="30" t="s">
        <v>390</v>
      </c>
      <c r="C95" s="30" t="s">
        <v>198</v>
      </c>
      <c r="D95" s="27">
        <v>27864.133093300377</v>
      </c>
      <c r="E95" s="28">
        <v>16554.603887817284</v>
      </c>
      <c r="F95" s="27">
        <f t="shared" si="3"/>
        <v>11309.529205483093</v>
      </c>
      <c r="G95" s="27">
        <f t="shared" si="2"/>
        <v>40.588125127073646</v>
      </c>
      <c r="H95" s="29">
        <v>99</v>
      </c>
      <c r="I95" s="29">
        <v>5</v>
      </c>
      <c r="J95" s="5" t="s">
        <v>40</v>
      </c>
      <c r="K95" s="30">
        <v>40.858133333300003</v>
      </c>
      <c r="L95" s="30">
        <v>72.060698333299996</v>
      </c>
      <c r="M95" s="14">
        <v>100</v>
      </c>
    </row>
    <row r="96" spans="1:13" ht="30" customHeight="1">
      <c r="A96" s="7" t="s">
        <v>13</v>
      </c>
      <c r="B96" s="30" t="s">
        <v>389</v>
      </c>
      <c r="C96" s="30" t="s">
        <v>199</v>
      </c>
      <c r="D96" s="27">
        <v>25544.49460330038</v>
      </c>
      <c r="E96" s="28">
        <v>14525.173887817287</v>
      </c>
      <c r="F96" s="27">
        <f t="shared" si="3"/>
        <v>11019.320715483092</v>
      </c>
      <c r="G96" s="27">
        <f t="shared" si="2"/>
        <v>43.137751936808264</v>
      </c>
      <c r="H96" s="29">
        <v>66</v>
      </c>
      <c r="I96" s="29">
        <v>5</v>
      </c>
      <c r="J96" s="5" t="s">
        <v>40</v>
      </c>
      <c r="K96" s="30">
        <v>40.879048333299998</v>
      </c>
      <c r="L96" s="30">
        <v>72.052588333299994</v>
      </c>
      <c r="M96" s="14">
        <v>100</v>
      </c>
    </row>
    <row r="97" spans="1:13" ht="30" customHeight="1">
      <c r="A97" s="7" t="s">
        <v>13</v>
      </c>
      <c r="B97" s="30" t="s">
        <v>388</v>
      </c>
      <c r="C97" s="30" t="s">
        <v>200</v>
      </c>
      <c r="D97" s="27">
        <v>28345.991413300377</v>
      </c>
      <c r="E97" s="28">
        <v>16976.177221150618</v>
      </c>
      <c r="F97" s="27">
        <f t="shared" si="3"/>
        <v>11369.814192149759</v>
      </c>
      <c r="G97" s="27">
        <f t="shared" si="2"/>
        <v>40.110836225029225</v>
      </c>
      <c r="H97" s="29">
        <v>60</v>
      </c>
      <c r="I97" s="29">
        <v>3</v>
      </c>
      <c r="J97" s="5"/>
      <c r="K97" s="30">
        <v>40.877659999999999</v>
      </c>
      <c r="L97" s="30">
        <v>72.015798333299998</v>
      </c>
      <c r="M97" s="14">
        <v>160</v>
      </c>
    </row>
    <row r="98" spans="1:13" ht="30" customHeight="1">
      <c r="A98" s="7" t="s">
        <v>13</v>
      </c>
      <c r="B98" s="30" t="s">
        <v>389</v>
      </c>
      <c r="C98" s="30" t="s">
        <v>201</v>
      </c>
      <c r="D98" s="27">
        <v>23851.330603300383</v>
      </c>
      <c r="E98" s="28">
        <v>13043.840554483952</v>
      </c>
      <c r="F98" s="27">
        <f t="shared" si="3"/>
        <v>10807.490048816431</v>
      </c>
      <c r="G98" s="27">
        <f t="shared" si="2"/>
        <v>45.311895711683967</v>
      </c>
      <c r="H98" s="29">
        <v>18</v>
      </c>
      <c r="I98" s="29">
        <v>3</v>
      </c>
      <c r="J98" s="5" t="s">
        <v>14</v>
      </c>
      <c r="K98" s="30">
        <v>40.877465000000001</v>
      </c>
      <c r="L98" s="30">
        <v>72.08811</v>
      </c>
      <c r="M98" s="14">
        <v>160</v>
      </c>
    </row>
    <row r="99" spans="1:13" ht="30" customHeight="1">
      <c r="A99" s="7" t="s">
        <v>13</v>
      </c>
      <c r="B99" s="30" t="s">
        <v>389</v>
      </c>
      <c r="C99" s="30" t="s">
        <v>202</v>
      </c>
      <c r="D99" s="27">
        <v>28284.25036330038</v>
      </c>
      <c r="E99" s="28">
        <v>16922.160554483951</v>
      </c>
      <c r="F99" s="27">
        <f t="shared" si="3"/>
        <v>11362.089808816429</v>
      </c>
      <c r="G99" s="27">
        <f t="shared" si="2"/>
        <v>40.171083422310048</v>
      </c>
      <c r="H99" s="29">
        <v>79</v>
      </c>
      <c r="I99" s="29">
        <v>4</v>
      </c>
      <c r="J99" s="5" t="s">
        <v>23</v>
      </c>
      <c r="K99" s="30">
        <v>40.875548333300003</v>
      </c>
      <c r="L99" s="30">
        <v>72.079404999999994</v>
      </c>
      <c r="M99" s="19">
        <v>160</v>
      </c>
    </row>
    <row r="100" spans="1:13" ht="30" customHeight="1">
      <c r="A100" s="7" t="s">
        <v>13</v>
      </c>
      <c r="B100" s="30" t="s">
        <v>389</v>
      </c>
      <c r="C100" s="30" t="s">
        <v>203</v>
      </c>
      <c r="D100" s="27">
        <v>25574.71552330038</v>
      </c>
      <c r="E100" s="28">
        <v>14551.613887817286</v>
      </c>
      <c r="F100" s="27">
        <f t="shared" si="3"/>
        <v>11023.101635483094</v>
      </c>
      <c r="G100" s="27">
        <f t="shared" si="2"/>
        <v>43.10156109240107</v>
      </c>
      <c r="H100" s="29">
        <v>43</v>
      </c>
      <c r="I100" s="29">
        <v>4</v>
      </c>
      <c r="J100" s="12" t="s">
        <v>15</v>
      </c>
      <c r="K100" s="30">
        <v>40.883151666700002</v>
      </c>
      <c r="L100" s="30">
        <v>72.085181666699995</v>
      </c>
      <c r="M100" s="20">
        <v>63</v>
      </c>
    </row>
    <row r="101" spans="1:13" ht="30" customHeight="1">
      <c r="A101" s="7" t="s">
        <v>13</v>
      </c>
      <c r="B101" s="30" t="s">
        <v>390</v>
      </c>
      <c r="C101" s="30" t="s">
        <v>204</v>
      </c>
      <c r="D101" s="27">
        <v>27224.20168330038</v>
      </c>
      <c r="E101" s="28">
        <v>15994.733887817285</v>
      </c>
      <c r="F101" s="27">
        <f t="shared" si="3"/>
        <v>11229.467795483095</v>
      </c>
      <c r="G101" s="27">
        <f t="shared" si="2"/>
        <v>41.248106835659286</v>
      </c>
      <c r="H101" s="29">
        <v>70</v>
      </c>
      <c r="I101" s="29">
        <v>4</v>
      </c>
      <c r="J101" s="12" t="s">
        <v>17</v>
      </c>
      <c r="K101" s="30">
        <v>40.858853333299997</v>
      </c>
      <c r="L101" s="30">
        <v>72.0770083333</v>
      </c>
      <c r="M101" s="20">
        <v>400</v>
      </c>
    </row>
    <row r="102" spans="1:13" ht="30" customHeight="1">
      <c r="A102" s="7" t="s">
        <v>13</v>
      </c>
      <c r="B102" s="30" t="s">
        <v>390</v>
      </c>
      <c r="C102" s="30" t="s">
        <v>205</v>
      </c>
      <c r="D102" s="27">
        <v>23582.897053300381</v>
      </c>
      <c r="E102" s="28">
        <v>12808.990554483953</v>
      </c>
      <c r="F102" s="27">
        <f t="shared" si="3"/>
        <v>10773.906498816428</v>
      </c>
      <c r="G102" s="27">
        <f t="shared" si="2"/>
        <v>45.685254336929063</v>
      </c>
      <c r="H102" s="29">
        <v>13</v>
      </c>
      <c r="I102" s="29">
        <v>3</v>
      </c>
      <c r="J102" s="12" t="s">
        <v>17</v>
      </c>
      <c r="K102" s="30">
        <v>40.874026666600002</v>
      </c>
      <c r="L102" s="30">
        <v>72.094549999700007</v>
      </c>
      <c r="M102" s="20">
        <v>320</v>
      </c>
    </row>
    <row r="103" spans="1:13" ht="30" customHeight="1">
      <c r="A103" s="7" t="s">
        <v>13</v>
      </c>
      <c r="B103" s="30" t="s">
        <v>387</v>
      </c>
      <c r="C103" s="30" t="s">
        <v>206</v>
      </c>
      <c r="D103" s="27">
        <v>34448.765593300384</v>
      </c>
      <c r="E103" s="28">
        <v>22315.43722115062</v>
      </c>
      <c r="F103" s="27">
        <f t="shared" si="3"/>
        <v>12133.328372149765</v>
      </c>
      <c r="G103" s="27">
        <f t="shared" si="2"/>
        <v>35.221373431474895</v>
      </c>
      <c r="H103" s="29">
        <v>152</v>
      </c>
      <c r="I103" s="29">
        <v>6</v>
      </c>
      <c r="J103" s="12" t="s">
        <v>17</v>
      </c>
      <c r="K103" s="30">
        <v>40.876869999999997</v>
      </c>
      <c r="L103" s="30">
        <v>71.973841666699997</v>
      </c>
      <c r="M103" s="20">
        <v>160</v>
      </c>
    </row>
    <row r="104" spans="1:13" ht="30" customHeight="1">
      <c r="A104" s="7" t="s">
        <v>13</v>
      </c>
      <c r="B104" s="30" t="s">
        <v>391</v>
      </c>
      <c r="C104" s="30" t="s">
        <v>207</v>
      </c>
      <c r="D104" s="27">
        <v>27686.941423300377</v>
      </c>
      <c r="E104" s="28">
        <v>16399.580554483953</v>
      </c>
      <c r="F104" s="27">
        <f t="shared" si="3"/>
        <v>11287.360868816424</v>
      </c>
      <c r="G104" s="27">
        <f t="shared" si="2"/>
        <v>40.767814314503404</v>
      </c>
      <c r="H104" s="29">
        <v>66</v>
      </c>
      <c r="I104" s="29">
        <v>3</v>
      </c>
      <c r="J104" s="12" t="s">
        <v>17</v>
      </c>
      <c r="K104" s="30">
        <v>40.849305000000001</v>
      </c>
      <c r="L104" s="30">
        <v>72.038023333300004</v>
      </c>
      <c r="M104" s="20">
        <v>100</v>
      </c>
    </row>
    <row r="105" spans="1:13" ht="30" customHeight="1">
      <c r="A105" s="7" t="s">
        <v>13</v>
      </c>
      <c r="B105" s="30" t="s">
        <v>391</v>
      </c>
      <c r="C105" s="30" t="s">
        <v>208</v>
      </c>
      <c r="D105" s="27">
        <v>30964.101493300383</v>
      </c>
      <c r="E105" s="28">
        <v>19266.737221150619</v>
      </c>
      <c r="F105" s="27">
        <f t="shared" si="3"/>
        <v>11697.364272149764</v>
      </c>
      <c r="G105" s="27">
        <f t="shared" si="2"/>
        <v>37.777179727565134</v>
      </c>
      <c r="H105" s="29">
        <v>114</v>
      </c>
      <c r="I105" s="29">
        <v>11</v>
      </c>
      <c r="J105" s="12" t="s">
        <v>17</v>
      </c>
      <c r="K105" s="30">
        <v>40.848043333299998</v>
      </c>
      <c r="L105" s="30">
        <v>72.060901666700005</v>
      </c>
      <c r="M105" s="20">
        <v>160</v>
      </c>
    </row>
    <row r="106" spans="1:13" ht="30" customHeight="1">
      <c r="A106" s="7" t="s">
        <v>13</v>
      </c>
      <c r="B106" s="30" t="s">
        <v>387</v>
      </c>
      <c r="C106" s="30" t="s">
        <v>209</v>
      </c>
      <c r="D106" s="27">
        <v>33060.934993300383</v>
      </c>
      <c r="E106" s="28">
        <v>21101.237221150619</v>
      </c>
      <c r="F106" s="27">
        <f t="shared" si="3"/>
        <v>11959.697772149764</v>
      </c>
      <c r="G106" s="27">
        <f t="shared" si="2"/>
        <v>36.174711255363263</v>
      </c>
      <c r="H106" s="29">
        <v>95</v>
      </c>
      <c r="I106" s="29">
        <v>3</v>
      </c>
      <c r="J106" s="12" t="s">
        <v>17</v>
      </c>
      <c r="K106" s="30">
        <v>40.8855233333</v>
      </c>
      <c r="L106" s="30">
        <v>71.964566666699994</v>
      </c>
      <c r="M106" s="20">
        <v>400</v>
      </c>
    </row>
    <row r="107" spans="1:13" ht="30" customHeight="1">
      <c r="A107" s="7" t="s">
        <v>13</v>
      </c>
      <c r="B107" s="30" t="s">
        <v>390</v>
      </c>
      <c r="C107" s="30" t="s">
        <v>210</v>
      </c>
      <c r="D107" s="27">
        <v>26650.743343300383</v>
      </c>
      <c r="E107" s="28">
        <v>15493.020554483952</v>
      </c>
      <c r="F107" s="27">
        <f t="shared" si="3"/>
        <v>11157.722788816431</v>
      </c>
      <c r="G107" s="27">
        <f t="shared" si="2"/>
        <v>41.866459952312447</v>
      </c>
      <c r="H107" s="29">
        <v>118</v>
      </c>
      <c r="I107" s="29">
        <v>4</v>
      </c>
      <c r="J107" s="12" t="s">
        <v>19</v>
      </c>
      <c r="K107" s="30">
        <v>40.867975000000001</v>
      </c>
      <c r="L107" s="30">
        <v>72.100838333300004</v>
      </c>
      <c r="M107" s="20">
        <v>160</v>
      </c>
    </row>
    <row r="108" spans="1:13" ht="30" customHeight="1">
      <c r="A108" s="7" t="s">
        <v>13</v>
      </c>
      <c r="B108" s="30" t="s">
        <v>390</v>
      </c>
      <c r="C108" s="30" t="s">
        <v>211</v>
      </c>
      <c r="D108" s="27">
        <v>28519.677883300377</v>
      </c>
      <c r="E108" s="28">
        <v>17128.133887817286</v>
      </c>
      <c r="F108" s="27">
        <f t="shared" si="3"/>
        <v>11391.543995483091</v>
      </c>
      <c r="G108" s="27">
        <f t="shared" si="2"/>
        <v>39.942751254401017</v>
      </c>
      <c r="H108" s="29">
        <v>80</v>
      </c>
      <c r="I108" s="29">
        <v>5</v>
      </c>
      <c r="J108" s="12" t="s">
        <v>21</v>
      </c>
      <c r="K108" s="30">
        <v>40.872354999999999</v>
      </c>
      <c r="L108" s="30">
        <v>72.101595000000003</v>
      </c>
      <c r="M108" s="20">
        <v>100</v>
      </c>
    </row>
    <row r="109" spans="1:13" ht="30" customHeight="1">
      <c r="A109" s="7" t="s">
        <v>13</v>
      </c>
      <c r="B109" s="30" t="s">
        <v>390</v>
      </c>
      <c r="C109" s="30" t="s">
        <v>212</v>
      </c>
      <c r="D109" s="27">
        <v>26094.830053300378</v>
      </c>
      <c r="E109" s="28">
        <v>15006.657221150621</v>
      </c>
      <c r="F109" s="27">
        <f t="shared" si="3"/>
        <v>11088.172832149758</v>
      </c>
      <c r="G109" s="27">
        <f t="shared" si="2"/>
        <v>42.491837691609597</v>
      </c>
      <c r="H109" s="29">
        <v>119</v>
      </c>
      <c r="I109" s="29">
        <v>4</v>
      </c>
      <c r="J109" s="12" t="s">
        <v>21</v>
      </c>
      <c r="K109" s="30">
        <v>40.874026666600002</v>
      </c>
      <c r="L109" s="30">
        <v>72.094549999700007</v>
      </c>
      <c r="M109" s="20">
        <v>100</v>
      </c>
    </row>
    <row r="110" spans="1:13" ht="30" customHeight="1">
      <c r="A110" s="7" t="s">
        <v>13</v>
      </c>
      <c r="B110" s="30" t="s">
        <v>387</v>
      </c>
      <c r="C110" s="30" t="s">
        <v>213</v>
      </c>
      <c r="D110" s="27">
        <v>26449.301023300381</v>
      </c>
      <c r="E110" s="28">
        <v>15316.780554483954</v>
      </c>
      <c r="F110" s="27">
        <f t="shared" si="3"/>
        <v>11132.520468816427</v>
      </c>
      <c r="G110" s="27">
        <f t="shared" si="2"/>
        <v>42.090036553364065</v>
      </c>
      <c r="H110" s="29">
        <v>30</v>
      </c>
      <c r="I110" s="29">
        <v>3</v>
      </c>
      <c r="J110" s="12" t="s">
        <v>21</v>
      </c>
      <c r="K110" s="30">
        <v>40.887851666700001</v>
      </c>
      <c r="L110" s="30">
        <v>71.969193333299998</v>
      </c>
      <c r="M110" s="20">
        <v>160</v>
      </c>
    </row>
    <row r="111" spans="1:13" ht="30" customHeight="1">
      <c r="A111" s="5" t="s">
        <v>30</v>
      </c>
      <c r="B111" s="30" t="s">
        <v>389</v>
      </c>
      <c r="C111" s="30" t="s">
        <v>214</v>
      </c>
      <c r="D111" s="27">
        <v>30130.942123300381</v>
      </c>
      <c r="E111" s="28">
        <v>18537.813887817287</v>
      </c>
      <c r="F111" s="27">
        <f t="shared" si="3"/>
        <v>11593.128235483095</v>
      </c>
      <c r="G111" s="27">
        <f t="shared" si="2"/>
        <v>38.475823915635488</v>
      </c>
      <c r="H111" s="29">
        <v>104</v>
      </c>
      <c r="I111" s="29">
        <v>5</v>
      </c>
      <c r="J111" s="12" t="s">
        <v>41</v>
      </c>
      <c r="K111" s="30">
        <v>40.877478333299997</v>
      </c>
      <c r="L111" s="30">
        <v>72.076426666700002</v>
      </c>
      <c r="M111" s="20">
        <v>250</v>
      </c>
    </row>
    <row r="112" spans="1:13" ht="30" customHeight="1">
      <c r="A112" s="5" t="s">
        <v>30</v>
      </c>
      <c r="B112" s="30" t="s">
        <v>390</v>
      </c>
      <c r="C112" s="30" t="s">
        <v>215</v>
      </c>
      <c r="D112" s="27">
        <v>28192.74559330038</v>
      </c>
      <c r="E112" s="28">
        <v>16842.103887817284</v>
      </c>
      <c r="F112" s="27">
        <f t="shared" si="3"/>
        <v>11350.641705483096</v>
      </c>
      <c r="G112" s="27">
        <f t="shared" si="2"/>
        <v>40.260859546011794</v>
      </c>
      <c r="H112" s="29">
        <v>92</v>
      </c>
      <c r="I112" s="29">
        <v>5</v>
      </c>
      <c r="J112" s="12" t="s">
        <v>37</v>
      </c>
      <c r="K112" s="30">
        <v>40.870533333300003</v>
      </c>
      <c r="L112" s="30">
        <v>72.120976666700003</v>
      </c>
      <c r="M112" s="20">
        <v>100</v>
      </c>
    </row>
    <row r="113" spans="1:13" ht="30" customHeight="1">
      <c r="A113" s="5" t="s">
        <v>30</v>
      </c>
      <c r="B113" s="30" t="s">
        <v>390</v>
      </c>
      <c r="C113" s="30" t="s">
        <v>216</v>
      </c>
      <c r="D113" s="27">
        <v>26717.269753300381</v>
      </c>
      <c r="E113" s="28">
        <v>15551.223887817287</v>
      </c>
      <c r="F113" s="27">
        <f t="shared" si="3"/>
        <v>11166.045865483095</v>
      </c>
      <c r="G113" s="27">
        <f t="shared" si="2"/>
        <v>41.793364249368167</v>
      </c>
      <c r="H113" s="29">
        <v>49</v>
      </c>
      <c r="I113" s="29">
        <v>5</v>
      </c>
      <c r="J113" s="12" t="s">
        <v>33</v>
      </c>
      <c r="K113" s="30">
        <v>40.859666666700001</v>
      </c>
      <c r="L113" s="30">
        <v>72.121076666700006</v>
      </c>
      <c r="M113" s="20">
        <v>63</v>
      </c>
    </row>
    <row r="114" spans="1:13" ht="30" customHeight="1">
      <c r="A114" s="5" t="s">
        <v>30</v>
      </c>
      <c r="B114" s="30" t="s">
        <v>390</v>
      </c>
      <c r="C114" s="30" t="s">
        <v>217</v>
      </c>
      <c r="D114" s="27">
        <v>24083.641543300382</v>
      </c>
      <c r="E114" s="28">
        <v>13247.087221150621</v>
      </c>
      <c r="F114" s="27">
        <f t="shared" si="3"/>
        <v>10836.554322149761</v>
      </c>
      <c r="G114" s="27">
        <f t="shared" si="2"/>
        <v>44.995497473530065</v>
      </c>
      <c r="H114" s="29">
        <v>39</v>
      </c>
      <c r="I114" s="29">
        <v>3</v>
      </c>
      <c r="J114" s="12" t="s">
        <v>17</v>
      </c>
      <c r="K114" s="30">
        <v>40.8576716667</v>
      </c>
      <c r="L114" s="30">
        <v>72.123549999999994</v>
      </c>
      <c r="M114" s="14">
        <v>40</v>
      </c>
    </row>
    <row r="115" spans="1:13" ht="30" customHeight="1">
      <c r="A115" s="5" t="s">
        <v>30</v>
      </c>
      <c r="B115" s="30" t="s">
        <v>388</v>
      </c>
      <c r="C115" s="30" t="s">
        <v>218</v>
      </c>
      <c r="D115" s="27">
        <v>37633.887493300383</v>
      </c>
      <c r="E115" s="28">
        <v>25102.070554483951</v>
      </c>
      <c r="F115" s="27">
        <f t="shared" si="3"/>
        <v>12531.816938816432</v>
      </c>
      <c r="G115" s="27">
        <f t="shared" si="2"/>
        <v>33.299288948151734</v>
      </c>
      <c r="H115" s="29">
        <v>106</v>
      </c>
      <c r="I115" s="29">
        <v>4</v>
      </c>
      <c r="J115" s="12" t="s">
        <v>34</v>
      </c>
      <c r="K115" s="30">
        <v>40.877068333300002</v>
      </c>
      <c r="L115" s="30">
        <v>71.983761666700005</v>
      </c>
      <c r="M115" s="14">
        <v>100</v>
      </c>
    </row>
    <row r="116" spans="1:13" ht="30" customHeight="1">
      <c r="A116" s="5" t="s">
        <v>30</v>
      </c>
      <c r="B116" s="30" t="s">
        <v>384</v>
      </c>
      <c r="C116" s="30" t="s">
        <v>94</v>
      </c>
      <c r="D116" s="27">
        <v>26916.418453300379</v>
      </c>
      <c r="E116" s="28">
        <v>15725.45722115062</v>
      </c>
      <c r="F116" s="27">
        <f t="shared" si="3"/>
        <v>11190.961232149759</v>
      </c>
      <c r="G116" s="27">
        <f t="shared" si="2"/>
        <v>41.576709960747287</v>
      </c>
      <c r="H116" s="29">
        <v>83</v>
      </c>
      <c r="I116" s="29">
        <v>5</v>
      </c>
      <c r="J116" s="12" t="s">
        <v>34</v>
      </c>
      <c r="K116" s="30">
        <v>40.865369999999999</v>
      </c>
      <c r="L116" s="30">
        <v>71.96087</v>
      </c>
      <c r="M116" s="19">
        <v>160</v>
      </c>
    </row>
    <row r="117" spans="1:13" ht="30" customHeight="1">
      <c r="A117" s="5" t="s">
        <v>30</v>
      </c>
      <c r="B117" s="30" t="s">
        <v>390</v>
      </c>
      <c r="C117" s="30" t="s">
        <v>219</v>
      </c>
      <c r="D117" s="27">
        <v>24372.134743300383</v>
      </c>
      <c r="E117" s="28">
        <v>13499.487221150619</v>
      </c>
      <c r="F117" s="27">
        <f t="shared" si="3"/>
        <v>10872.647522149764</v>
      </c>
      <c r="G117" s="27">
        <f t="shared" si="2"/>
        <v>44.610977399665529</v>
      </c>
      <c r="H117" s="29">
        <v>44</v>
      </c>
      <c r="I117" s="29">
        <v>4</v>
      </c>
      <c r="J117" s="12" t="s">
        <v>42</v>
      </c>
      <c r="K117" s="30">
        <v>40.858196666700003</v>
      </c>
      <c r="L117" s="30">
        <v>72.1313583333</v>
      </c>
      <c r="M117" s="14">
        <v>100</v>
      </c>
    </row>
    <row r="118" spans="1:13" ht="30" customHeight="1">
      <c r="A118" s="5" t="s">
        <v>30</v>
      </c>
      <c r="B118" s="30" t="s">
        <v>388</v>
      </c>
      <c r="C118" s="30" t="s">
        <v>220</v>
      </c>
      <c r="D118" s="27">
        <v>38125.755445300383</v>
      </c>
      <c r="E118" s="28">
        <v>25532.40122115062</v>
      </c>
      <c r="F118" s="27">
        <f t="shared" si="3"/>
        <v>12593.354224149763</v>
      </c>
      <c r="G118" s="27">
        <f t="shared" si="2"/>
        <v>33.031094274886293</v>
      </c>
      <c r="H118" s="29">
        <v>163</v>
      </c>
      <c r="I118" s="29">
        <v>4</v>
      </c>
      <c r="J118" s="12" t="s">
        <v>42</v>
      </c>
      <c r="K118" s="30">
        <v>40.881914999999999</v>
      </c>
      <c r="L118" s="30">
        <v>71.997399999999999</v>
      </c>
      <c r="M118" s="22">
        <v>160</v>
      </c>
    </row>
    <row r="119" spans="1:13" ht="30" customHeight="1">
      <c r="A119" s="5" t="s">
        <v>30</v>
      </c>
      <c r="B119" s="30" t="s">
        <v>388</v>
      </c>
      <c r="C119" s="30" t="s">
        <v>221</v>
      </c>
      <c r="D119" s="27">
        <v>34102.432783300377</v>
      </c>
      <c r="E119" s="28">
        <v>22012.433887817286</v>
      </c>
      <c r="F119" s="27">
        <f t="shared" si="3"/>
        <v>12089.998895483091</v>
      </c>
      <c r="G119" s="27">
        <f t="shared" si="2"/>
        <v>35.452012976046227</v>
      </c>
      <c r="H119" s="29">
        <v>133</v>
      </c>
      <c r="I119" s="29">
        <v>6</v>
      </c>
      <c r="J119" s="12" t="s">
        <v>22</v>
      </c>
      <c r="K119" s="30">
        <v>40.8827666667</v>
      </c>
      <c r="L119" s="30">
        <v>72.008274999999998</v>
      </c>
      <c r="M119" s="14">
        <v>250</v>
      </c>
    </row>
    <row r="120" spans="1:13" ht="30" customHeight="1">
      <c r="A120" s="5" t="s">
        <v>30</v>
      </c>
      <c r="B120" s="30" t="s">
        <v>390</v>
      </c>
      <c r="C120" s="30" t="s">
        <v>222</v>
      </c>
      <c r="D120" s="27">
        <v>25959.990343300382</v>
      </c>
      <c r="E120" s="28">
        <v>14888.68722115062</v>
      </c>
      <c r="F120" s="27">
        <f t="shared" si="3"/>
        <v>11071.303122149762</v>
      </c>
      <c r="G120" s="27">
        <f t="shared" si="2"/>
        <v>42.647562559694812</v>
      </c>
      <c r="H120" s="29">
        <v>81</v>
      </c>
      <c r="I120" s="29">
        <v>5</v>
      </c>
      <c r="J120" s="12" t="s">
        <v>22</v>
      </c>
      <c r="K120" s="30">
        <v>40.851415000000003</v>
      </c>
      <c r="L120" s="30">
        <v>72.131756666699999</v>
      </c>
      <c r="M120" s="14">
        <v>63</v>
      </c>
    </row>
    <row r="121" spans="1:13" ht="30" customHeight="1">
      <c r="A121" s="5" t="s">
        <v>30</v>
      </c>
      <c r="B121" s="30" t="s">
        <v>392</v>
      </c>
      <c r="C121" s="30" t="s">
        <v>223</v>
      </c>
      <c r="D121" s="27">
        <v>26073.52453330038</v>
      </c>
      <c r="E121" s="28">
        <v>14988.017221150621</v>
      </c>
      <c r="F121" s="27">
        <f t="shared" si="3"/>
        <v>11085.507312149759</v>
      </c>
      <c r="G121" s="27">
        <f t="shared" si="2"/>
        <v>42.516336055724487</v>
      </c>
      <c r="H121" s="29">
        <v>105</v>
      </c>
      <c r="I121" s="29">
        <v>5</v>
      </c>
      <c r="J121" s="12" t="s">
        <v>22</v>
      </c>
      <c r="K121" s="30">
        <v>40.833135628299999</v>
      </c>
      <c r="L121" s="30">
        <v>72.203557438199994</v>
      </c>
      <c r="M121" s="14">
        <v>100</v>
      </c>
    </row>
    <row r="122" spans="1:13" ht="30" customHeight="1">
      <c r="A122" s="5" t="s">
        <v>30</v>
      </c>
      <c r="B122" s="30" t="s">
        <v>392</v>
      </c>
      <c r="C122" s="30" t="s">
        <v>224</v>
      </c>
      <c r="D122" s="27">
        <v>25338.19072330038</v>
      </c>
      <c r="E122" s="28">
        <v>14344.680554483952</v>
      </c>
      <c r="F122" s="27">
        <f t="shared" si="3"/>
        <v>10993.510168816429</v>
      </c>
      <c r="G122" s="27">
        <f t="shared" si="2"/>
        <v>43.387115871328042</v>
      </c>
      <c r="H122" s="29">
        <v>83</v>
      </c>
      <c r="I122" s="29">
        <v>3</v>
      </c>
      <c r="J122" s="12" t="s">
        <v>43</v>
      </c>
      <c r="K122" s="30">
        <v>40.830279691100003</v>
      </c>
      <c r="L122" s="30">
        <v>72.204835088899998</v>
      </c>
      <c r="M122" s="14">
        <v>250</v>
      </c>
    </row>
    <row r="123" spans="1:13" ht="30" customHeight="1">
      <c r="A123" s="5" t="s">
        <v>30</v>
      </c>
      <c r="B123" s="30" t="s">
        <v>392</v>
      </c>
      <c r="C123" s="30" t="s">
        <v>225</v>
      </c>
      <c r="D123" s="27">
        <v>28481.718853300379</v>
      </c>
      <c r="E123" s="28">
        <v>17094.923887817284</v>
      </c>
      <c r="F123" s="27">
        <f t="shared" si="3"/>
        <v>11386.794965483095</v>
      </c>
      <c r="G123" s="27">
        <f t="shared" si="2"/>
        <v>39.97931102449467</v>
      </c>
      <c r="H123" s="29">
        <v>74</v>
      </c>
      <c r="I123" s="29">
        <v>4</v>
      </c>
      <c r="J123" s="12" t="s">
        <v>31</v>
      </c>
      <c r="K123" s="30">
        <v>40.838736666700001</v>
      </c>
      <c r="L123" s="30">
        <v>72.234039999999993</v>
      </c>
      <c r="M123" s="20">
        <v>180</v>
      </c>
    </row>
    <row r="124" spans="1:13" ht="30" customHeight="1">
      <c r="A124" s="5" t="s">
        <v>30</v>
      </c>
      <c r="B124" s="30" t="s">
        <v>388</v>
      </c>
      <c r="C124" s="30" t="s">
        <v>226</v>
      </c>
      <c r="D124" s="27">
        <v>30341.444623300384</v>
      </c>
      <c r="E124" s="28">
        <v>18721.980554483955</v>
      </c>
      <c r="F124" s="27">
        <f t="shared" si="3"/>
        <v>11619.464068816429</v>
      </c>
      <c r="G124" s="27">
        <f t="shared" si="2"/>
        <v>38.295685037664249</v>
      </c>
      <c r="H124" s="29">
        <v>86</v>
      </c>
      <c r="I124" s="29">
        <v>5</v>
      </c>
      <c r="J124" s="12" t="s">
        <v>31</v>
      </c>
      <c r="K124" s="30">
        <v>40.8765683333</v>
      </c>
      <c r="L124" s="30">
        <v>71.988531666699998</v>
      </c>
      <c r="M124" s="20">
        <v>400</v>
      </c>
    </row>
    <row r="125" spans="1:13" ht="30" customHeight="1">
      <c r="A125" s="5" t="s">
        <v>30</v>
      </c>
      <c r="B125" s="30" t="s">
        <v>390</v>
      </c>
      <c r="C125" s="30" t="s">
        <v>227</v>
      </c>
      <c r="D125" s="27">
        <v>25008.32092330038</v>
      </c>
      <c r="E125" s="28">
        <v>14056.080554483953</v>
      </c>
      <c r="F125" s="27">
        <f t="shared" si="3"/>
        <v>10952.240368816427</v>
      </c>
      <c r="G125" s="27">
        <f t="shared" si="2"/>
        <v>43.794385086494025</v>
      </c>
      <c r="H125" s="29">
        <v>93</v>
      </c>
      <c r="I125" s="29">
        <v>3</v>
      </c>
      <c r="J125" s="12" t="s">
        <v>44</v>
      </c>
      <c r="K125" s="30">
        <v>40.813206666600003</v>
      </c>
      <c r="L125" s="30">
        <v>72.109205000000003</v>
      </c>
      <c r="M125" s="14">
        <v>160</v>
      </c>
    </row>
    <row r="126" spans="1:13" ht="30" customHeight="1">
      <c r="A126" s="5" t="s">
        <v>30</v>
      </c>
      <c r="B126" s="30" t="s">
        <v>390</v>
      </c>
      <c r="C126" s="30" t="s">
        <v>228</v>
      </c>
      <c r="D126" s="27">
        <v>71474.463703300367</v>
      </c>
      <c r="E126" s="28">
        <v>54708.873887817281</v>
      </c>
      <c r="F126" s="27">
        <f t="shared" si="3"/>
        <v>16765.589815483087</v>
      </c>
      <c r="G126" s="27">
        <f t="shared" si="2"/>
        <v>23.456754967871031</v>
      </c>
      <c r="H126" s="29">
        <v>60</v>
      </c>
      <c r="I126" s="29">
        <v>5</v>
      </c>
      <c r="J126" s="12" t="s">
        <v>44</v>
      </c>
      <c r="K126" s="30">
        <v>40.849451666699998</v>
      </c>
      <c r="L126" s="30">
        <v>72.135064999999997</v>
      </c>
      <c r="M126" s="22">
        <v>160</v>
      </c>
    </row>
    <row r="127" spans="1:13" ht="30" customHeight="1">
      <c r="A127" s="5" t="s">
        <v>30</v>
      </c>
      <c r="B127" s="30" t="s">
        <v>390</v>
      </c>
      <c r="C127" s="30" t="s">
        <v>229</v>
      </c>
      <c r="D127" s="27">
        <v>24146.887543300381</v>
      </c>
      <c r="E127" s="28">
        <v>13302.420554483953</v>
      </c>
      <c r="F127" s="27">
        <f t="shared" si="3"/>
        <v>10844.466988816428</v>
      </c>
      <c r="G127" s="27">
        <f t="shared" si="2"/>
        <v>44.910413275292932</v>
      </c>
      <c r="H127" s="29">
        <v>38</v>
      </c>
      <c r="I127" s="29">
        <v>5</v>
      </c>
      <c r="J127" s="12" t="s">
        <v>44</v>
      </c>
      <c r="K127" s="30">
        <v>40.845351666699997</v>
      </c>
      <c r="L127" s="30">
        <v>72.155680000000004</v>
      </c>
      <c r="M127" s="14">
        <v>160</v>
      </c>
    </row>
    <row r="128" spans="1:13" ht="30" customHeight="1">
      <c r="A128" s="5" t="s">
        <v>30</v>
      </c>
      <c r="B128" s="30" t="s">
        <v>390</v>
      </c>
      <c r="C128" s="30" t="s">
        <v>230</v>
      </c>
      <c r="D128" s="27">
        <v>24231.896263300379</v>
      </c>
      <c r="E128" s="28">
        <v>13376.793887817286</v>
      </c>
      <c r="F128" s="27">
        <f t="shared" si="3"/>
        <v>10855.102375483093</v>
      </c>
      <c r="G128" s="27">
        <f t="shared" si="2"/>
        <v>44.796751593573518</v>
      </c>
      <c r="H128" s="29">
        <v>37</v>
      </c>
      <c r="I128" s="29">
        <v>4</v>
      </c>
      <c r="J128" s="12" t="s">
        <v>41</v>
      </c>
      <c r="K128" s="30">
        <v>40.847826666700001</v>
      </c>
      <c r="L128" s="30">
        <v>72.157156666700004</v>
      </c>
      <c r="M128" s="22">
        <v>160</v>
      </c>
    </row>
    <row r="129" spans="1:13" ht="30" customHeight="1">
      <c r="A129" s="5" t="s">
        <v>30</v>
      </c>
      <c r="B129" s="30" t="s">
        <v>390</v>
      </c>
      <c r="C129" s="30" t="s">
        <v>231</v>
      </c>
      <c r="D129" s="27">
        <v>26773.977793300379</v>
      </c>
      <c r="E129" s="28">
        <v>15600.837221150618</v>
      </c>
      <c r="F129" s="27">
        <f t="shared" si="3"/>
        <v>11173.140572149761</v>
      </c>
      <c r="G129" s="27">
        <f t="shared" si="2"/>
        <v>41.731343240844858</v>
      </c>
      <c r="H129" s="29">
        <v>155</v>
      </c>
      <c r="I129" s="29">
        <v>4</v>
      </c>
      <c r="J129" s="12" t="s">
        <v>41</v>
      </c>
      <c r="K129" s="30">
        <v>40.850563333300002</v>
      </c>
      <c r="L129" s="30">
        <v>72.157133333299996</v>
      </c>
      <c r="M129" s="14">
        <v>160</v>
      </c>
    </row>
    <row r="130" spans="1:13" ht="30" customHeight="1">
      <c r="A130" s="5" t="s">
        <v>30</v>
      </c>
      <c r="B130" s="30" t="s">
        <v>384</v>
      </c>
      <c r="C130" s="30" t="s">
        <v>96</v>
      </c>
      <c r="D130" s="27">
        <v>31624.36687330038</v>
      </c>
      <c r="E130" s="28">
        <v>19844.397221150622</v>
      </c>
      <c r="F130" s="27">
        <f t="shared" si="3"/>
        <v>11779.969652149757</v>
      </c>
      <c r="G130" s="27">
        <f t="shared" si="2"/>
        <v>37.249661627519487</v>
      </c>
      <c r="H130" s="29">
        <v>93</v>
      </c>
      <c r="I130" s="29">
        <v>4</v>
      </c>
      <c r="J130" s="12" t="s">
        <v>41</v>
      </c>
      <c r="K130" s="30">
        <v>40.876168333300001</v>
      </c>
      <c r="L130" s="30">
        <v>71.945710000000005</v>
      </c>
      <c r="M130" s="14">
        <v>250</v>
      </c>
    </row>
    <row r="131" spans="1:13" ht="30" customHeight="1">
      <c r="A131" s="5" t="s">
        <v>30</v>
      </c>
      <c r="B131" s="30" t="s">
        <v>392</v>
      </c>
      <c r="C131" s="30" t="s">
        <v>232</v>
      </c>
      <c r="D131" s="27">
        <v>55530.341413300383</v>
      </c>
      <c r="E131" s="28">
        <v>40759.510554483953</v>
      </c>
      <c r="F131" s="27">
        <f t="shared" si="3"/>
        <v>14770.830858816429</v>
      </c>
      <c r="G131" s="27">
        <f t="shared" ref="G131:G194" si="4">+F131*100/D131</f>
        <v>26.5995678810622</v>
      </c>
      <c r="H131" s="29">
        <v>48</v>
      </c>
      <c r="I131" s="29">
        <v>3</v>
      </c>
      <c r="J131" s="12" t="s">
        <v>41</v>
      </c>
      <c r="K131" s="30">
        <v>40.833511839099998</v>
      </c>
      <c r="L131" s="30">
        <v>72.151867640199995</v>
      </c>
      <c r="M131" s="14">
        <v>160</v>
      </c>
    </row>
    <row r="132" spans="1:13" ht="30" customHeight="1">
      <c r="A132" s="5" t="s">
        <v>30</v>
      </c>
      <c r="B132" s="30" t="s">
        <v>392</v>
      </c>
      <c r="C132" s="30" t="s">
        <v>233</v>
      </c>
      <c r="D132" s="27">
        <v>24571.462513300379</v>
      </c>
      <c r="E132" s="28">
        <v>13673.877221150618</v>
      </c>
      <c r="F132" s="27">
        <f t="shared" si="3"/>
        <v>10897.585292149761</v>
      </c>
      <c r="G132" s="27">
        <f t="shared" si="4"/>
        <v>44.350576552986887</v>
      </c>
      <c r="H132" s="29">
        <v>48</v>
      </c>
      <c r="I132" s="29">
        <v>3</v>
      </c>
      <c r="J132" s="12" t="s">
        <v>41</v>
      </c>
      <c r="K132" s="30">
        <v>40.829519256700003</v>
      </c>
      <c r="L132" s="30">
        <v>72.156100756300006</v>
      </c>
      <c r="M132" s="14">
        <v>160</v>
      </c>
    </row>
    <row r="133" spans="1:13" ht="30" customHeight="1">
      <c r="A133" s="5" t="s">
        <v>30</v>
      </c>
      <c r="B133" s="30" t="s">
        <v>388</v>
      </c>
      <c r="C133" s="30" t="s">
        <v>234</v>
      </c>
      <c r="D133" s="27">
        <v>29291.762953300378</v>
      </c>
      <c r="E133" s="28">
        <v>17803.623887817288</v>
      </c>
      <c r="F133" s="27">
        <f t="shared" ref="F133:F196" si="5">+D133-E133</f>
        <v>11488.13906548309</v>
      </c>
      <c r="G133" s="27">
        <f t="shared" si="4"/>
        <v>39.219691500981142</v>
      </c>
      <c r="H133" s="29">
        <v>111</v>
      </c>
      <c r="I133" s="29">
        <v>3</v>
      </c>
      <c r="J133" s="12" t="s">
        <v>43</v>
      </c>
      <c r="K133" s="30">
        <v>40.876078333300001</v>
      </c>
      <c r="L133" s="30">
        <v>71.987033333300005</v>
      </c>
      <c r="M133" s="14">
        <v>40</v>
      </c>
    </row>
    <row r="134" spans="1:13" ht="30" customHeight="1">
      <c r="A134" s="5" t="s">
        <v>30</v>
      </c>
      <c r="B134" s="30" t="s">
        <v>391</v>
      </c>
      <c r="C134" s="30" t="s">
        <v>235</v>
      </c>
      <c r="D134" s="27">
        <v>32280.734623300385</v>
      </c>
      <c r="E134" s="28">
        <v>20418.647221150622</v>
      </c>
      <c r="F134" s="27">
        <f t="shared" si="5"/>
        <v>11862.087402149762</v>
      </c>
      <c r="G134" s="27">
        <f t="shared" si="4"/>
        <v>36.746646383901229</v>
      </c>
      <c r="H134" s="29">
        <v>142</v>
      </c>
      <c r="I134" s="29">
        <v>5</v>
      </c>
      <c r="J134" s="12" t="s">
        <v>43</v>
      </c>
      <c r="K134" s="30">
        <v>40.846466666700003</v>
      </c>
      <c r="L134" s="30">
        <v>72.057214999999999</v>
      </c>
      <c r="M134" s="14">
        <v>160</v>
      </c>
    </row>
    <row r="135" spans="1:13" ht="30" customHeight="1">
      <c r="A135" s="5" t="s">
        <v>30</v>
      </c>
      <c r="B135" s="30" t="s">
        <v>389</v>
      </c>
      <c r="C135" s="30" t="s">
        <v>236</v>
      </c>
      <c r="D135" s="27">
        <v>29003.970793300381</v>
      </c>
      <c r="E135" s="28">
        <v>17551.837221150621</v>
      </c>
      <c r="F135" s="27">
        <f t="shared" si="5"/>
        <v>11452.13357214976</v>
      </c>
      <c r="G135" s="27">
        <f t="shared" si="4"/>
        <v>39.484709365364161</v>
      </c>
      <c r="H135" s="29">
        <v>62</v>
      </c>
      <c r="I135" s="29">
        <v>5</v>
      </c>
      <c r="J135" s="12"/>
      <c r="K135" s="30">
        <v>40.877453333299997</v>
      </c>
      <c r="L135" s="30">
        <v>72.071951666700002</v>
      </c>
      <c r="M135" s="14">
        <v>160</v>
      </c>
    </row>
    <row r="136" spans="1:13" ht="30" customHeight="1">
      <c r="A136" s="5" t="s">
        <v>30</v>
      </c>
      <c r="B136" s="30" t="s">
        <v>391</v>
      </c>
      <c r="C136" s="30" t="s">
        <v>237</v>
      </c>
      <c r="D136" s="27">
        <v>29976.60664330038</v>
      </c>
      <c r="E136" s="28">
        <v>18402.787221150618</v>
      </c>
      <c r="F136" s="27">
        <f t="shared" si="5"/>
        <v>11573.819422149762</v>
      </c>
      <c r="G136" s="27">
        <f t="shared" si="4"/>
        <v>38.609504937866113</v>
      </c>
      <c r="H136" s="29">
        <v>89</v>
      </c>
      <c r="I136" s="29">
        <v>6</v>
      </c>
      <c r="J136" s="12" t="s">
        <v>27</v>
      </c>
      <c r="K136" s="30">
        <v>40.849350000000001</v>
      </c>
      <c r="L136" s="30">
        <v>72.064971666700004</v>
      </c>
      <c r="M136" s="14">
        <v>100</v>
      </c>
    </row>
    <row r="137" spans="1:13" ht="30" customHeight="1">
      <c r="A137" s="5" t="s">
        <v>30</v>
      </c>
      <c r="B137" s="30" t="s">
        <v>391</v>
      </c>
      <c r="C137" s="30" t="s">
        <v>238</v>
      </c>
      <c r="D137" s="27">
        <v>26000.913553300379</v>
      </c>
      <c r="E137" s="28">
        <v>14924.490554483953</v>
      </c>
      <c r="F137" s="27">
        <f t="shared" si="5"/>
        <v>11076.422998816426</v>
      </c>
      <c r="G137" s="27">
        <f t="shared" si="4"/>
        <v>42.60013009200771</v>
      </c>
      <c r="H137" s="29">
        <v>38</v>
      </c>
      <c r="I137" s="29">
        <v>3</v>
      </c>
      <c r="J137" s="12" t="s">
        <v>27</v>
      </c>
      <c r="K137" s="30">
        <v>40.843751666700001</v>
      </c>
      <c r="L137" s="30">
        <v>72.084658333299998</v>
      </c>
      <c r="M137" s="14">
        <v>160</v>
      </c>
    </row>
    <row r="138" spans="1:13" ht="30" customHeight="1">
      <c r="A138" s="5" t="s">
        <v>30</v>
      </c>
      <c r="B138" s="30" t="s">
        <v>391</v>
      </c>
      <c r="C138" s="30" t="s">
        <v>239</v>
      </c>
      <c r="D138" s="27">
        <v>25921.72270330038</v>
      </c>
      <c r="E138" s="28">
        <v>14855.20722115062</v>
      </c>
      <c r="F138" s="27">
        <f t="shared" si="5"/>
        <v>11066.51548214976</v>
      </c>
      <c r="G138" s="27">
        <f t="shared" si="4"/>
        <v>42.692052564626657</v>
      </c>
      <c r="H138" s="29">
        <v>146</v>
      </c>
      <c r="I138" s="29">
        <v>4</v>
      </c>
      <c r="J138" s="12" t="s">
        <v>41</v>
      </c>
      <c r="K138" s="30">
        <v>40.822108333300001</v>
      </c>
      <c r="L138" s="30">
        <v>72.138861666699995</v>
      </c>
      <c r="M138" s="14">
        <v>400</v>
      </c>
    </row>
    <row r="139" spans="1:13" ht="30" customHeight="1">
      <c r="A139" s="5" t="s">
        <v>30</v>
      </c>
      <c r="B139" s="30" t="s">
        <v>391</v>
      </c>
      <c r="C139" s="30" t="s">
        <v>240</v>
      </c>
      <c r="D139" s="27">
        <v>28601.002333300377</v>
      </c>
      <c r="E139" s="28">
        <v>17199.283887817284</v>
      </c>
      <c r="F139" s="27">
        <f t="shared" si="5"/>
        <v>11401.718445483093</v>
      </c>
      <c r="G139" s="27">
        <f t="shared" si="4"/>
        <v>39.864751286034405</v>
      </c>
      <c r="H139" s="29">
        <v>52</v>
      </c>
      <c r="I139" s="29">
        <v>3</v>
      </c>
      <c r="J139" s="12" t="s">
        <v>42</v>
      </c>
      <c r="K139" s="30">
        <v>40.845888333300003</v>
      </c>
      <c r="L139" s="30">
        <v>72.078975</v>
      </c>
      <c r="M139" s="14">
        <v>40</v>
      </c>
    </row>
    <row r="140" spans="1:13" ht="30" customHeight="1">
      <c r="A140" s="5" t="s">
        <v>30</v>
      </c>
      <c r="B140" s="30" t="s">
        <v>391</v>
      </c>
      <c r="C140" s="30" t="s">
        <v>241</v>
      </c>
      <c r="D140" s="27">
        <v>30366.655393300382</v>
      </c>
      <c r="E140" s="28">
        <v>18744.037221150618</v>
      </c>
      <c r="F140" s="27">
        <f t="shared" si="5"/>
        <v>11622.618172149763</v>
      </c>
      <c r="G140" s="27">
        <f t="shared" si="4"/>
        <v>38.274278222665224</v>
      </c>
      <c r="H140" s="29">
        <v>136</v>
      </c>
      <c r="I140" s="29">
        <v>6</v>
      </c>
      <c r="J140" s="12" t="s">
        <v>27</v>
      </c>
      <c r="K140" s="30">
        <v>40.831020376700003</v>
      </c>
      <c r="L140" s="30">
        <v>72.119740415600006</v>
      </c>
      <c r="M140" s="14">
        <v>100</v>
      </c>
    </row>
    <row r="141" spans="1:13" ht="30" customHeight="1">
      <c r="A141" s="5" t="s">
        <v>30</v>
      </c>
      <c r="B141" s="30" t="s">
        <v>391</v>
      </c>
      <c r="C141" s="30" t="s">
        <v>242</v>
      </c>
      <c r="D141" s="27">
        <v>25853.032213300379</v>
      </c>
      <c r="E141" s="28">
        <v>14795.110554483952</v>
      </c>
      <c r="F141" s="27">
        <f t="shared" si="5"/>
        <v>11057.921658816427</v>
      </c>
      <c r="G141" s="27">
        <f t="shared" si="4"/>
        <v>42.772242604206234</v>
      </c>
      <c r="H141" s="29">
        <v>132</v>
      </c>
      <c r="I141" s="29">
        <v>4</v>
      </c>
      <c r="J141" s="12" t="s">
        <v>44</v>
      </c>
      <c r="K141" s="30">
        <v>40.8254529031</v>
      </c>
      <c r="L141" s="30">
        <v>72.125863367899996</v>
      </c>
      <c r="M141" s="14">
        <v>100</v>
      </c>
    </row>
    <row r="142" spans="1:13" ht="30" customHeight="1">
      <c r="A142" s="5" t="s">
        <v>30</v>
      </c>
      <c r="B142" s="30" t="s">
        <v>391</v>
      </c>
      <c r="C142" s="30" t="s">
        <v>243</v>
      </c>
      <c r="D142" s="27">
        <v>23901.679753300381</v>
      </c>
      <c r="E142" s="28">
        <v>13087.890554483951</v>
      </c>
      <c r="F142" s="27">
        <f t="shared" si="5"/>
        <v>10813.78919881643</v>
      </c>
      <c r="G142" s="27">
        <f t="shared" si="4"/>
        <v>45.242800131330711</v>
      </c>
      <c r="H142" s="29">
        <v>54</v>
      </c>
      <c r="I142" s="29">
        <v>3</v>
      </c>
      <c r="J142" s="12" t="s">
        <v>41</v>
      </c>
      <c r="K142" s="30">
        <v>40.8212983333</v>
      </c>
      <c r="L142" s="30">
        <v>72.128469999999993</v>
      </c>
      <c r="M142" s="14">
        <v>160</v>
      </c>
    </row>
    <row r="143" spans="1:13" ht="30" customHeight="1">
      <c r="A143" s="5" t="s">
        <v>30</v>
      </c>
      <c r="B143" s="30" t="s">
        <v>391</v>
      </c>
      <c r="C143" s="30" t="s">
        <v>244</v>
      </c>
      <c r="D143" s="27">
        <v>27029.560213300381</v>
      </c>
      <c r="E143" s="28">
        <v>15824.443887817284</v>
      </c>
      <c r="F143" s="27">
        <f t="shared" si="5"/>
        <v>11205.116325483097</v>
      </c>
      <c r="G143" s="27">
        <f t="shared" si="4"/>
        <v>41.455044910310519</v>
      </c>
      <c r="H143" s="29">
        <v>58</v>
      </c>
      <c r="I143" s="29">
        <v>3</v>
      </c>
      <c r="J143" s="12" t="s">
        <v>31</v>
      </c>
      <c r="K143" s="30">
        <v>40.817111666700001</v>
      </c>
      <c r="L143" s="30">
        <v>72.1181916667</v>
      </c>
      <c r="M143" s="14">
        <v>63</v>
      </c>
    </row>
    <row r="144" spans="1:13" ht="30" customHeight="1">
      <c r="A144" s="5" t="s">
        <v>30</v>
      </c>
      <c r="B144" s="30" t="s">
        <v>391</v>
      </c>
      <c r="C144" s="30" t="s">
        <v>245</v>
      </c>
      <c r="D144" s="27">
        <v>26734.10995330038</v>
      </c>
      <c r="E144" s="28">
        <v>15565.95722115062</v>
      </c>
      <c r="F144" s="27">
        <f t="shared" si="5"/>
        <v>11168.15273214976</v>
      </c>
      <c r="G144" s="27">
        <f t="shared" si="4"/>
        <v>41.774918827140645</v>
      </c>
      <c r="H144" s="29">
        <v>63</v>
      </c>
      <c r="I144" s="29">
        <v>6</v>
      </c>
      <c r="J144" s="12" t="s">
        <v>41</v>
      </c>
      <c r="K144" s="30">
        <v>40.820258333300004</v>
      </c>
      <c r="L144" s="30">
        <v>72.133414999999999</v>
      </c>
      <c r="M144" s="14">
        <v>100</v>
      </c>
    </row>
    <row r="145" spans="1:13" ht="30" customHeight="1">
      <c r="A145" s="5" t="s">
        <v>30</v>
      </c>
      <c r="B145" s="30" t="s">
        <v>391</v>
      </c>
      <c r="C145" s="30" t="s">
        <v>246</v>
      </c>
      <c r="D145" s="27">
        <v>26560.217743300382</v>
      </c>
      <c r="E145" s="28">
        <v>15413.820554483951</v>
      </c>
      <c r="F145" s="27">
        <f t="shared" si="5"/>
        <v>11146.397188816431</v>
      </c>
      <c r="G145" s="27">
        <f t="shared" si="4"/>
        <v>41.966512837147306</v>
      </c>
      <c r="H145" s="29">
        <v>33</v>
      </c>
      <c r="I145" s="29">
        <v>6</v>
      </c>
      <c r="J145" s="12" t="s">
        <v>22</v>
      </c>
      <c r="K145" s="30">
        <v>40.8469716667</v>
      </c>
      <c r="L145" s="30">
        <v>72.074391666699995</v>
      </c>
      <c r="M145" s="14">
        <v>160</v>
      </c>
    </row>
    <row r="146" spans="1:13" ht="30" customHeight="1">
      <c r="A146" s="5" t="s">
        <v>30</v>
      </c>
      <c r="B146" s="30" t="s">
        <v>392</v>
      </c>
      <c r="C146" s="30" t="s">
        <v>247</v>
      </c>
      <c r="D146" s="27">
        <v>25788.887053300379</v>
      </c>
      <c r="E146" s="28">
        <v>14738.990554483953</v>
      </c>
      <c r="F146" s="27">
        <f t="shared" si="5"/>
        <v>11049.896498816426</v>
      </c>
      <c r="G146" s="27">
        <f t="shared" si="4"/>
        <v>42.847512093013314</v>
      </c>
      <c r="H146" s="29">
        <v>28</v>
      </c>
      <c r="I146" s="29">
        <v>6</v>
      </c>
      <c r="J146" s="12" t="s">
        <v>31</v>
      </c>
      <c r="K146" s="30">
        <v>40.820270000000001</v>
      </c>
      <c r="L146" s="30">
        <v>72.169821666700003</v>
      </c>
      <c r="M146" s="14">
        <v>160</v>
      </c>
    </row>
    <row r="147" spans="1:13" ht="30" customHeight="1">
      <c r="A147" s="5" t="s">
        <v>45</v>
      </c>
      <c r="B147" s="30" t="s">
        <v>392</v>
      </c>
      <c r="C147" s="30" t="s">
        <v>248</v>
      </c>
      <c r="D147" s="27">
        <v>24672.915193300381</v>
      </c>
      <c r="E147" s="28">
        <v>13762.63722115062</v>
      </c>
      <c r="F147" s="27">
        <f t="shared" si="5"/>
        <v>10910.277972149761</v>
      </c>
      <c r="G147" s="27">
        <f t="shared" si="4"/>
        <v>44.219654980666043</v>
      </c>
      <c r="H147" s="29">
        <v>57</v>
      </c>
      <c r="I147" s="29">
        <v>3</v>
      </c>
      <c r="J147" s="12" t="s">
        <v>46</v>
      </c>
      <c r="K147" s="30">
        <v>40.834253333299998</v>
      </c>
      <c r="L147" s="30">
        <v>72.203491666700003</v>
      </c>
      <c r="M147" s="20">
        <v>100</v>
      </c>
    </row>
    <row r="148" spans="1:13" ht="30" customHeight="1">
      <c r="A148" s="5" t="s">
        <v>45</v>
      </c>
      <c r="B148" s="30" t="s">
        <v>392</v>
      </c>
      <c r="C148" s="30" t="s">
        <v>249</v>
      </c>
      <c r="D148" s="27">
        <v>34670.40472330038</v>
      </c>
      <c r="E148" s="28">
        <v>22509.347221150623</v>
      </c>
      <c r="F148" s="27">
        <f t="shared" si="5"/>
        <v>12161.057502149757</v>
      </c>
      <c r="G148" s="27">
        <f t="shared" si="4"/>
        <v>35.076191348804393</v>
      </c>
      <c r="H148" s="29">
        <v>98</v>
      </c>
      <c r="I148" s="29">
        <v>6</v>
      </c>
      <c r="J148" s="12" t="s">
        <v>46</v>
      </c>
      <c r="K148" s="30">
        <v>40.837441666700002</v>
      </c>
      <c r="L148" s="30">
        <v>72.2019633333</v>
      </c>
      <c r="M148" s="20">
        <v>100</v>
      </c>
    </row>
    <row r="149" spans="1:13" ht="30" customHeight="1">
      <c r="A149" s="5" t="s">
        <v>45</v>
      </c>
      <c r="B149" s="30" t="s">
        <v>392</v>
      </c>
      <c r="C149" s="30" t="s">
        <v>250</v>
      </c>
      <c r="D149" s="27">
        <v>33124.539133300379</v>
      </c>
      <c r="E149" s="28">
        <v>21156.883887817286</v>
      </c>
      <c r="F149" s="27">
        <f t="shared" si="5"/>
        <v>11967.655245483093</v>
      </c>
      <c r="G149" s="27">
        <f t="shared" si="4"/>
        <v>36.129273217425407</v>
      </c>
      <c r="H149" s="29">
        <v>114</v>
      </c>
      <c r="I149" s="29">
        <v>3</v>
      </c>
      <c r="J149" s="12" t="s">
        <v>47</v>
      </c>
      <c r="K149" s="30">
        <v>40.832535</v>
      </c>
      <c r="L149" s="30">
        <v>72.175714999999997</v>
      </c>
      <c r="M149" s="20">
        <v>160</v>
      </c>
    </row>
    <row r="150" spans="1:13" ht="30" customHeight="1">
      <c r="A150" s="5" t="s">
        <v>45</v>
      </c>
      <c r="B150" s="30" t="s">
        <v>385</v>
      </c>
      <c r="C150" s="30" t="s">
        <v>251</v>
      </c>
      <c r="D150" s="27">
        <v>29226.425263300378</v>
      </c>
      <c r="E150" s="28">
        <v>17746.460554483951</v>
      </c>
      <c r="F150" s="27">
        <f t="shared" si="5"/>
        <v>11479.964708816427</v>
      </c>
      <c r="G150" s="27">
        <f t="shared" si="4"/>
        <v>39.279400766236776</v>
      </c>
      <c r="H150" s="29">
        <v>65</v>
      </c>
      <c r="I150" s="29">
        <v>3</v>
      </c>
      <c r="J150" s="12" t="s">
        <v>47</v>
      </c>
      <c r="K150" s="30">
        <v>40.862508333299999</v>
      </c>
      <c r="L150" s="30">
        <v>72.001638333299994</v>
      </c>
      <c r="M150" s="20">
        <v>63</v>
      </c>
    </row>
    <row r="151" spans="1:13" ht="30" customHeight="1">
      <c r="A151" s="5" t="s">
        <v>45</v>
      </c>
      <c r="B151" s="30" t="s">
        <v>387</v>
      </c>
      <c r="C151" s="30" t="s">
        <v>252</v>
      </c>
      <c r="D151" s="27">
        <v>29429.429683300383</v>
      </c>
      <c r="E151" s="28">
        <v>17924.067221150621</v>
      </c>
      <c r="F151" s="27">
        <f t="shared" si="5"/>
        <v>11505.362462149762</v>
      </c>
      <c r="G151" s="27">
        <f t="shared" si="4"/>
        <v>39.094751702505597</v>
      </c>
      <c r="H151" s="29">
        <v>78</v>
      </c>
      <c r="I151" s="29">
        <v>3</v>
      </c>
      <c r="J151" s="12" t="s">
        <v>46</v>
      </c>
      <c r="K151" s="30">
        <v>40.881864999999998</v>
      </c>
      <c r="L151" s="30">
        <v>71.974893333300002</v>
      </c>
      <c r="M151" s="20">
        <v>250</v>
      </c>
    </row>
    <row r="152" spans="1:13" ht="30" customHeight="1">
      <c r="A152" s="5" t="s">
        <v>45</v>
      </c>
      <c r="B152" s="30" t="s">
        <v>387</v>
      </c>
      <c r="C152" s="30" t="s">
        <v>253</v>
      </c>
      <c r="D152" s="27">
        <v>27674.635123300381</v>
      </c>
      <c r="E152" s="28">
        <v>16388.813887817287</v>
      </c>
      <c r="F152" s="27">
        <f t="shared" si="5"/>
        <v>11285.821235483094</v>
      </c>
      <c r="G152" s="27">
        <f t="shared" si="4"/>
        <v>40.780379525152654</v>
      </c>
      <c r="H152" s="29">
        <v>50</v>
      </c>
      <c r="I152" s="29">
        <v>3</v>
      </c>
      <c r="J152" s="12" t="s">
        <v>47</v>
      </c>
      <c r="K152" s="30">
        <v>40.871471666700003</v>
      </c>
      <c r="L152" s="30">
        <v>71.970541666700001</v>
      </c>
      <c r="M152" s="20">
        <v>63</v>
      </c>
    </row>
    <row r="153" spans="1:13" ht="30" customHeight="1">
      <c r="A153" s="5" t="s">
        <v>45</v>
      </c>
      <c r="B153" s="30" t="s">
        <v>391</v>
      </c>
      <c r="C153" s="30" t="s">
        <v>254</v>
      </c>
      <c r="D153" s="27">
        <v>34031.494393300381</v>
      </c>
      <c r="E153" s="28">
        <v>21950.370554483954</v>
      </c>
      <c r="F153" s="27">
        <f t="shared" si="5"/>
        <v>12081.123838816427</v>
      </c>
      <c r="G153" s="27">
        <f t="shared" si="4"/>
        <v>35.499833475413823</v>
      </c>
      <c r="H153" s="29">
        <v>135</v>
      </c>
      <c r="I153" s="29">
        <v>6</v>
      </c>
      <c r="J153" s="12" t="s">
        <v>47</v>
      </c>
      <c r="K153" s="30">
        <v>40.847968333300003</v>
      </c>
      <c r="L153" s="30">
        <v>72.039503333300004</v>
      </c>
      <c r="M153" s="20">
        <v>100</v>
      </c>
    </row>
    <row r="154" spans="1:13" ht="30" customHeight="1">
      <c r="A154" s="5" t="s">
        <v>45</v>
      </c>
      <c r="B154" s="30" t="s">
        <v>391</v>
      </c>
      <c r="C154" s="30" t="s">
        <v>255</v>
      </c>
      <c r="D154" s="27">
        <v>27545.064643300379</v>
      </c>
      <c r="E154" s="28">
        <v>16275.453887817286</v>
      </c>
      <c r="F154" s="27">
        <f t="shared" si="5"/>
        <v>11269.610755483092</v>
      </c>
      <c r="G154" s="27">
        <f t="shared" si="4"/>
        <v>40.913357443233053</v>
      </c>
      <c r="H154" s="29">
        <v>89</v>
      </c>
      <c r="I154" s="29">
        <v>3</v>
      </c>
      <c r="J154" s="12" t="s">
        <v>47</v>
      </c>
      <c r="K154" s="30">
        <v>40.817636666699997</v>
      </c>
      <c r="L154" s="30">
        <v>72.128388333299995</v>
      </c>
      <c r="M154" s="20">
        <v>100</v>
      </c>
    </row>
    <row r="155" spans="1:13" ht="30" customHeight="1">
      <c r="A155" s="5" t="s">
        <v>45</v>
      </c>
      <c r="B155" s="30" t="s">
        <v>390</v>
      </c>
      <c r="C155" s="30" t="s">
        <v>256</v>
      </c>
      <c r="D155" s="27">
        <v>33533.763613300383</v>
      </c>
      <c r="E155" s="28">
        <v>21514.910554483955</v>
      </c>
      <c r="F155" s="27">
        <f t="shared" si="5"/>
        <v>12018.853058816429</v>
      </c>
      <c r="G155" s="27">
        <f t="shared" si="4"/>
        <v>35.841050224524842</v>
      </c>
      <c r="H155" s="29">
        <v>98</v>
      </c>
      <c r="I155" s="29">
        <v>3</v>
      </c>
      <c r="J155" s="12" t="s">
        <v>48</v>
      </c>
      <c r="K155" s="30">
        <v>40.863979999999998</v>
      </c>
      <c r="L155" s="30">
        <v>72.082644999999999</v>
      </c>
      <c r="M155" s="20">
        <v>160</v>
      </c>
    </row>
    <row r="156" spans="1:13" ht="30" customHeight="1">
      <c r="A156" s="5" t="s">
        <v>45</v>
      </c>
      <c r="B156" s="30" t="s">
        <v>388</v>
      </c>
      <c r="C156" s="30" t="s">
        <v>257</v>
      </c>
      <c r="D156" s="27">
        <v>50795.406763300372</v>
      </c>
      <c r="E156" s="28">
        <v>36616.960554483951</v>
      </c>
      <c r="F156" s="27">
        <f t="shared" si="5"/>
        <v>14178.446208816422</v>
      </c>
      <c r="G156" s="27">
        <f t="shared" si="4"/>
        <v>27.912851008135512</v>
      </c>
      <c r="H156" s="29">
        <v>114</v>
      </c>
      <c r="I156" s="29">
        <v>3</v>
      </c>
      <c r="J156" s="12" t="s">
        <v>48</v>
      </c>
      <c r="K156" s="30">
        <v>40.869881666700003</v>
      </c>
      <c r="L156" s="30">
        <v>71.981340000000003</v>
      </c>
      <c r="M156" s="20">
        <v>250</v>
      </c>
    </row>
    <row r="157" spans="1:13" ht="30" customHeight="1">
      <c r="A157" s="5" t="s">
        <v>45</v>
      </c>
      <c r="B157" s="30" t="s">
        <v>387</v>
      </c>
      <c r="C157" s="30" t="s">
        <v>258</v>
      </c>
      <c r="D157" s="27">
        <v>26872.439623300379</v>
      </c>
      <c r="E157" s="28">
        <v>15686.980554483955</v>
      </c>
      <c r="F157" s="27">
        <f t="shared" si="5"/>
        <v>11185.459068816424</v>
      </c>
      <c r="G157" s="27">
        <f t="shared" si="4"/>
        <v>41.624278352151585</v>
      </c>
      <c r="H157" s="29">
        <v>63</v>
      </c>
      <c r="I157" s="29">
        <v>3</v>
      </c>
      <c r="J157" s="12" t="s">
        <v>47</v>
      </c>
      <c r="K157" s="30">
        <v>40.883203333300003</v>
      </c>
      <c r="L157" s="30">
        <v>71.969184999999996</v>
      </c>
      <c r="M157" s="14">
        <v>100</v>
      </c>
    </row>
    <row r="158" spans="1:13" ht="30" customHeight="1">
      <c r="A158" s="5" t="s">
        <v>45</v>
      </c>
      <c r="B158" s="30" t="s">
        <v>389</v>
      </c>
      <c r="C158" s="30" t="s">
        <v>259</v>
      </c>
      <c r="D158" s="27">
        <v>26349.684763300382</v>
      </c>
      <c r="E158" s="28">
        <v>15229.627221150618</v>
      </c>
      <c r="F158" s="27">
        <f t="shared" si="5"/>
        <v>11120.057542149763</v>
      </c>
      <c r="G158" s="27">
        <f t="shared" si="4"/>
        <v>42.201861775734358</v>
      </c>
      <c r="H158" s="29">
        <v>29</v>
      </c>
      <c r="I158" s="29">
        <v>3</v>
      </c>
      <c r="J158" s="12" t="s">
        <v>49</v>
      </c>
      <c r="K158" s="30">
        <v>40.877465000000001</v>
      </c>
      <c r="L158" s="30">
        <v>72.08811</v>
      </c>
      <c r="M158" s="14">
        <v>250</v>
      </c>
    </row>
    <row r="159" spans="1:13" ht="30" customHeight="1">
      <c r="A159" s="5" t="s">
        <v>45</v>
      </c>
      <c r="B159" s="30" t="s">
        <v>387</v>
      </c>
      <c r="C159" s="30" t="s">
        <v>260</v>
      </c>
      <c r="D159" s="27">
        <v>25857.131773300382</v>
      </c>
      <c r="E159" s="28">
        <v>14798.697221150618</v>
      </c>
      <c r="F159" s="27">
        <f t="shared" si="5"/>
        <v>11058.434552149763</v>
      </c>
      <c r="G159" s="27">
        <f t="shared" si="4"/>
        <v>42.767444777338021</v>
      </c>
      <c r="H159" s="29">
        <v>47</v>
      </c>
      <c r="I159" s="29">
        <v>3</v>
      </c>
      <c r="J159" s="12" t="s">
        <v>20</v>
      </c>
      <c r="K159" s="30">
        <v>40.886789999999998</v>
      </c>
      <c r="L159" s="30">
        <v>71.967898333299999</v>
      </c>
      <c r="M159" s="14">
        <v>100</v>
      </c>
    </row>
    <row r="160" spans="1:13" ht="30" customHeight="1">
      <c r="A160" s="5" t="s">
        <v>45</v>
      </c>
      <c r="B160" s="30" t="s">
        <v>391</v>
      </c>
      <c r="C160" s="30" t="s">
        <v>261</v>
      </c>
      <c r="D160" s="27">
        <v>29227.541593300382</v>
      </c>
      <c r="E160" s="28">
        <v>17747.43722115062</v>
      </c>
      <c r="F160" s="27">
        <f t="shared" si="5"/>
        <v>11480.104372149763</v>
      </c>
      <c r="G160" s="27">
        <f t="shared" si="4"/>
        <v>39.2783783593392</v>
      </c>
      <c r="H160" s="29">
        <v>70</v>
      </c>
      <c r="I160" s="29">
        <v>4</v>
      </c>
      <c r="J160" s="12" t="s">
        <v>48</v>
      </c>
      <c r="K160" s="30">
        <v>40.813769904799997</v>
      </c>
      <c r="L160" s="30">
        <v>72.127671415400002</v>
      </c>
      <c r="M160" s="14">
        <v>100</v>
      </c>
    </row>
    <row r="161" spans="1:13" ht="30" customHeight="1">
      <c r="A161" s="5" t="s">
        <v>45</v>
      </c>
      <c r="B161" s="30" t="s">
        <v>387</v>
      </c>
      <c r="C161" s="30" t="s">
        <v>262</v>
      </c>
      <c r="D161" s="27">
        <v>25999.04284330038</v>
      </c>
      <c r="E161" s="28">
        <v>14922.853887817288</v>
      </c>
      <c r="F161" s="27">
        <f t="shared" si="5"/>
        <v>11076.188955483092</v>
      </c>
      <c r="G161" s="27">
        <f t="shared" si="4"/>
        <v>42.602295100787849</v>
      </c>
      <c r="H161" s="29">
        <v>142</v>
      </c>
      <c r="I161" s="29">
        <v>4</v>
      </c>
      <c r="J161" s="12" t="s">
        <v>29</v>
      </c>
      <c r="K161" s="30">
        <v>40.868474999999997</v>
      </c>
      <c r="L161" s="30">
        <v>71.973686666700004</v>
      </c>
      <c r="M161" s="14">
        <v>100</v>
      </c>
    </row>
    <row r="162" spans="1:13" ht="30" customHeight="1">
      <c r="A162" s="5" t="s">
        <v>45</v>
      </c>
      <c r="B162" s="30" t="s">
        <v>389</v>
      </c>
      <c r="C162" s="30" t="s">
        <v>263</v>
      </c>
      <c r="D162" s="27">
        <v>25033.525043300382</v>
      </c>
      <c r="E162" s="28">
        <v>13686.055554483954</v>
      </c>
      <c r="F162" s="27">
        <f t="shared" si="5"/>
        <v>11347.469488816429</v>
      </c>
      <c r="G162" s="27">
        <f t="shared" si="4"/>
        <v>45.329091564966419</v>
      </c>
      <c r="H162" s="29">
        <v>223</v>
      </c>
      <c r="I162" s="29">
        <v>5</v>
      </c>
      <c r="J162" s="12" t="s">
        <v>46</v>
      </c>
      <c r="K162" s="30">
        <v>40.877846666700002</v>
      </c>
      <c r="L162" s="30">
        <v>72.089301666699996</v>
      </c>
      <c r="M162" s="14">
        <v>100</v>
      </c>
    </row>
    <row r="163" spans="1:13" ht="30" customHeight="1">
      <c r="A163" s="5" t="s">
        <v>30</v>
      </c>
      <c r="B163" s="30" t="s">
        <v>392</v>
      </c>
      <c r="C163" s="30" t="s">
        <v>264</v>
      </c>
      <c r="D163" s="27">
        <v>29482.906063300383</v>
      </c>
      <c r="E163" s="28">
        <v>17587.750387817287</v>
      </c>
      <c r="F163" s="27">
        <f t="shared" si="5"/>
        <v>11895.155675483096</v>
      </c>
      <c r="G163" s="27">
        <f t="shared" si="4"/>
        <v>40.345940288056958</v>
      </c>
      <c r="H163" s="29">
        <v>81</v>
      </c>
      <c r="I163" s="29">
        <v>4</v>
      </c>
      <c r="J163" s="12" t="s">
        <v>36</v>
      </c>
      <c r="K163" s="30">
        <v>40.820733333299998</v>
      </c>
      <c r="L163" s="30">
        <v>72.163296666700006</v>
      </c>
      <c r="M163" s="20">
        <v>63</v>
      </c>
    </row>
    <row r="164" spans="1:13" ht="30" customHeight="1">
      <c r="A164" s="5" t="s">
        <v>30</v>
      </c>
      <c r="B164" s="30" t="s">
        <v>391</v>
      </c>
      <c r="C164" s="30" t="s">
        <v>265</v>
      </c>
      <c r="D164" s="27">
        <v>26028.084213300383</v>
      </c>
      <c r="E164" s="28">
        <v>14778.542554483953</v>
      </c>
      <c r="F164" s="27">
        <f t="shared" si="5"/>
        <v>11249.54165881643</v>
      </c>
      <c r="G164" s="27">
        <f t="shared" si="4"/>
        <v>43.220782469529205</v>
      </c>
      <c r="H164" s="29">
        <v>68</v>
      </c>
      <c r="I164" s="29">
        <v>4</v>
      </c>
      <c r="J164" s="12" t="s">
        <v>36</v>
      </c>
      <c r="K164" s="30">
        <v>40.852661666700001</v>
      </c>
      <c r="L164" s="30">
        <v>72.0707816667</v>
      </c>
      <c r="M164" s="20">
        <v>100</v>
      </c>
    </row>
    <row r="165" spans="1:13" ht="30" customHeight="1">
      <c r="A165" s="5" t="s">
        <v>30</v>
      </c>
      <c r="B165" s="30" t="s">
        <v>388</v>
      </c>
      <c r="C165" s="30" t="s">
        <v>266</v>
      </c>
      <c r="D165" s="27">
        <v>25907.277813300378</v>
      </c>
      <c r="E165" s="28">
        <v>14454.337721150621</v>
      </c>
      <c r="F165" s="27">
        <f t="shared" si="5"/>
        <v>11452.940092149756</v>
      </c>
      <c r="G165" s="27">
        <f t="shared" si="4"/>
        <v>44.207423777537919</v>
      </c>
      <c r="H165" s="29">
        <v>90</v>
      </c>
      <c r="I165" s="29">
        <v>3</v>
      </c>
      <c r="J165" s="12" t="s">
        <v>36</v>
      </c>
      <c r="K165" s="30">
        <v>40.877846666700002</v>
      </c>
      <c r="L165" s="30">
        <v>72.000298333299995</v>
      </c>
      <c r="M165" s="20">
        <v>100</v>
      </c>
    </row>
    <row r="166" spans="1:13" ht="30" customHeight="1">
      <c r="A166" s="5" t="s">
        <v>30</v>
      </c>
      <c r="B166" s="30" t="s">
        <v>385</v>
      </c>
      <c r="C166" s="30" t="s">
        <v>267</v>
      </c>
      <c r="D166" s="27">
        <v>31512.439223300382</v>
      </c>
      <c r="E166" s="28">
        <v>19356.958721150622</v>
      </c>
      <c r="F166" s="27">
        <f t="shared" si="5"/>
        <v>12155.48050214976</v>
      </c>
      <c r="G166" s="27">
        <f t="shared" si="4"/>
        <v>38.573594433660872</v>
      </c>
      <c r="H166" s="29">
        <v>109</v>
      </c>
      <c r="I166" s="29">
        <v>3</v>
      </c>
      <c r="J166" s="12" t="s">
        <v>36</v>
      </c>
      <c r="K166" s="30">
        <v>40.869096666700003</v>
      </c>
      <c r="L166" s="30">
        <v>71.993186666699998</v>
      </c>
      <c r="M166" s="20">
        <v>160</v>
      </c>
    </row>
    <row r="167" spans="1:13" ht="30" customHeight="1">
      <c r="A167" s="5" t="s">
        <v>30</v>
      </c>
      <c r="B167" s="30" t="s">
        <v>390</v>
      </c>
      <c r="C167" s="30" t="s">
        <v>268</v>
      </c>
      <c r="D167" s="27">
        <v>21451.274573300379</v>
      </c>
      <c r="E167" s="28">
        <v>10537.899221150621</v>
      </c>
      <c r="F167" s="27">
        <f t="shared" si="5"/>
        <v>10913.375352149758</v>
      </c>
      <c r="G167" s="27">
        <f t="shared" si="4"/>
        <v>50.875183732593868</v>
      </c>
      <c r="H167" s="29">
        <v>67</v>
      </c>
      <c r="I167" s="29">
        <v>3</v>
      </c>
      <c r="J167" s="12" t="s">
        <v>50</v>
      </c>
      <c r="K167" s="30">
        <v>40.859043333300001</v>
      </c>
      <c r="L167" s="30">
        <v>72.065916666700005</v>
      </c>
      <c r="M167" s="20">
        <v>250</v>
      </c>
    </row>
    <row r="168" spans="1:13" ht="30" customHeight="1">
      <c r="A168" s="5" t="s">
        <v>30</v>
      </c>
      <c r="B168" s="30" t="s">
        <v>389</v>
      </c>
      <c r="C168" s="30" t="s">
        <v>269</v>
      </c>
      <c r="D168" s="27">
        <v>28192.643003300382</v>
      </c>
      <c r="E168" s="28">
        <v>16354.675887817288</v>
      </c>
      <c r="F168" s="27">
        <f t="shared" si="5"/>
        <v>11837.967115483094</v>
      </c>
      <c r="G168" s="27">
        <f t="shared" si="4"/>
        <v>41.989561298304942</v>
      </c>
      <c r="H168" s="29">
        <v>132</v>
      </c>
      <c r="I168" s="29">
        <v>3</v>
      </c>
      <c r="J168" s="12" t="s">
        <v>50</v>
      </c>
      <c r="K168" s="30">
        <v>40.880443333300001</v>
      </c>
      <c r="L168" s="30">
        <v>72.033211666699998</v>
      </c>
      <c r="M168" s="20">
        <v>400</v>
      </c>
    </row>
    <row r="169" spans="1:13" ht="30" customHeight="1">
      <c r="A169" s="5" t="s">
        <v>30</v>
      </c>
      <c r="B169" s="30" t="s">
        <v>388</v>
      </c>
      <c r="C169" s="30" t="s">
        <v>270</v>
      </c>
      <c r="D169" s="27">
        <v>26351.522663300377</v>
      </c>
      <c r="E169" s="28">
        <v>14604.462554483953</v>
      </c>
      <c r="F169" s="27">
        <f t="shared" si="5"/>
        <v>11747.060108816424</v>
      </c>
      <c r="G169" s="27">
        <f t="shared" si="4"/>
        <v>44.578297273031936</v>
      </c>
      <c r="H169" s="29">
        <v>82</v>
      </c>
      <c r="I169" s="29">
        <v>4</v>
      </c>
      <c r="J169" s="12" t="s">
        <v>50</v>
      </c>
      <c r="K169" s="30">
        <v>40.874026666600002</v>
      </c>
      <c r="L169" s="30">
        <v>72.094549999700007</v>
      </c>
      <c r="M169" s="20">
        <v>160</v>
      </c>
    </row>
    <row r="170" spans="1:13" ht="30" customHeight="1">
      <c r="A170" s="5" t="s">
        <v>30</v>
      </c>
      <c r="B170" s="30" t="s">
        <v>388</v>
      </c>
      <c r="C170" s="30" t="s">
        <v>271</v>
      </c>
      <c r="D170" s="27">
        <v>21889.479683300378</v>
      </c>
      <c r="E170" s="28">
        <v>10607.769221150616</v>
      </c>
      <c r="F170" s="27">
        <f t="shared" si="5"/>
        <v>11281.710462149762</v>
      </c>
      <c r="G170" s="27">
        <f t="shared" si="4"/>
        <v>51.539418137730557</v>
      </c>
      <c r="H170" s="29">
        <v>52</v>
      </c>
      <c r="I170" s="29">
        <v>4</v>
      </c>
      <c r="J170" s="12" t="s">
        <v>37</v>
      </c>
      <c r="K170" s="30">
        <v>40.877225000000003</v>
      </c>
      <c r="L170" s="30">
        <v>71.997230000000002</v>
      </c>
      <c r="M170" s="23">
        <v>100</v>
      </c>
    </row>
    <row r="171" spans="1:13" ht="30" customHeight="1">
      <c r="A171" s="5" t="s">
        <v>30</v>
      </c>
      <c r="B171" s="30" t="s">
        <v>388</v>
      </c>
      <c r="C171" s="30" t="s">
        <v>272</v>
      </c>
      <c r="D171" s="27">
        <v>26377.211183300384</v>
      </c>
      <c r="E171" s="28">
        <v>14869.965887817285</v>
      </c>
      <c r="F171" s="27">
        <f t="shared" si="5"/>
        <v>11507.245295483099</v>
      </c>
      <c r="G171" s="27">
        <f t="shared" si="4"/>
        <v>43.62570862976002</v>
      </c>
      <c r="H171" s="29">
        <v>109</v>
      </c>
      <c r="I171" s="29">
        <v>5</v>
      </c>
      <c r="J171" s="12" t="s">
        <v>37</v>
      </c>
      <c r="K171" s="30">
        <v>40.878791666700003</v>
      </c>
      <c r="L171" s="30">
        <v>72.014080000000007</v>
      </c>
      <c r="M171" s="20">
        <v>100</v>
      </c>
    </row>
    <row r="172" spans="1:13" ht="30" customHeight="1">
      <c r="A172" s="5" t="s">
        <v>30</v>
      </c>
      <c r="B172" s="30" t="s">
        <v>384</v>
      </c>
      <c r="C172" s="30" t="s">
        <v>100</v>
      </c>
      <c r="D172" s="27">
        <v>28001.967839300378</v>
      </c>
      <c r="E172" s="28">
        <v>16424.16272115062</v>
      </c>
      <c r="F172" s="27">
        <f t="shared" si="5"/>
        <v>11577.805118149758</v>
      </c>
      <c r="G172" s="27">
        <f t="shared" si="4"/>
        <v>41.346398169561731</v>
      </c>
      <c r="H172" s="29">
        <v>81</v>
      </c>
      <c r="I172" s="29">
        <v>4</v>
      </c>
      <c r="J172" s="12" t="s">
        <v>37</v>
      </c>
      <c r="K172" s="30">
        <v>40.879103333300002</v>
      </c>
      <c r="L172" s="30">
        <v>71.946520000000007</v>
      </c>
      <c r="M172" s="20">
        <v>100</v>
      </c>
    </row>
    <row r="173" spans="1:13" ht="30" customHeight="1">
      <c r="A173" s="5" t="s">
        <v>13</v>
      </c>
      <c r="B173" s="30" t="s">
        <v>389</v>
      </c>
      <c r="C173" s="30" t="s">
        <v>273</v>
      </c>
      <c r="D173" s="27">
        <v>26227.763103300382</v>
      </c>
      <c r="E173" s="28">
        <v>14875.13322115062</v>
      </c>
      <c r="F173" s="27">
        <f t="shared" si="5"/>
        <v>11352.629882149762</v>
      </c>
      <c r="G173" s="27">
        <f t="shared" si="4"/>
        <v>43.284781235198814</v>
      </c>
      <c r="H173" s="29">
        <v>94</v>
      </c>
      <c r="I173" s="29">
        <v>5</v>
      </c>
      <c r="J173" s="12"/>
      <c r="K173" s="30">
        <v>40.867316666699999</v>
      </c>
      <c r="L173" s="30">
        <v>72.0448633333</v>
      </c>
      <c r="M173" s="14">
        <v>400</v>
      </c>
    </row>
    <row r="174" spans="1:13" ht="30" customHeight="1">
      <c r="A174" s="5" t="s">
        <v>13</v>
      </c>
      <c r="B174" s="30" t="s">
        <v>391</v>
      </c>
      <c r="C174" s="30" t="s">
        <v>274</v>
      </c>
      <c r="D174" s="27">
        <v>26556.410623300377</v>
      </c>
      <c r="E174" s="28">
        <v>15025.463554483951</v>
      </c>
      <c r="F174" s="27">
        <f t="shared" si="5"/>
        <v>11530.947068816426</v>
      </c>
      <c r="G174" s="27">
        <f t="shared" si="4"/>
        <v>43.420578301719992</v>
      </c>
      <c r="H174" s="29">
        <v>68</v>
      </c>
      <c r="I174" s="29">
        <v>8</v>
      </c>
      <c r="J174" s="12" t="s">
        <v>23</v>
      </c>
      <c r="K174" s="30">
        <v>40.821199999999997</v>
      </c>
      <c r="L174" s="30">
        <v>72.145963333300003</v>
      </c>
      <c r="M174" s="14">
        <v>100</v>
      </c>
    </row>
    <row r="175" spans="1:13" ht="30" customHeight="1">
      <c r="A175" s="5" t="s">
        <v>13</v>
      </c>
      <c r="B175" s="30" t="s">
        <v>391</v>
      </c>
      <c r="C175" s="30" t="s">
        <v>275</v>
      </c>
      <c r="D175" s="27">
        <v>29256.046883300383</v>
      </c>
      <c r="E175" s="28">
        <v>17384.785554483955</v>
      </c>
      <c r="F175" s="27">
        <f t="shared" si="5"/>
        <v>11871.261328816428</v>
      </c>
      <c r="G175" s="27">
        <f t="shared" si="4"/>
        <v>40.577120265666004</v>
      </c>
      <c r="H175" s="29">
        <v>145</v>
      </c>
      <c r="I175" s="29">
        <v>6</v>
      </c>
      <c r="J175" s="12" t="s">
        <v>40</v>
      </c>
      <c r="K175" s="30">
        <v>40.853495000000002</v>
      </c>
      <c r="L175" s="30">
        <v>72.061329999999998</v>
      </c>
      <c r="M175" s="20">
        <v>250</v>
      </c>
    </row>
    <row r="176" spans="1:13" ht="30" customHeight="1">
      <c r="A176" s="5" t="s">
        <v>13</v>
      </c>
      <c r="B176" s="30" t="s">
        <v>390</v>
      </c>
      <c r="C176" s="30" t="s">
        <v>276</v>
      </c>
      <c r="D176" s="27">
        <v>26025.649623300378</v>
      </c>
      <c r="E176" s="28">
        <v>14776.412554483952</v>
      </c>
      <c r="F176" s="27">
        <f t="shared" si="5"/>
        <v>11249.237068816426</v>
      </c>
      <c r="G176" s="27">
        <f t="shared" si="4"/>
        <v>43.223655246419483</v>
      </c>
      <c r="H176" s="29">
        <v>79</v>
      </c>
      <c r="I176" s="29">
        <v>3</v>
      </c>
      <c r="J176" s="12" t="s">
        <v>40</v>
      </c>
      <c r="K176" s="30">
        <v>40.8542466667</v>
      </c>
      <c r="L176" s="30">
        <v>72.141778333299996</v>
      </c>
      <c r="M176" s="21">
        <v>160</v>
      </c>
    </row>
    <row r="177" spans="1:13" ht="30" customHeight="1">
      <c r="A177" s="5" t="s">
        <v>13</v>
      </c>
      <c r="B177" s="30" t="s">
        <v>390</v>
      </c>
      <c r="C177" s="30" t="s">
        <v>277</v>
      </c>
      <c r="D177" s="27">
        <v>24840.839963300379</v>
      </c>
      <c r="E177" s="28">
        <v>13523.88572115062</v>
      </c>
      <c r="F177" s="27">
        <f t="shared" si="5"/>
        <v>11316.954242149759</v>
      </c>
      <c r="G177" s="27">
        <f t="shared" si="4"/>
        <v>45.557856573567236</v>
      </c>
      <c r="H177" s="29">
        <v>104</v>
      </c>
      <c r="I177" s="29">
        <v>4</v>
      </c>
      <c r="J177" s="12" t="s">
        <v>40</v>
      </c>
      <c r="K177" s="30">
        <v>40.870876666699999</v>
      </c>
      <c r="L177" s="30">
        <v>72.127028333300004</v>
      </c>
      <c r="M177" s="20">
        <v>100</v>
      </c>
    </row>
    <row r="178" spans="1:13" ht="30" customHeight="1">
      <c r="A178" s="5" t="s">
        <v>13</v>
      </c>
      <c r="B178" s="30" t="s">
        <v>385</v>
      </c>
      <c r="C178" s="30" t="s">
        <v>278</v>
      </c>
      <c r="D178" s="27">
        <v>24938.83632330038</v>
      </c>
      <c r="E178" s="28">
        <v>13601.28722115062</v>
      </c>
      <c r="F178" s="27">
        <f t="shared" si="5"/>
        <v>11337.54910214976</v>
      </c>
      <c r="G178" s="27">
        <f t="shared" si="4"/>
        <v>45.461419912191637</v>
      </c>
      <c r="H178" s="29">
        <v>102</v>
      </c>
      <c r="I178" s="29">
        <v>8</v>
      </c>
      <c r="J178" s="12" t="s">
        <v>18</v>
      </c>
      <c r="K178" s="30">
        <v>40.85586</v>
      </c>
      <c r="L178" s="30">
        <v>72.008968333300004</v>
      </c>
      <c r="M178" s="20">
        <v>100</v>
      </c>
    </row>
    <row r="179" spans="1:13" ht="30" customHeight="1">
      <c r="A179" s="5" t="s">
        <v>13</v>
      </c>
      <c r="B179" s="30" t="s">
        <v>391</v>
      </c>
      <c r="C179" s="30" t="s">
        <v>279</v>
      </c>
      <c r="D179" s="27">
        <v>25821.098873300383</v>
      </c>
      <c r="E179" s="28">
        <v>14371.888221150619</v>
      </c>
      <c r="F179" s="27">
        <f t="shared" si="5"/>
        <v>11449.210652149764</v>
      </c>
      <c r="G179" s="27">
        <f t="shared" si="4"/>
        <v>44.340524422794857</v>
      </c>
      <c r="H179" s="29">
        <v>62</v>
      </c>
      <c r="I179" s="29">
        <v>4</v>
      </c>
      <c r="J179" s="12" t="s">
        <v>23</v>
      </c>
      <c r="K179" s="30">
        <v>40.827616666700003</v>
      </c>
      <c r="L179" s="30">
        <v>72.112166666700006</v>
      </c>
      <c r="M179" s="20">
        <v>100</v>
      </c>
    </row>
    <row r="180" spans="1:13" ht="30" customHeight="1">
      <c r="A180" s="5" t="s">
        <v>13</v>
      </c>
      <c r="B180" s="30" t="s">
        <v>391</v>
      </c>
      <c r="C180" s="30" t="s">
        <v>280</v>
      </c>
      <c r="D180" s="27">
        <v>26519.315013300384</v>
      </c>
      <c r="E180" s="28">
        <v>14974.416387817288</v>
      </c>
      <c r="F180" s="27">
        <f t="shared" si="5"/>
        <v>11544.898625483096</v>
      </c>
      <c r="G180" s="27">
        <f t="shared" si="4"/>
        <v>43.5339246873191</v>
      </c>
      <c r="H180" s="29">
        <v>56</v>
      </c>
      <c r="I180" s="29">
        <v>8</v>
      </c>
      <c r="J180" s="12" t="s">
        <v>23</v>
      </c>
      <c r="K180" s="30">
        <v>40.813206666699998</v>
      </c>
      <c r="L180" s="30">
        <v>72.109205000000003</v>
      </c>
      <c r="M180" s="20">
        <v>160</v>
      </c>
    </row>
    <row r="181" spans="1:13" ht="30" customHeight="1">
      <c r="A181" s="5" t="s">
        <v>13</v>
      </c>
      <c r="B181" s="30" t="s">
        <v>387</v>
      </c>
      <c r="C181" s="30" t="s">
        <v>281</v>
      </c>
      <c r="D181" s="27">
        <v>20233.539153300382</v>
      </c>
      <c r="E181" s="28">
        <v>9371.8258878172874</v>
      </c>
      <c r="F181" s="27">
        <f t="shared" si="5"/>
        <v>10861.713265483095</v>
      </c>
      <c r="G181" s="27">
        <f t="shared" si="4"/>
        <v>53.68172707299896</v>
      </c>
      <c r="H181" s="29">
        <v>13</v>
      </c>
      <c r="I181" s="29">
        <v>3</v>
      </c>
      <c r="J181" s="12" t="s">
        <v>23</v>
      </c>
      <c r="K181" s="30">
        <v>40.879336666699999</v>
      </c>
      <c r="L181" s="30">
        <v>71.986581666700005</v>
      </c>
      <c r="M181" s="20">
        <v>100</v>
      </c>
    </row>
    <row r="182" spans="1:13" ht="30" customHeight="1">
      <c r="A182" s="5" t="s">
        <v>13</v>
      </c>
      <c r="B182" s="30" t="s">
        <v>390</v>
      </c>
      <c r="C182" s="30" t="s">
        <v>282</v>
      </c>
      <c r="D182" s="27">
        <v>24202.223893300383</v>
      </c>
      <c r="E182" s="28">
        <v>12984.939221150618</v>
      </c>
      <c r="F182" s="27">
        <f t="shared" si="5"/>
        <v>11217.284672149764</v>
      </c>
      <c r="G182" s="27">
        <f t="shared" si="4"/>
        <v>46.348156771059841</v>
      </c>
      <c r="H182" s="29">
        <v>23</v>
      </c>
      <c r="I182" s="29">
        <v>3</v>
      </c>
      <c r="J182" s="12" t="s">
        <v>23</v>
      </c>
      <c r="K182" s="30">
        <v>40.851741666700001</v>
      </c>
      <c r="L182" s="30">
        <v>72.133139999999997</v>
      </c>
      <c r="M182" s="20">
        <v>100</v>
      </c>
    </row>
    <row r="183" spans="1:13" ht="30" customHeight="1">
      <c r="A183" s="5" t="s">
        <v>13</v>
      </c>
      <c r="B183" s="30" t="s">
        <v>389</v>
      </c>
      <c r="C183" s="30" t="s">
        <v>283</v>
      </c>
      <c r="D183" s="27">
        <v>23163.598683300381</v>
      </c>
      <c r="E183" s="28">
        <v>11815.202554483953</v>
      </c>
      <c r="F183" s="27">
        <f t="shared" si="5"/>
        <v>11348.396128816428</v>
      </c>
      <c r="G183" s="27">
        <f t="shared" si="4"/>
        <v>48.992370675969134</v>
      </c>
      <c r="H183" s="29">
        <v>79</v>
      </c>
      <c r="I183" s="29">
        <v>4</v>
      </c>
      <c r="J183" s="12" t="s">
        <v>23</v>
      </c>
      <c r="K183" s="30">
        <v>40.878543333300001</v>
      </c>
      <c r="L183" s="30">
        <v>72.055769999999995</v>
      </c>
      <c r="M183" s="20">
        <v>250</v>
      </c>
    </row>
    <row r="184" spans="1:13" ht="30" customHeight="1">
      <c r="A184" s="5" t="s">
        <v>13</v>
      </c>
      <c r="B184" s="30" t="s">
        <v>385</v>
      </c>
      <c r="C184" s="30" t="s">
        <v>284</v>
      </c>
      <c r="D184" s="27">
        <v>27648.699653300384</v>
      </c>
      <c r="E184" s="28">
        <v>16080.471054483955</v>
      </c>
      <c r="F184" s="27">
        <f t="shared" si="5"/>
        <v>11568.228598816429</v>
      </c>
      <c r="G184" s="27">
        <f t="shared" si="4"/>
        <v>41.84004580278895</v>
      </c>
      <c r="H184" s="29">
        <v>92</v>
      </c>
      <c r="I184" s="29">
        <v>3</v>
      </c>
      <c r="J184" s="12" t="s">
        <v>23</v>
      </c>
      <c r="K184" s="30">
        <v>40.863901666700002</v>
      </c>
      <c r="L184" s="30">
        <v>71.990183333299996</v>
      </c>
      <c r="M184" s="20">
        <v>100</v>
      </c>
    </row>
    <row r="185" spans="1:13" ht="30" customHeight="1">
      <c r="A185" s="5" t="s">
        <v>13</v>
      </c>
      <c r="B185" s="30" t="s">
        <v>384</v>
      </c>
      <c r="C185" s="30" t="s">
        <v>112</v>
      </c>
      <c r="D185" s="27">
        <v>25064.542493300385</v>
      </c>
      <c r="E185" s="28">
        <v>13796.53572115062</v>
      </c>
      <c r="F185" s="27">
        <f t="shared" si="5"/>
        <v>11268.006772149765</v>
      </c>
      <c r="G185" s="27">
        <f t="shared" si="4"/>
        <v>44.955964287645159</v>
      </c>
      <c r="H185" s="29">
        <v>89</v>
      </c>
      <c r="I185" s="29">
        <v>6</v>
      </c>
      <c r="J185" s="12" t="s">
        <v>19</v>
      </c>
      <c r="K185" s="30">
        <v>40.877413333299998</v>
      </c>
      <c r="L185" s="30">
        <v>71.930764999999994</v>
      </c>
      <c r="M185" s="20">
        <v>160</v>
      </c>
    </row>
    <row r="186" spans="1:13" ht="30" customHeight="1">
      <c r="A186" s="5" t="s">
        <v>13</v>
      </c>
      <c r="B186" s="30" t="s">
        <v>388</v>
      </c>
      <c r="C186" s="30" t="s">
        <v>285</v>
      </c>
      <c r="D186" s="27">
        <v>22739.446293300382</v>
      </c>
      <c r="E186" s="28">
        <v>11690.525054483955</v>
      </c>
      <c r="F186" s="27">
        <f t="shared" si="5"/>
        <v>11048.921238816427</v>
      </c>
      <c r="G186" s="27">
        <f t="shared" si="4"/>
        <v>48.589227267471855</v>
      </c>
      <c r="H186" s="29">
        <v>42</v>
      </c>
      <c r="I186" s="29">
        <v>3</v>
      </c>
      <c r="J186" s="12" t="s">
        <v>19</v>
      </c>
      <c r="K186" s="30">
        <v>40.874026666600002</v>
      </c>
      <c r="L186" s="30">
        <v>72.094549999700007</v>
      </c>
      <c r="M186" s="20">
        <v>160</v>
      </c>
    </row>
    <row r="187" spans="1:13" ht="30" customHeight="1">
      <c r="A187" s="5" t="s">
        <v>13</v>
      </c>
      <c r="B187" s="30" t="s">
        <v>387</v>
      </c>
      <c r="C187" s="30" t="s">
        <v>286</v>
      </c>
      <c r="D187" s="27">
        <v>30498.233953300376</v>
      </c>
      <c r="E187" s="28">
        <v>18240.325887817286</v>
      </c>
      <c r="F187" s="27">
        <f t="shared" si="5"/>
        <v>12257.90806548309</v>
      </c>
      <c r="G187" s="27">
        <f t="shared" si="4"/>
        <v>40.192189764996527</v>
      </c>
      <c r="H187" s="29">
        <v>49</v>
      </c>
      <c r="I187" s="29">
        <v>6</v>
      </c>
      <c r="J187" s="12" t="s">
        <v>19</v>
      </c>
      <c r="K187" s="30">
        <v>40.8828566667</v>
      </c>
      <c r="L187" s="30">
        <v>71.988209999999995</v>
      </c>
      <c r="M187" s="20">
        <v>160</v>
      </c>
    </row>
    <row r="188" spans="1:13" ht="30" customHeight="1">
      <c r="A188" s="5" t="s">
        <v>13</v>
      </c>
      <c r="B188" s="30" t="s">
        <v>390</v>
      </c>
      <c r="C188" s="30" t="s">
        <v>287</v>
      </c>
      <c r="D188" s="27">
        <v>23708.243680300384</v>
      </c>
      <c r="E188" s="28">
        <v>12529.782221150621</v>
      </c>
      <c r="F188" s="27">
        <f t="shared" si="5"/>
        <v>11178.461459149763</v>
      </c>
      <c r="G188" s="27">
        <f t="shared" si="4"/>
        <v>47.150103609058782</v>
      </c>
      <c r="H188" s="29">
        <v>67</v>
      </c>
      <c r="I188" s="29">
        <v>3</v>
      </c>
      <c r="J188" s="12" t="s">
        <v>19</v>
      </c>
      <c r="K188" s="30">
        <v>40.859856666699997</v>
      </c>
      <c r="L188" s="30">
        <v>72.077610000000007</v>
      </c>
      <c r="M188" s="20">
        <v>63</v>
      </c>
    </row>
    <row r="189" spans="1:13" ht="30" customHeight="1">
      <c r="A189" s="5" t="s">
        <v>13</v>
      </c>
      <c r="B189" s="30" t="s">
        <v>391</v>
      </c>
      <c r="C189" s="30" t="s">
        <v>288</v>
      </c>
      <c r="D189" s="27">
        <v>26124.573963300376</v>
      </c>
      <c r="E189" s="28">
        <v>14796.39422115062</v>
      </c>
      <c r="F189" s="27">
        <f t="shared" si="5"/>
        <v>11328.179742149756</v>
      </c>
      <c r="G189" s="27">
        <f t="shared" si="4"/>
        <v>43.362160692317907</v>
      </c>
      <c r="H189" s="29">
        <v>79</v>
      </c>
      <c r="I189" s="29">
        <v>3</v>
      </c>
      <c r="J189" s="12" t="s">
        <v>23</v>
      </c>
      <c r="K189" s="30">
        <v>40.848528333300003</v>
      </c>
      <c r="L189" s="30">
        <v>72.072953333300006</v>
      </c>
      <c r="M189" s="20">
        <v>100</v>
      </c>
    </row>
    <row r="190" spans="1:13" ht="30" customHeight="1">
      <c r="A190" s="5" t="s">
        <v>13</v>
      </c>
      <c r="B190" s="30" t="s">
        <v>390</v>
      </c>
      <c r="C190" s="30" t="s">
        <v>289</v>
      </c>
      <c r="D190" s="27">
        <v>22361.198433300378</v>
      </c>
      <c r="E190" s="28">
        <v>11222.785887817285</v>
      </c>
      <c r="F190" s="27">
        <f t="shared" si="5"/>
        <v>11138.412545483094</v>
      </c>
      <c r="G190" s="27">
        <f t="shared" si="4"/>
        <v>49.81133984704384</v>
      </c>
      <c r="H190" s="29">
        <v>51</v>
      </c>
      <c r="I190" s="29">
        <v>4</v>
      </c>
      <c r="J190" s="12" t="s">
        <v>19</v>
      </c>
      <c r="K190" s="30">
        <v>40.877876666699997</v>
      </c>
      <c r="L190" s="30">
        <v>72.082390000000004</v>
      </c>
      <c r="M190" s="20">
        <v>100</v>
      </c>
    </row>
    <row r="191" spans="1:13" ht="30" customHeight="1">
      <c r="A191" s="5" t="s">
        <v>13</v>
      </c>
      <c r="B191" s="30" t="s">
        <v>384</v>
      </c>
      <c r="C191" s="30" t="s">
        <v>97</v>
      </c>
      <c r="D191" s="27">
        <v>23894.771773300381</v>
      </c>
      <c r="E191" s="28">
        <v>12800.682554483954</v>
      </c>
      <c r="F191" s="27">
        <f t="shared" si="5"/>
        <v>11094.089218816427</v>
      </c>
      <c r="G191" s="27">
        <f t="shared" si="4"/>
        <v>46.428939870489899</v>
      </c>
      <c r="H191" s="29">
        <v>34</v>
      </c>
      <c r="I191" s="29">
        <v>3</v>
      </c>
      <c r="J191" s="12" t="s">
        <v>19</v>
      </c>
      <c r="K191" s="30">
        <v>40.864673333299997</v>
      </c>
      <c r="L191" s="30">
        <v>71.946511666700005</v>
      </c>
      <c r="M191" s="20">
        <v>100</v>
      </c>
    </row>
    <row r="192" spans="1:13" ht="30" customHeight="1">
      <c r="A192" s="5" t="s">
        <v>30</v>
      </c>
      <c r="B192" s="30" t="s">
        <v>385</v>
      </c>
      <c r="C192" s="30" t="s">
        <v>290</v>
      </c>
      <c r="D192" s="27">
        <v>31298.264023300388</v>
      </c>
      <c r="E192" s="28">
        <v>19237.149221150623</v>
      </c>
      <c r="F192" s="27">
        <f t="shared" si="5"/>
        <v>12061.114802149765</v>
      </c>
      <c r="G192" s="27">
        <f t="shared" si="4"/>
        <v>38.536050412159334</v>
      </c>
      <c r="H192" s="29">
        <v>76</v>
      </c>
      <c r="I192" s="29">
        <v>4</v>
      </c>
      <c r="J192" s="12" t="s">
        <v>33</v>
      </c>
      <c r="K192" s="30">
        <v>40.865333333300001</v>
      </c>
      <c r="L192" s="30">
        <v>71.986301666700001</v>
      </c>
      <c r="M192" s="20">
        <v>160</v>
      </c>
    </row>
    <row r="193" spans="1:13" ht="30" customHeight="1">
      <c r="A193" s="5" t="s">
        <v>30</v>
      </c>
      <c r="B193" s="30" t="s">
        <v>388</v>
      </c>
      <c r="C193" s="30" t="s">
        <v>291</v>
      </c>
      <c r="D193" s="27">
        <v>25207.522283300383</v>
      </c>
      <c r="E193" s="28">
        <v>13848.539387817285</v>
      </c>
      <c r="F193" s="27">
        <f t="shared" si="5"/>
        <v>11358.982895483097</v>
      </c>
      <c r="G193" s="27">
        <f t="shared" si="4"/>
        <v>45.061877830842022</v>
      </c>
      <c r="H193" s="29">
        <v>100</v>
      </c>
      <c r="I193" s="29">
        <v>3</v>
      </c>
      <c r="J193" s="12" t="s">
        <v>42</v>
      </c>
      <c r="K193" s="30">
        <v>40.872945000000001</v>
      </c>
      <c r="L193" s="30">
        <v>72.003528333299997</v>
      </c>
      <c r="M193" s="21">
        <v>250</v>
      </c>
    </row>
    <row r="194" spans="1:13" ht="30" customHeight="1">
      <c r="A194" s="5" t="s">
        <v>30</v>
      </c>
      <c r="B194" s="30" t="s">
        <v>384</v>
      </c>
      <c r="C194" s="30" t="s">
        <v>116</v>
      </c>
      <c r="D194" s="27">
        <v>36878.508263300384</v>
      </c>
      <c r="E194" s="28">
        <v>24201.705054483951</v>
      </c>
      <c r="F194" s="27">
        <f t="shared" si="5"/>
        <v>12676.803208816433</v>
      </c>
      <c r="G194" s="27">
        <f t="shared" si="4"/>
        <v>34.374501046268577</v>
      </c>
      <c r="H194" s="29">
        <v>100</v>
      </c>
      <c r="I194" s="29">
        <v>4</v>
      </c>
      <c r="J194" s="12" t="s">
        <v>42</v>
      </c>
      <c r="K194" s="30">
        <v>40.890994999999997</v>
      </c>
      <c r="L194" s="30">
        <v>71.932898333300002</v>
      </c>
      <c r="M194" s="20">
        <v>400</v>
      </c>
    </row>
    <row r="195" spans="1:13" ht="30" customHeight="1">
      <c r="A195" s="5" t="s">
        <v>30</v>
      </c>
      <c r="B195" s="30" t="s">
        <v>389</v>
      </c>
      <c r="C195" s="30" t="s">
        <v>292</v>
      </c>
      <c r="D195" s="27">
        <v>22157.464483300384</v>
      </c>
      <c r="E195" s="28">
        <v>11174.943387817288</v>
      </c>
      <c r="F195" s="27">
        <f t="shared" si="5"/>
        <v>10982.521095483096</v>
      </c>
      <c r="G195" s="27">
        <f t="shared" ref="G195:G258" si="6">+F195*100/D195</f>
        <v>49.565784495605946</v>
      </c>
      <c r="H195" s="29">
        <v>21</v>
      </c>
      <c r="I195" s="29">
        <v>3</v>
      </c>
      <c r="J195" s="12" t="s">
        <v>42</v>
      </c>
      <c r="K195" s="30">
        <v>40.87829</v>
      </c>
      <c r="L195" s="30">
        <v>72.038823333300002</v>
      </c>
      <c r="M195" s="20">
        <v>160</v>
      </c>
    </row>
    <row r="196" spans="1:13" ht="30" customHeight="1">
      <c r="A196" s="5" t="s">
        <v>30</v>
      </c>
      <c r="B196" s="30" t="s">
        <v>392</v>
      </c>
      <c r="C196" s="30" t="s">
        <v>293</v>
      </c>
      <c r="D196" s="27">
        <v>23056.46782330038</v>
      </c>
      <c r="E196" s="28">
        <v>11955.702887817286</v>
      </c>
      <c r="F196" s="27">
        <f t="shared" si="5"/>
        <v>11100.764935483094</v>
      </c>
      <c r="G196" s="27">
        <f t="shared" si="6"/>
        <v>48.145991053603169</v>
      </c>
      <c r="H196" s="29">
        <v>86</v>
      </c>
      <c r="I196" s="29">
        <v>4</v>
      </c>
      <c r="J196" s="12" t="s">
        <v>51</v>
      </c>
      <c r="K196" s="30">
        <v>40.838336666700002</v>
      </c>
      <c r="L196" s="30">
        <v>72.207795000000004</v>
      </c>
      <c r="M196" s="20">
        <v>100</v>
      </c>
    </row>
    <row r="197" spans="1:13" ht="30" customHeight="1">
      <c r="A197" s="5" t="s">
        <v>30</v>
      </c>
      <c r="B197" s="30" t="s">
        <v>392</v>
      </c>
      <c r="C197" s="30" t="s">
        <v>294</v>
      </c>
      <c r="D197" s="27">
        <v>26002.50006330038</v>
      </c>
      <c r="E197" s="28">
        <v>14756.159221150621</v>
      </c>
      <c r="F197" s="27">
        <f t="shared" ref="F197:F260" si="7">+D197-E197</f>
        <v>11246.340842149759</v>
      </c>
      <c r="G197" s="27">
        <f t="shared" si="6"/>
        <v>43.250998230061384</v>
      </c>
      <c r="H197" s="29">
        <v>73</v>
      </c>
      <c r="I197" s="29">
        <v>3</v>
      </c>
      <c r="J197" s="12" t="s">
        <v>51</v>
      </c>
      <c r="K197" s="30">
        <v>40.839168333300002</v>
      </c>
      <c r="L197" s="30">
        <v>72.209829999999997</v>
      </c>
      <c r="M197" s="20">
        <v>100</v>
      </c>
    </row>
    <row r="198" spans="1:13" ht="30" customHeight="1">
      <c r="A198" s="5" t="s">
        <v>30</v>
      </c>
      <c r="B198" s="30" t="s">
        <v>388</v>
      </c>
      <c r="C198" s="30" t="s">
        <v>295</v>
      </c>
      <c r="D198" s="27">
        <v>28080.729233300379</v>
      </c>
      <c r="E198" s="28">
        <v>16487.300221150617</v>
      </c>
      <c r="F198" s="27">
        <f t="shared" si="7"/>
        <v>11593.429012149762</v>
      </c>
      <c r="G198" s="27">
        <f t="shared" si="6"/>
        <v>41.286068163790219</v>
      </c>
      <c r="H198" s="29">
        <v>99</v>
      </c>
      <c r="I198" s="29">
        <v>4</v>
      </c>
      <c r="J198" s="12" t="s">
        <v>51</v>
      </c>
      <c r="K198" s="30">
        <v>40.875433333300002</v>
      </c>
      <c r="L198" s="30">
        <v>72.019919999999999</v>
      </c>
      <c r="M198" s="20">
        <v>160</v>
      </c>
    </row>
    <row r="199" spans="1:13" ht="30" customHeight="1">
      <c r="A199" s="5" t="s">
        <v>30</v>
      </c>
      <c r="B199" s="30" t="s">
        <v>388</v>
      </c>
      <c r="C199" s="30" t="s">
        <v>296</v>
      </c>
      <c r="D199" s="27">
        <v>23457.301953300383</v>
      </c>
      <c r="E199" s="28">
        <v>12529.389221150621</v>
      </c>
      <c r="F199" s="27">
        <f t="shared" si="7"/>
        <v>10927.912732149762</v>
      </c>
      <c r="G199" s="27">
        <f t="shared" si="6"/>
        <v>46.586400916462736</v>
      </c>
      <c r="H199" s="29">
        <v>20</v>
      </c>
      <c r="I199" s="29">
        <v>4</v>
      </c>
      <c r="J199" s="12" t="s">
        <v>51</v>
      </c>
      <c r="K199" s="30">
        <v>40.874026666600002</v>
      </c>
      <c r="L199" s="30">
        <v>72.094549999700007</v>
      </c>
      <c r="M199" s="20">
        <v>250</v>
      </c>
    </row>
    <row r="200" spans="1:13" ht="30" customHeight="1">
      <c r="A200" s="5" t="s">
        <v>30</v>
      </c>
      <c r="B200" s="30" t="s">
        <v>386</v>
      </c>
      <c r="C200" s="30" t="s">
        <v>297</v>
      </c>
      <c r="D200" s="27">
        <v>22378.105043300384</v>
      </c>
      <c r="E200" s="28">
        <v>11363.491887817287</v>
      </c>
      <c r="F200" s="27">
        <f t="shared" si="7"/>
        <v>11014.613155483097</v>
      </c>
      <c r="G200" s="27">
        <f t="shared" si="6"/>
        <v>49.220490895768151</v>
      </c>
      <c r="H200" s="29">
        <v>53</v>
      </c>
      <c r="I200" s="29">
        <v>3</v>
      </c>
      <c r="J200" s="12"/>
      <c r="K200" s="30">
        <v>40.872078333300003</v>
      </c>
      <c r="L200" s="30">
        <v>71.959788333299997</v>
      </c>
      <c r="M200" s="20">
        <v>63</v>
      </c>
    </row>
    <row r="201" spans="1:13" ht="30" customHeight="1">
      <c r="A201" s="5" t="s">
        <v>30</v>
      </c>
      <c r="B201" s="30" t="s">
        <v>387</v>
      </c>
      <c r="C201" s="30" t="s">
        <v>298</v>
      </c>
      <c r="D201" s="27">
        <v>22784.47242330038</v>
      </c>
      <c r="E201" s="28">
        <v>11724.147887817286</v>
      </c>
      <c r="F201" s="27">
        <f t="shared" si="7"/>
        <v>11060.324535483094</v>
      </c>
      <c r="G201" s="27">
        <f t="shared" si="6"/>
        <v>48.543254941344749</v>
      </c>
      <c r="H201" s="29">
        <v>46</v>
      </c>
      <c r="I201" s="29">
        <v>3</v>
      </c>
      <c r="J201" s="12" t="s">
        <v>52</v>
      </c>
      <c r="K201" s="30">
        <v>40.885644999999997</v>
      </c>
      <c r="L201" s="30">
        <v>71.975255000000004</v>
      </c>
      <c r="M201" s="20">
        <v>250</v>
      </c>
    </row>
    <row r="202" spans="1:13" ht="30" customHeight="1">
      <c r="A202" s="19" t="s">
        <v>30</v>
      </c>
      <c r="B202" s="30" t="s">
        <v>387</v>
      </c>
      <c r="C202" s="30" t="s">
        <v>299</v>
      </c>
      <c r="D202" s="27">
        <v>21970.925983300382</v>
      </c>
      <c r="E202" s="28">
        <v>11000.202387817288</v>
      </c>
      <c r="F202" s="27">
        <f t="shared" si="7"/>
        <v>10970.723595483094</v>
      </c>
      <c r="G202" s="27">
        <f t="shared" si="6"/>
        <v>49.932914087561443</v>
      </c>
      <c r="H202" s="29">
        <v>41</v>
      </c>
      <c r="I202" s="29">
        <v>4</v>
      </c>
      <c r="J202" s="13" t="s">
        <v>52</v>
      </c>
      <c r="K202" s="30">
        <v>40.883506666700001</v>
      </c>
      <c r="L202" s="30">
        <v>71.977718333300004</v>
      </c>
      <c r="M202" s="20">
        <v>250</v>
      </c>
    </row>
    <row r="203" spans="1:13" ht="30" customHeight="1">
      <c r="A203" s="19" t="s">
        <v>30</v>
      </c>
      <c r="B203" s="30" t="s">
        <v>389</v>
      </c>
      <c r="C203" s="30" t="s">
        <v>300</v>
      </c>
      <c r="D203" s="27">
        <v>21368.83316330038</v>
      </c>
      <c r="E203" s="28">
        <v>10590.121387817286</v>
      </c>
      <c r="F203" s="27">
        <f t="shared" si="7"/>
        <v>10778.711775483094</v>
      </c>
      <c r="G203" s="27">
        <f t="shared" si="6"/>
        <v>50.441274416400283</v>
      </c>
      <c r="H203" s="29">
        <v>23</v>
      </c>
      <c r="I203" s="29">
        <v>4</v>
      </c>
      <c r="J203" s="13" t="s">
        <v>52</v>
      </c>
      <c r="K203" s="30">
        <v>40.877465000000001</v>
      </c>
      <c r="L203" s="30">
        <v>72.08811</v>
      </c>
      <c r="M203" s="20">
        <v>250</v>
      </c>
    </row>
    <row r="204" spans="1:13" ht="30" customHeight="1">
      <c r="A204" s="19" t="s">
        <v>30</v>
      </c>
      <c r="B204" s="30" t="s">
        <v>390</v>
      </c>
      <c r="C204" s="30" t="s">
        <v>301</v>
      </c>
      <c r="D204" s="27">
        <v>29335.579933300382</v>
      </c>
      <c r="E204" s="28">
        <v>17445.392554483951</v>
      </c>
      <c r="F204" s="27">
        <f t="shared" si="7"/>
        <v>11890.18737881643</v>
      </c>
      <c r="G204" s="27">
        <f t="shared" si="6"/>
        <v>40.531625438634144</v>
      </c>
      <c r="H204" s="29">
        <v>86</v>
      </c>
      <c r="I204" s="29">
        <v>3</v>
      </c>
      <c r="J204" s="13" t="s">
        <v>53</v>
      </c>
      <c r="K204" s="30">
        <v>40.861406666699999</v>
      </c>
      <c r="L204" s="30">
        <v>72.060223333300002</v>
      </c>
      <c r="M204" s="20">
        <v>100</v>
      </c>
    </row>
    <row r="205" spans="1:13" ht="30" customHeight="1">
      <c r="A205" s="19" t="s">
        <v>30</v>
      </c>
      <c r="B205" s="30" t="s">
        <v>388</v>
      </c>
      <c r="C205" s="30" t="s">
        <v>302</v>
      </c>
      <c r="D205" s="27">
        <v>24689.526493300382</v>
      </c>
      <c r="E205" s="28">
        <v>13497.929387817287</v>
      </c>
      <c r="F205" s="27">
        <f t="shared" si="7"/>
        <v>11191.597105483095</v>
      </c>
      <c r="G205" s="27">
        <f t="shared" si="6"/>
        <v>45.329330671934869</v>
      </c>
      <c r="H205" s="29">
        <v>65</v>
      </c>
      <c r="I205" s="29">
        <v>3</v>
      </c>
      <c r="J205" s="13" t="s">
        <v>53</v>
      </c>
      <c r="K205" s="30">
        <v>40.876036666700003</v>
      </c>
      <c r="L205" s="30">
        <v>72.012455000000003</v>
      </c>
      <c r="M205" s="20">
        <v>63</v>
      </c>
    </row>
    <row r="206" spans="1:13" ht="30" customHeight="1">
      <c r="A206" s="19" t="s">
        <v>30</v>
      </c>
      <c r="B206" s="30" t="s">
        <v>387</v>
      </c>
      <c r="C206" s="30" t="s">
        <v>303</v>
      </c>
      <c r="D206" s="27">
        <v>44006.086883300384</v>
      </c>
      <c r="E206" s="28">
        <v>30366.392221150611</v>
      </c>
      <c r="F206" s="27">
        <f t="shared" si="7"/>
        <v>13639.694662149774</v>
      </c>
      <c r="G206" s="27">
        <f t="shared" si="6"/>
        <v>30.995018253544881</v>
      </c>
      <c r="H206" s="29">
        <v>136</v>
      </c>
      <c r="I206" s="29">
        <v>3</v>
      </c>
      <c r="J206" s="13" t="s">
        <v>53</v>
      </c>
      <c r="K206" s="30">
        <v>40.878603333299999</v>
      </c>
      <c r="L206" s="30">
        <v>71.971546666699993</v>
      </c>
      <c r="M206" s="20">
        <v>100</v>
      </c>
    </row>
    <row r="207" spans="1:13" ht="30" customHeight="1">
      <c r="A207" s="19" t="s">
        <v>30</v>
      </c>
      <c r="B207" s="30" t="s">
        <v>388</v>
      </c>
      <c r="C207" s="30" t="s">
        <v>304</v>
      </c>
      <c r="D207" s="27">
        <v>22587.817873300381</v>
      </c>
      <c r="E207" s="28">
        <v>11534.145221150618</v>
      </c>
      <c r="F207" s="27">
        <f t="shared" si="7"/>
        <v>11053.672652149762</v>
      </c>
      <c r="G207" s="27">
        <f t="shared" si="6"/>
        <v>48.936434294592054</v>
      </c>
      <c r="H207" s="29">
        <v>49</v>
      </c>
      <c r="I207" s="29">
        <v>3</v>
      </c>
      <c r="J207" s="13" t="s">
        <v>53</v>
      </c>
      <c r="K207" s="30">
        <v>40.877144999999999</v>
      </c>
      <c r="L207" s="30">
        <v>72.008285000000001</v>
      </c>
      <c r="M207" s="20">
        <v>160</v>
      </c>
    </row>
    <row r="208" spans="1:13" ht="30" customHeight="1">
      <c r="A208" s="19" t="s">
        <v>30</v>
      </c>
      <c r="B208" s="30" t="s">
        <v>389</v>
      </c>
      <c r="C208" s="30" t="s">
        <v>305</v>
      </c>
      <c r="D208" s="27">
        <v>27144.950063300377</v>
      </c>
      <c r="E208" s="28">
        <v>15701.293054483953</v>
      </c>
      <c r="F208" s="27">
        <f t="shared" si="7"/>
        <v>11443.657008816424</v>
      </c>
      <c r="G208" s="27">
        <f t="shared" si="6"/>
        <v>42.157590940968802</v>
      </c>
      <c r="H208" s="29">
        <v>115</v>
      </c>
      <c r="I208" s="29">
        <v>3</v>
      </c>
      <c r="J208" s="13" t="s">
        <v>53</v>
      </c>
      <c r="K208" s="30">
        <v>40.881168333300003</v>
      </c>
      <c r="L208" s="30">
        <v>72.049769999999995</v>
      </c>
      <c r="M208" s="20">
        <v>160</v>
      </c>
    </row>
    <row r="209" spans="1:13" ht="30" customHeight="1">
      <c r="A209" s="19" t="s">
        <v>30</v>
      </c>
      <c r="B209" s="30" t="s">
        <v>390</v>
      </c>
      <c r="C209" s="30" t="s">
        <v>306</v>
      </c>
      <c r="D209" s="27">
        <v>23059.986123300383</v>
      </c>
      <c r="E209" s="28">
        <v>12126.755221150619</v>
      </c>
      <c r="F209" s="27">
        <f t="shared" si="7"/>
        <v>10933.230902149764</v>
      </c>
      <c r="G209" s="27">
        <f t="shared" si="6"/>
        <v>47.412131315649646</v>
      </c>
      <c r="H209" s="29">
        <v>82</v>
      </c>
      <c r="I209" s="29">
        <v>10</v>
      </c>
      <c r="J209" s="13" t="s">
        <v>53</v>
      </c>
      <c r="K209" s="30">
        <v>40.850251666699997</v>
      </c>
      <c r="L209" s="30">
        <v>72.055284999999998</v>
      </c>
      <c r="M209" s="20">
        <v>250</v>
      </c>
    </row>
    <row r="210" spans="1:13" ht="30" customHeight="1">
      <c r="A210" s="19" t="s">
        <v>30</v>
      </c>
      <c r="B210" s="30" t="s">
        <v>389</v>
      </c>
      <c r="C210" s="30" t="s">
        <v>307</v>
      </c>
      <c r="D210" s="27">
        <v>27699.322443300385</v>
      </c>
      <c r="E210" s="28">
        <v>16018.334054483952</v>
      </c>
      <c r="F210" s="27">
        <f t="shared" si="7"/>
        <v>11680.988388816433</v>
      </c>
      <c r="G210" s="27">
        <f t="shared" si="6"/>
        <v>42.170664689459599</v>
      </c>
      <c r="H210" s="29">
        <v>53</v>
      </c>
      <c r="I210" s="29">
        <v>3</v>
      </c>
      <c r="J210" s="13" t="s">
        <v>53</v>
      </c>
      <c r="K210" s="30">
        <v>40.8797483333</v>
      </c>
      <c r="L210" s="30">
        <v>72.029821666700002</v>
      </c>
      <c r="M210" s="20">
        <v>40</v>
      </c>
    </row>
    <row r="211" spans="1:13" ht="30" customHeight="1">
      <c r="A211" s="19" t="s">
        <v>30</v>
      </c>
      <c r="B211" s="30" t="s">
        <v>387</v>
      </c>
      <c r="C211" s="30" t="s">
        <v>308</v>
      </c>
      <c r="D211" s="27">
        <v>26127.15702330038</v>
      </c>
      <c r="E211" s="28">
        <v>14650.554721150618</v>
      </c>
      <c r="F211" s="27">
        <f t="shared" si="7"/>
        <v>11476.602302149762</v>
      </c>
      <c r="G211" s="27">
        <f t="shared" si="6"/>
        <v>43.925951422555649</v>
      </c>
      <c r="H211" s="29">
        <v>46</v>
      </c>
      <c r="I211" s="29">
        <v>3</v>
      </c>
      <c r="J211" s="13" t="s">
        <v>49</v>
      </c>
      <c r="K211" s="30">
        <v>40.87462</v>
      </c>
      <c r="L211" s="30">
        <v>71.975811666699997</v>
      </c>
      <c r="M211" s="20">
        <v>250</v>
      </c>
    </row>
    <row r="212" spans="1:13" ht="30" customHeight="1">
      <c r="A212" s="19" t="s">
        <v>30</v>
      </c>
      <c r="B212" s="30" t="s">
        <v>392</v>
      </c>
      <c r="C212" s="30" t="s">
        <v>309</v>
      </c>
      <c r="D212" s="27">
        <v>21283.179673300379</v>
      </c>
      <c r="E212" s="28">
        <v>10406.193054483952</v>
      </c>
      <c r="F212" s="27">
        <f t="shared" si="7"/>
        <v>10876.986618816427</v>
      </c>
      <c r="G212" s="27">
        <f t="shared" si="6"/>
        <v>51.106022623403121</v>
      </c>
      <c r="H212" s="29">
        <v>58</v>
      </c>
      <c r="I212" s="29">
        <v>4</v>
      </c>
      <c r="J212" s="13" t="s">
        <v>49</v>
      </c>
      <c r="K212" s="30">
        <v>40.841295000000002</v>
      </c>
      <c r="L212" s="30">
        <v>72.169233333299999</v>
      </c>
      <c r="M212" s="20">
        <v>63</v>
      </c>
    </row>
    <row r="213" spans="1:13" ht="30" customHeight="1">
      <c r="A213" s="19" t="s">
        <v>30</v>
      </c>
      <c r="B213" s="30" t="s">
        <v>389</v>
      </c>
      <c r="C213" s="30" t="s">
        <v>310</v>
      </c>
      <c r="D213" s="27">
        <v>26186.408503300379</v>
      </c>
      <c r="E213" s="28">
        <v>14876.778721150618</v>
      </c>
      <c r="F213" s="27">
        <f t="shared" si="7"/>
        <v>11309.629782149761</v>
      </c>
      <c r="G213" s="27">
        <f t="shared" si="6"/>
        <v>43.188930550458508</v>
      </c>
      <c r="H213" s="29">
        <v>65</v>
      </c>
      <c r="I213" s="29">
        <v>4</v>
      </c>
      <c r="J213" s="13" t="s">
        <v>54</v>
      </c>
      <c r="K213" s="30">
        <v>40.8741466667</v>
      </c>
      <c r="L213" s="30">
        <v>72.027926666699997</v>
      </c>
      <c r="M213" s="20">
        <v>25</v>
      </c>
    </row>
    <row r="214" spans="1:13" ht="30" customHeight="1">
      <c r="A214" s="19" t="s">
        <v>30</v>
      </c>
      <c r="B214" s="30" t="s">
        <v>392</v>
      </c>
      <c r="C214" s="30" t="s">
        <v>311</v>
      </c>
      <c r="D214" s="27">
        <v>21263.211263300382</v>
      </c>
      <c r="E214" s="28">
        <v>10386.158387817286</v>
      </c>
      <c r="F214" s="27">
        <f t="shared" si="7"/>
        <v>10877.052875483096</v>
      </c>
      <c r="G214" s="27">
        <f t="shared" si="6"/>
        <v>51.154328199976739</v>
      </c>
      <c r="H214" s="29">
        <v>53</v>
      </c>
      <c r="I214" s="29">
        <v>3</v>
      </c>
      <c r="J214" s="13" t="s">
        <v>52</v>
      </c>
      <c r="K214" s="30">
        <v>40.822923333299997</v>
      </c>
      <c r="L214" s="30">
        <v>72.176041666700002</v>
      </c>
      <c r="M214" s="20">
        <v>100</v>
      </c>
    </row>
    <row r="215" spans="1:13" ht="30" customHeight="1">
      <c r="A215" s="19" t="s">
        <v>30</v>
      </c>
      <c r="B215" s="30" t="s">
        <v>388</v>
      </c>
      <c r="C215" s="30" t="s">
        <v>312</v>
      </c>
      <c r="D215" s="27">
        <v>24433.931773300381</v>
      </c>
      <c r="E215" s="28">
        <v>13360.863554483954</v>
      </c>
      <c r="F215" s="27">
        <f t="shared" si="7"/>
        <v>11073.068218816426</v>
      </c>
      <c r="G215" s="27">
        <f t="shared" si="6"/>
        <v>45.318405247068206</v>
      </c>
      <c r="H215" s="29">
        <v>71</v>
      </c>
      <c r="I215" s="29">
        <v>3</v>
      </c>
      <c r="J215" s="13" t="s">
        <v>42</v>
      </c>
      <c r="K215" s="30">
        <v>40.871153333300001</v>
      </c>
      <c r="L215" s="30">
        <v>72.022553333299996</v>
      </c>
      <c r="M215" s="20">
        <v>250</v>
      </c>
    </row>
    <row r="216" spans="1:13" ht="30" customHeight="1">
      <c r="A216" s="19" t="s">
        <v>30</v>
      </c>
      <c r="B216" s="30" t="s">
        <v>389</v>
      </c>
      <c r="C216" s="30" t="s">
        <v>313</v>
      </c>
      <c r="D216" s="27">
        <v>33386.287763300381</v>
      </c>
      <c r="E216" s="28">
        <v>20984.831054483951</v>
      </c>
      <c r="F216" s="27">
        <f t="shared" si="7"/>
        <v>12401.456708816429</v>
      </c>
      <c r="G216" s="27">
        <f t="shared" si="6"/>
        <v>37.145359785847873</v>
      </c>
      <c r="H216" s="29">
        <v>94</v>
      </c>
      <c r="I216" s="29">
        <v>6</v>
      </c>
      <c r="J216" s="13" t="s">
        <v>27</v>
      </c>
      <c r="K216" s="30">
        <v>40.879914999999997</v>
      </c>
      <c r="L216" s="30">
        <v>72.089108333300004</v>
      </c>
      <c r="M216" s="20">
        <v>40</v>
      </c>
    </row>
    <row r="217" spans="1:13" ht="30" customHeight="1">
      <c r="A217" s="19" t="s">
        <v>30</v>
      </c>
      <c r="B217" s="30" t="s">
        <v>388</v>
      </c>
      <c r="C217" s="30" t="s">
        <v>314</v>
      </c>
      <c r="D217" s="27">
        <v>22783.434933300381</v>
      </c>
      <c r="E217" s="28">
        <v>11805.945054483953</v>
      </c>
      <c r="F217" s="27">
        <f t="shared" si="7"/>
        <v>10977.489878816428</v>
      </c>
      <c r="G217" s="27">
        <f t="shared" si="6"/>
        <v>48.181891409059105</v>
      </c>
      <c r="H217" s="29">
        <v>49</v>
      </c>
      <c r="I217" s="29">
        <v>4</v>
      </c>
      <c r="J217" s="13" t="s">
        <v>32</v>
      </c>
      <c r="K217" s="30">
        <v>40.876891666699997</v>
      </c>
      <c r="L217" s="30">
        <v>71.987205000000003</v>
      </c>
      <c r="M217" s="19">
        <v>160</v>
      </c>
    </row>
    <row r="218" spans="1:13" ht="30" customHeight="1">
      <c r="A218" s="19" t="s">
        <v>30</v>
      </c>
      <c r="B218" s="30" t="s">
        <v>388</v>
      </c>
      <c r="C218" s="30" t="s">
        <v>315</v>
      </c>
      <c r="D218" s="27">
        <v>22194.511473300379</v>
      </c>
      <c r="E218" s="28">
        <v>11188.762887817287</v>
      </c>
      <c r="F218" s="27">
        <f t="shared" si="7"/>
        <v>11005.748585483092</v>
      </c>
      <c r="G218" s="27">
        <f t="shared" si="6"/>
        <v>49.587703692973015</v>
      </c>
      <c r="H218" s="29">
        <v>40</v>
      </c>
      <c r="I218" s="29">
        <v>4</v>
      </c>
      <c r="J218" s="13"/>
      <c r="K218" s="30">
        <v>40.8787183333</v>
      </c>
      <c r="L218" s="30">
        <v>71.984646666700002</v>
      </c>
      <c r="M218" s="20">
        <v>160</v>
      </c>
    </row>
    <row r="219" spans="1:13" ht="30" customHeight="1">
      <c r="A219" s="19" t="s">
        <v>30</v>
      </c>
      <c r="B219" s="30" t="s">
        <v>392</v>
      </c>
      <c r="C219" s="30" t="s">
        <v>316</v>
      </c>
      <c r="D219" s="27">
        <v>26292.642993300382</v>
      </c>
      <c r="E219" s="28">
        <v>15010.002554483952</v>
      </c>
      <c r="F219" s="27">
        <f t="shared" si="7"/>
        <v>11282.64043881643</v>
      </c>
      <c r="G219" s="27">
        <f t="shared" si="6"/>
        <v>42.911777418844338</v>
      </c>
      <c r="H219" s="29">
        <v>93</v>
      </c>
      <c r="I219" s="29">
        <v>3</v>
      </c>
      <c r="J219" s="13"/>
      <c r="K219" s="30">
        <v>40.835000000000001</v>
      </c>
      <c r="L219" s="30">
        <v>72.206898333300003</v>
      </c>
      <c r="M219" s="20">
        <v>63</v>
      </c>
    </row>
    <row r="220" spans="1:13" ht="30" customHeight="1">
      <c r="A220" s="19" t="s">
        <v>30</v>
      </c>
      <c r="B220" s="30" t="s">
        <v>387</v>
      </c>
      <c r="C220" s="30" t="s">
        <v>317</v>
      </c>
      <c r="D220" s="27">
        <v>23824.326873300382</v>
      </c>
      <c r="E220" s="28">
        <v>12850.495887817287</v>
      </c>
      <c r="F220" s="27">
        <f t="shared" si="7"/>
        <v>10973.830985483095</v>
      </c>
      <c r="G220" s="27">
        <f t="shared" si="6"/>
        <v>46.061452413085071</v>
      </c>
      <c r="H220" s="29">
        <v>77</v>
      </c>
      <c r="I220" s="29">
        <v>4</v>
      </c>
      <c r="J220" s="13"/>
      <c r="K220" s="30">
        <v>40.880708333299999</v>
      </c>
      <c r="L220" s="30">
        <v>71.964420000000004</v>
      </c>
      <c r="M220" s="20">
        <v>63</v>
      </c>
    </row>
    <row r="221" spans="1:13" ht="30" customHeight="1">
      <c r="A221" s="19" t="s">
        <v>13</v>
      </c>
      <c r="B221" s="30" t="s">
        <v>386</v>
      </c>
      <c r="C221" s="30" t="s">
        <v>318</v>
      </c>
      <c r="D221" s="27">
        <v>42886.317123300381</v>
      </c>
      <c r="E221" s="28">
        <v>29297.600054483948</v>
      </c>
      <c r="F221" s="27">
        <f t="shared" si="7"/>
        <v>13588.717068816433</v>
      </c>
      <c r="G221" s="27">
        <f t="shared" si="6"/>
        <v>31.685437175097523</v>
      </c>
      <c r="H221" s="29">
        <v>68</v>
      </c>
      <c r="I221" s="29">
        <v>4</v>
      </c>
      <c r="J221" s="13"/>
      <c r="K221" s="30">
        <v>40.874901666699998</v>
      </c>
      <c r="L221" s="30">
        <v>71.967150000000004</v>
      </c>
      <c r="M221" s="20">
        <v>160</v>
      </c>
    </row>
    <row r="222" spans="1:13" ht="30" customHeight="1">
      <c r="A222" s="19" t="s">
        <v>30</v>
      </c>
      <c r="B222" s="30" t="s">
        <v>386</v>
      </c>
      <c r="C222" s="30" t="s">
        <v>319</v>
      </c>
      <c r="D222" s="27">
        <v>22845.179413300382</v>
      </c>
      <c r="E222" s="28">
        <v>11757.385054483953</v>
      </c>
      <c r="F222" s="27">
        <f t="shared" si="7"/>
        <v>11087.794358816429</v>
      </c>
      <c r="G222" s="27">
        <f t="shared" si="6"/>
        <v>48.534503311281306</v>
      </c>
      <c r="H222" s="29">
        <v>122</v>
      </c>
      <c r="I222" s="29">
        <v>4</v>
      </c>
      <c r="J222" s="13"/>
      <c r="K222" s="30">
        <v>40.869693333299999</v>
      </c>
      <c r="L222" s="30">
        <v>71.966144999999997</v>
      </c>
      <c r="M222" s="19">
        <v>160</v>
      </c>
    </row>
    <row r="223" spans="1:13" ht="30" customHeight="1">
      <c r="A223" s="19" t="s">
        <v>30</v>
      </c>
      <c r="B223" s="30" t="s">
        <v>384</v>
      </c>
      <c r="C223" s="30" t="s">
        <v>90</v>
      </c>
      <c r="D223" s="27">
        <v>21862.943613300384</v>
      </c>
      <c r="E223" s="28">
        <v>10914.06422115062</v>
      </c>
      <c r="F223" s="27">
        <f t="shared" si="7"/>
        <v>10948.879392149764</v>
      </c>
      <c r="G223" s="27">
        <f t="shared" si="6"/>
        <v>50.079621416985134</v>
      </c>
      <c r="H223" s="29">
        <v>83</v>
      </c>
      <c r="I223" s="29">
        <v>3</v>
      </c>
      <c r="J223" s="13" t="s">
        <v>39</v>
      </c>
      <c r="K223" s="30">
        <v>40.8802053239</v>
      </c>
      <c r="L223" s="30">
        <v>71.948066717000003</v>
      </c>
      <c r="M223" s="20">
        <v>100</v>
      </c>
    </row>
    <row r="224" spans="1:13" ht="30" customHeight="1">
      <c r="A224" s="19" t="s">
        <v>13</v>
      </c>
      <c r="B224" s="30" t="s">
        <v>392</v>
      </c>
      <c r="C224" s="30" t="s">
        <v>320</v>
      </c>
      <c r="D224" s="27">
        <v>23433.283643300379</v>
      </c>
      <c r="E224" s="28">
        <v>12275.117554483953</v>
      </c>
      <c r="F224" s="27">
        <f t="shared" si="7"/>
        <v>11158.166088816426</v>
      </c>
      <c r="G224" s="27">
        <f t="shared" si="6"/>
        <v>47.61674146340377</v>
      </c>
      <c r="H224" s="29">
        <v>38</v>
      </c>
      <c r="I224" s="29">
        <v>3</v>
      </c>
      <c r="J224" s="13" t="s">
        <v>23</v>
      </c>
      <c r="K224" s="30">
        <v>40.837551666700001</v>
      </c>
      <c r="L224" s="30">
        <v>72.172751666699995</v>
      </c>
      <c r="M224" s="20">
        <v>100</v>
      </c>
    </row>
    <row r="225" spans="1:13" ht="30" customHeight="1">
      <c r="A225" s="16" t="s">
        <v>13</v>
      </c>
      <c r="B225" s="30" t="s">
        <v>385</v>
      </c>
      <c r="C225" s="30" t="s">
        <v>321</v>
      </c>
      <c r="D225" s="27">
        <v>25318.768923300377</v>
      </c>
      <c r="E225" s="28">
        <v>13925.993221150617</v>
      </c>
      <c r="F225" s="27">
        <f t="shared" si="7"/>
        <v>11392.77570214976</v>
      </c>
      <c r="G225" s="27">
        <f t="shared" si="6"/>
        <v>44.997352504233362</v>
      </c>
      <c r="H225" s="29">
        <v>84</v>
      </c>
      <c r="I225" s="29">
        <v>5</v>
      </c>
      <c r="J225" s="15" t="s">
        <v>55</v>
      </c>
      <c r="K225" s="30">
        <v>40.857341666700002</v>
      </c>
      <c r="L225" s="30">
        <v>72.001365000000007</v>
      </c>
      <c r="M225" s="15">
        <v>1000</v>
      </c>
    </row>
    <row r="226" spans="1:13" ht="30" customHeight="1">
      <c r="A226" s="16" t="s">
        <v>13</v>
      </c>
      <c r="B226" s="30" t="s">
        <v>387</v>
      </c>
      <c r="C226" s="30" t="s">
        <v>322</v>
      </c>
      <c r="D226" s="27">
        <v>25700.388373300382</v>
      </c>
      <c r="E226" s="28">
        <v>14661.563887817287</v>
      </c>
      <c r="F226" s="27">
        <f t="shared" si="7"/>
        <v>11038.824485483095</v>
      </c>
      <c r="G226" s="27">
        <f t="shared" si="6"/>
        <v>42.951975375403698</v>
      </c>
      <c r="H226" s="29">
        <v>46</v>
      </c>
      <c r="I226" s="29">
        <v>3</v>
      </c>
      <c r="J226" s="15" t="s">
        <v>55</v>
      </c>
      <c r="K226" s="30">
        <v>40.883535000000002</v>
      </c>
      <c r="L226" s="30">
        <v>71.979993333300001</v>
      </c>
      <c r="M226" s="15">
        <v>630</v>
      </c>
    </row>
    <row r="227" spans="1:13" ht="30" customHeight="1">
      <c r="A227" s="16" t="s">
        <v>13</v>
      </c>
      <c r="B227" s="30" t="s">
        <v>390</v>
      </c>
      <c r="C227" s="30" t="s">
        <v>323</v>
      </c>
      <c r="D227" s="27">
        <v>27076.53751330038</v>
      </c>
      <c r="E227" s="28">
        <v>15865.543887817286</v>
      </c>
      <c r="F227" s="27">
        <f t="shared" si="7"/>
        <v>11210.993625483094</v>
      </c>
      <c r="G227" s="27">
        <f t="shared" si="6"/>
        <v>41.404827408142914</v>
      </c>
      <c r="H227" s="29">
        <v>47</v>
      </c>
      <c r="I227" s="29">
        <v>6</v>
      </c>
      <c r="J227" s="15" t="s">
        <v>56</v>
      </c>
      <c r="K227" s="30">
        <v>40.874026666600002</v>
      </c>
      <c r="L227" s="30">
        <v>72.094549999700007</v>
      </c>
      <c r="M227" s="15">
        <v>400</v>
      </c>
    </row>
    <row r="228" spans="1:13" ht="30" customHeight="1">
      <c r="A228" s="16" t="s">
        <v>30</v>
      </c>
      <c r="B228" s="30" t="s">
        <v>391</v>
      </c>
      <c r="C228" s="30" t="s">
        <v>324</v>
      </c>
      <c r="D228" s="27">
        <v>24721.19741830038</v>
      </c>
      <c r="E228" s="28">
        <v>13804.878887817285</v>
      </c>
      <c r="F228" s="27">
        <f t="shared" si="7"/>
        <v>10916.318530483095</v>
      </c>
      <c r="G228" s="27">
        <f t="shared" si="6"/>
        <v>44.157725638330376</v>
      </c>
      <c r="H228" s="29">
        <v>70</v>
      </c>
      <c r="I228" s="29">
        <v>4</v>
      </c>
      <c r="J228" s="15" t="s">
        <v>57</v>
      </c>
      <c r="K228" s="30">
        <v>40.846710000000002</v>
      </c>
      <c r="L228" s="30">
        <v>72.065683333300001</v>
      </c>
      <c r="M228" s="15">
        <v>1000</v>
      </c>
    </row>
    <row r="229" spans="1:13" ht="30" customHeight="1">
      <c r="A229" s="16" t="s">
        <v>13</v>
      </c>
      <c r="B229" s="30" t="s">
        <v>392</v>
      </c>
      <c r="C229" s="30" t="s">
        <v>325</v>
      </c>
      <c r="D229" s="27">
        <v>35823.565993300377</v>
      </c>
      <c r="E229" s="28">
        <v>23518.237221150623</v>
      </c>
      <c r="F229" s="27">
        <f t="shared" si="7"/>
        <v>12305.328772149755</v>
      </c>
      <c r="G229" s="27">
        <f t="shared" si="6"/>
        <v>34.349815354649678</v>
      </c>
      <c r="H229" s="29">
        <v>121</v>
      </c>
      <c r="I229" s="29">
        <v>3</v>
      </c>
      <c r="J229" s="15" t="s">
        <v>58</v>
      </c>
      <c r="K229" s="30">
        <v>40.839961666699999</v>
      </c>
      <c r="L229" s="30">
        <v>72.232654999999994</v>
      </c>
      <c r="M229" s="15">
        <v>1000</v>
      </c>
    </row>
    <row r="230" spans="1:13" ht="30" customHeight="1">
      <c r="A230" s="16" t="s">
        <v>13</v>
      </c>
      <c r="B230" s="30" t="s">
        <v>387</v>
      </c>
      <c r="C230" s="30" t="s">
        <v>326</v>
      </c>
      <c r="D230" s="27">
        <v>36470.203003300383</v>
      </c>
      <c r="E230" s="28">
        <v>24083.973887817287</v>
      </c>
      <c r="F230" s="27">
        <f t="shared" si="7"/>
        <v>12386.229115483096</v>
      </c>
      <c r="G230" s="27">
        <f t="shared" si="6"/>
        <v>33.962599863681049</v>
      </c>
      <c r="H230" s="29">
        <v>97</v>
      </c>
      <c r="I230" s="29">
        <v>3</v>
      </c>
      <c r="J230" s="15" t="s">
        <v>55</v>
      </c>
      <c r="K230" s="30">
        <v>40.873249936800001</v>
      </c>
      <c r="L230" s="30">
        <v>71.969074951500005</v>
      </c>
      <c r="M230" s="15">
        <v>160</v>
      </c>
    </row>
    <row r="231" spans="1:13" ht="30" customHeight="1">
      <c r="A231" s="16" t="s">
        <v>13</v>
      </c>
      <c r="B231" s="30" t="s">
        <v>384</v>
      </c>
      <c r="C231" s="30" t="s">
        <v>118</v>
      </c>
      <c r="D231" s="27">
        <v>33229.900873300379</v>
      </c>
      <c r="E231" s="28">
        <v>21249.06388781729</v>
      </c>
      <c r="F231" s="27">
        <f t="shared" si="7"/>
        <v>11980.836985483089</v>
      </c>
      <c r="G231" s="27">
        <f t="shared" si="6"/>
        <v>36.054386774019761</v>
      </c>
      <c r="H231" s="29">
        <v>48</v>
      </c>
      <c r="I231" s="29">
        <v>4</v>
      </c>
      <c r="J231" s="15" t="s">
        <v>59</v>
      </c>
      <c r="K231" s="30">
        <v>40.895608333299997</v>
      </c>
      <c r="L231" s="30">
        <v>71.923013333300005</v>
      </c>
      <c r="M231" s="15">
        <v>100</v>
      </c>
    </row>
    <row r="232" spans="1:13" ht="30" customHeight="1">
      <c r="A232" s="16" t="s">
        <v>13</v>
      </c>
      <c r="B232" s="30" t="s">
        <v>386</v>
      </c>
      <c r="C232" s="30" t="s">
        <v>327</v>
      </c>
      <c r="D232" s="27">
        <v>25663.759033300383</v>
      </c>
      <c r="E232" s="28">
        <v>14629.517221150621</v>
      </c>
      <c r="F232" s="27">
        <f t="shared" si="7"/>
        <v>11034.241812149761</v>
      </c>
      <c r="G232" s="27">
        <f t="shared" si="6"/>
        <v>42.995423226317392</v>
      </c>
      <c r="H232" s="29">
        <v>63</v>
      </c>
      <c r="I232" s="29">
        <v>6</v>
      </c>
      <c r="J232" s="15" t="s">
        <v>55</v>
      </c>
      <c r="K232" s="30">
        <v>40.875115049900003</v>
      </c>
      <c r="L232" s="30">
        <v>72.008864803799995</v>
      </c>
      <c r="M232" s="15">
        <v>250</v>
      </c>
    </row>
    <row r="233" spans="1:13" ht="30" customHeight="1">
      <c r="A233" s="16" t="s">
        <v>13</v>
      </c>
      <c r="B233" s="30" t="s">
        <v>390</v>
      </c>
      <c r="C233" s="30" t="s">
        <v>328</v>
      </c>
      <c r="D233" s="27">
        <v>26392.74919330038</v>
      </c>
      <c r="E233" s="28">
        <v>15267.303887817285</v>
      </c>
      <c r="F233" s="27">
        <f t="shared" si="7"/>
        <v>11125.445305483096</v>
      </c>
      <c r="G233" s="27">
        <f t="shared" si="6"/>
        <v>42.153415788557609</v>
      </c>
      <c r="H233" s="29">
        <v>41</v>
      </c>
      <c r="I233" s="29">
        <v>3</v>
      </c>
      <c r="J233" s="15" t="s">
        <v>60</v>
      </c>
      <c r="K233" s="30">
        <v>40.874026666600002</v>
      </c>
      <c r="L233" s="30">
        <v>72.094549999700007</v>
      </c>
      <c r="M233" s="15">
        <v>160</v>
      </c>
    </row>
    <row r="234" spans="1:13" ht="30" customHeight="1">
      <c r="A234" s="16" t="s">
        <v>13</v>
      </c>
      <c r="B234" s="30" t="s">
        <v>391</v>
      </c>
      <c r="C234" s="30" t="s">
        <v>329</v>
      </c>
      <c r="D234" s="27">
        <v>28833.233263300383</v>
      </c>
      <c r="E234" s="28">
        <v>17402.460554483951</v>
      </c>
      <c r="F234" s="27">
        <f t="shared" si="7"/>
        <v>11430.772708816432</v>
      </c>
      <c r="G234" s="27">
        <f t="shared" si="6"/>
        <v>39.644436003525797</v>
      </c>
      <c r="H234" s="29">
        <v>97</v>
      </c>
      <c r="I234" s="29">
        <v>4</v>
      </c>
      <c r="J234" s="15" t="s">
        <v>61</v>
      </c>
      <c r="K234" s="30">
        <v>40.816318333300003</v>
      </c>
      <c r="L234" s="30">
        <v>72.106885000000005</v>
      </c>
      <c r="M234" s="15">
        <v>100</v>
      </c>
    </row>
    <row r="235" spans="1:13" ht="30" customHeight="1">
      <c r="A235" s="16" t="s">
        <v>13</v>
      </c>
      <c r="B235" s="30" t="s">
        <v>390</v>
      </c>
      <c r="C235" s="30" t="s">
        <v>330</v>
      </c>
      <c r="D235" s="27">
        <v>25789.572853300382</v>
      </c>
      <c r="E235" s="28">
        <v>14739.590554483952</v>
      </c>
      <c r="F235" s="27">
        <f t="shared" si="7"/>
        <v>11049.982298816431</v>
      </c>
      <c r="G235" s="27">
        <f t="shared" si="6"/>
        <v>42.846705378458125</v>
      </c>
      <c r="H235" s="29">
        <v>32</v>
      </c>
      <c r="I235" s="29">
        <v>3</v>
      </c>
      <c r="J235" s="15" t="s">
        <v>55</v>
      </c>
      <c r="K235" s="30">
        <v>40.872684479199997</v>
      </c>
      <c r="L235" s="30">
        <v>72.093719629500001</v>
      </c>
      <c r="M235" s="15">
        <v>100</v>
      </c>
    </row>
    <row r="236" spans="1:13" ht="30" customHeight="1">
      <c r="A236" s="16" t="s">
        <v>13</v>
      </c>
      <c r="B236" s="30" t="s">
        <v>384</v>
      </c>
      <c r="C236" s="30" t="s">
        <v>95</v>
      </c>
      <c r="D236" s="27">
        <v>25691.613943300381</v>
      </c>
      <c r="E236" s="28">
        <v>14653.88722115062</v>
      </c>
      <c r="F236" s="27">
        <f t="shared" si="7"/>
        <v>11037.72672214976</v>
      </c>
      <c r="G236" s="27">
        <f t="shared" si="6"/>
        <v>42.962371871651435</v>
      </c>
      <c r="H236" s="29">
        <v>45</v>
      </c>
      <c r="I236" s="29">
        <v>3</v>
      </c>
      <c r="J236" s="15" t="s">
        <v>62</v>
      </c>
      <c r="K236" s="30">
        <v>40.874026666600002</v>
      </c>
      <c r="L236" s="30">
        <v>72.094549999700007</v>
      </c>
      <c r="M236" s="15">
        <v>400</v>
      </c>
    </row>
    <row r="237" spans="1:13" ht="30" customHeight="1">
      <c r="A237" s="16" t="s">
        <v>13</v>
      </c>
      <c r="B237" s="30" t="s">
        <v>388</v>
      </c>
      <c r="C237" s="30" t="s">
        <v>331</v>
      </c>
      <c r="D237" s="27">
        <v>26946.841303300382</v>
      </c>
      <c r="E237" s="28">
        <v>15752.073887817285</v>
      </c>
      <c r="F237" s="27">
        <f t="shared" si="7"/>
        <v>11194.767415483097</v>
      </c>
      <c r="G237" s="27">
        <f t="shared" si="6"/>
        <v>41.543894846450847</v>
      </c>
      <c r="H237" s="29">
        <v>76</v>
      </c>
      <c r="I237" s="29">
        <v>4</v>
      </c>
      <c r="J237" s="15" t="s">
        <v>60</v>
      </c>
      <c r="K237" s="30">
        <v>40.869140000000002</v>
      </c>
      <c r="L237" s="30">
        <v>71.991384999999994</v>
      </c>
      <c r="M237" s="15">
        <v>100</v>
      </c>
    </row>
    <row r="238" spans="1:13" ht="30" customHeight="1">
      <c r="A238" s="16" t="s">
        <v>13</v>
      </c>
      <c r="B238" s="30" t="s">
        <v>392</v>
      </c>
      <c r="C238" s="30" t="s">
        <v>332</v>
      </c>
      <c r="D238" s="27">
        <v>26306.098363300382</v>
      </c>
      <c r="E238" s="28">
        <v>15191.493887817287</v>
      </c>
      <c r="F238" s="27">
        <f t="shared" si="7"/>
        <v>11114.604475483095</v>
      </c>
      <c r="G238" s="27">
        <f t="shared" si="6"/>
        <v>42.251056473616288</v>
      </c>
      <c r="H238" s="29">
        <v>49</v>
      </c>
      <c r="I238" s="29">
        <v>3</v>
      </c>
      <c r="J238" s="15" t="s">
        <v>63</v>
      </c>
      <c r="K238" s="30">
        <v>40.820733333200003</v>
      </c>
      <c r="L238" s="30">
        <v>72.163296666700006</v>
      </c>
      <c r="M238" s="15">
        <v>160</v>
      </c>
    </row>
    <row r="239" spans="1:13" ht="30" customHeight="1">
      <c r="A239" s="16" t="s">
        <v>30</v>
      </c>
      <c r="B239" s="30" t="s">
        <v>391</v>
      </c>
      <c r="C239" s="30" t="s">
        <v>333</v>
      </c>
      <c r="D239" s="27">
        <v>27315.214963300379</v>
      </c>
      <c r="E239" s="28">
        <v>16074.360554483952</v>
      </c>
      <c r="F239" s="27">
        <f t="shared" si="7"/>
        <v>11240.854408816427</v>
      </c>
      <c r="G239" s="27">
        <f t="shared" si="6"/>
        <v>41.152355652039297</v>
      </c>
      <c r="H239" s="29">
        <v>65</v>
      </c>
      <c r="I239" s="29">
        <v>3</v>
      </c>
      <c r="J239" s="15" t="s">
        <v>64</v>
      </c>
      <c r="K239" s="30">
        <v>40.813206666600003</v>
      </c>
      <c r="L239" s="30">
        <v>72.109205000000003</v>
      </c>
      <c r="M239" s="15">
        <v>630</v>
      </c>
    </row>
    <row r="240" spans="1:13" ht="30" customHeight="1">
      <c r="A240" s="16" t="s">
        <v>13</v>
      </c>
      <c r="B240" s="30" t="s">
        <v>386</v>
      </c>
      <c r="C240" s="30" t="s">
        <v>334</v>
      </c>
      <c r="D240" s="27">
        <v>29043.491923300382</v>
      </c>
      <c r="E240" s="28">
        <v>17586.413887817285</v>
      </c>
      <c r="F240" s="27">
        <f t="shared" si="7"/>
        <v>11457.078035483097</v>
      </c>
      <c r="G240" s="27">
        <f t="shared" si="6"/>
        <v>39.448004619208895</v>
      </c>
      <c r="H240" s="29">
        <v>98</v>
      </c>
      <c r="I240" s="29">
        <v>6</v>
      </c>
      <c r="J240" s="15" t="s">
        <v>65</v>
      </c>
      <c r="K240" s="30">
        <v>40.872072950000003</v>
      </c>
      <c r="L240" s="30">
        <v>71.967303771499999</v>
      </c>
      <c r="M240" s="15">
        <v>100</v>
      </c>
    </row>
    <row r="241" spans="1:14" ht="30" customHeight="1">
      <c r="A241" s="16" t="s">
        <v>30</v>
      </c>
      <c r="B241" s="30" t="s">
        <v>389</v>
      </c>
      <c r="C241" s="30" t="s">
        <v>335</v>
      </c>
      <c r="D241" s="27">
        <v>28417.108873300378</v>
      </c>
      <c r="E241" s="28">
        <v>17038.397221150619</v>
      </c>
      <c r="F241" s="27">
        <f t="shared" si="7"/>
        <v>11378.711652149759</v>
      </c>
      <c r="G241" s="27">
        <f t="shared" si="6"/>
        <v>40.041763934827159</v>
      </c>
      <c r="H241" s="29">
        <v>70</v>
      </c>
      <c r="I241" s="29">
        <v>4</v>
      </c>
      <c r="J241" s="15" t="s">
        <v>62</v>
      </c>
      <c r="K241" s="30">
        <v>40.875613333300002</v>
      </c>
      <c r="L241" s="30">
        <v>72.034936666700006</v>
      </c>
      <c r="M241" s="15">
        <v>400</v>
      </c>
    </row>
    <row r="242" spans="1:14" ht="30" customHeight="1">
      <c r="A242" s="16" t="s">
        <v>13</v>
      </c>
      <c r="B242" s="30" t="s">
        <v>391</v>
      </c>
      <c r="C242" s="30" t="s">
        <v>336</v>
      </c>
      <c r="D242" s="27">
        <v>23717.511973300381</v>
      </c>
      <c r="E242" s="28">
        <v>12926.763887817287</v>
      </c>
      <c r="F242" s="27">
        <f t="shared" si="7"/>
        <v>10790.748085483094</v>
      </c>
      <c r="G242" s="27">
        <f t="shared" si="6"/>
        <v>45.496964848718576</v>
      </c>
      <c r="H242" s="29">
        <v>20</v>
      </c>
      <c r="I242" s="29">
        <v>3</v>
      </c>
      <c r="J242" s="15" t="s">
        <v>66</v>
      </c>
      <c r="K242" s="30">
        <v>40.813206666600003</v>
      </c>
      <c r="L242" s="30">
        <v>72.109205000000003</v>
      </c>
      <c r="M242" s="15">
        <v>100</v>
      </c>
    </row>
    <row r="243" spans="1:14" ht="30" customHeight="1">
      <c r="A243" s="16" t="s">
        <v>13</v>
      </c>
      <c r="B243" s="30" t="s">
        <v>391</v>
      </c>
      <c r="C243" s="30" t="s">
        <v>337</v>
      </c>
      <c r="D243" s="27">
        <v>24212.522413300379</v>
      </c>
      <c r="E243" s="28">
        <v>13359.843887817286</v>
      </c>
      <c r="F243" s="27">
        <f t="shared" si="7"/>
        <v>10852.678525483094</v>
      </c>
      <c r="G243" s="27">
        <f t="shared" si="6"/>
        <v>44.822585355755912</v>
      </c>
      <c r="H243" s="29">
        <v>45</v>
      </c>
      <c r="I243" s="29">
        <v>3</v>
      </c>
      <c r="J243" s="15" t="s">
        <v>59</v>
      </c>
      <c r="K243" s="30">
        <v>40.813206666600003</v>
      </c>
      <c r="L243" s="30">
        <v>72.109205000000003</v>
      </c>
      <c r="M243" s="15">
        <v>100</v>
      </c>
    </row>
    <row r="244" spans="1:14" ht="30" customHeight="1">
      <c r="A244" s="16" t="s">
        <v>13</v>
      </c>
      <c r="B244" s="30" t="s">
        <v>391</v>
      </c>
      <c r="C244" s="30" t="s">
        <v>338</v>
      </c>
      <c r="D244" s="27">
        <v>23833.252153300382</v>
      </c>
      <c r="E244" s="28">
        <v>13028.023887817286</v>
      </c>
      <c r="F244" s="27">
        <f t="shared" si="7"/>
        <v>10805.228265483096</v>
      </c>
      <c r="G244" s="27">
        <f t="shared" si="6"/>
        <v>45.336776517034451</v>
      </c>
      <c r="H244" s="29">
        <v>24</v>
      </c>
      <c r="I244" s="29">
        <v>4</v>
      </c>
      <c r="J244" s="15" t="s">
        <v>66</v>
      </c>
      <c r="K244" s="30">
        <v>40.813206666600003</v>
      </c>
      <c r="L244" s="30">
        <v>72.109205000000003</v>
      </c>
      <c r="M244" s="15">
        <v>25</v>
      </c>
    </row>
    <row r="245" spans="1:14" ht="30" customHeight="1">
      <c r="A245" s="16" t="s">
        <v>13</v>
      </c>
      <c r="B245" s="30" t="s">
        <v>387</v>
      </c>
      <c r="C245" s="30" t="s">
        <v>339</v>
      </c>
      <c r="D245" s="27">
        <v>23432.77543330038</v>
      </c>
      <c r="E245" s="28">
        <v>12677.650554483953</v>
      </c>
      <c r="F245" s="27">
        <f t="shared" si="7"/>
        <v>10755.124878816427</v>
      </c>
      <c r="G245" s="27">
        <f t="shared" si="6"/>
        <v>45.89778496119709</v>
      </c>
      <c r="H245" s="29">
        <v>32</v>
      </c>
      <c r="I245" s="29">
        <v>6</v>
      </c>
      <c r="J245" s="15" t="s">
        <v>66</v>
      </c>
      <c r="K245" s="30">
        <v>40.887124999999997</v>
      </c>
      <c r="L245" s="30">
        <v>71.961399</v>
      </c>
      <c r="M245" s="15">
        <v>63</v>
      </c>
    </row>
    <row r="246" spans="1:14" ht="30" customHeight="1">
      <c r="A246" s="16" t="s">
        <v>13</v>
      </c>
      <c r="B246" s="30" t="s">
        <v>388</v>
      </c>
      <c r="C246" s="30" t="s">
        <v>340</v>
      </c>
      <c r="D246" s="27">
        <v>23460.24172330038</v>
      </c>
      <c r="E246" s="28">
        <v>12701.680554483952</v>
      </c>
      <c r="F246" s="27">
        <f t="shared" si="7"/>
        <v>10758.561168816428</v>
      </c>
      <c r="G246" s="27">
        <f t="shared" si="6"/>
        <v>45.858697006225547</v>
      </c>
      <c r="H246" s="29">
        <v>95</v>
      </c>
      <c r="I246" s="29">
        <v>3</v>
      </c>
      <c r="J246" s="15" t="s">
        <v>67</v>
      </c>
      <c r="K246" s="30">
        <v>40.890337000000002</v>
      </c>
      <c r="L246" s="30">
        <v>72.009943000000007</v>
      </c>
      <c r="M246" s="15">
        <v>160</v>
      </c>
      <c r="N246" s="32">
        <v>7</v>
      </c>
    </row>
    <row r="247" spans="1:14" ht="30" customHeight="1">
      <c r="A247" s="16" t="s">
        <v>13</v>
      </c>
      <c r="B247" s="30" t="s">
        <v>390</v>
      </c>
      <c r="C247" s="30" t="s">
        <v>341</v>
      </c>
      <c r="D247" s="27">
        <v>23534.780563300381</v>
      </c>
      <c r="E247" s="28">
        <v>12766.893887817285</v>
      </c>
      <c r="F247" s="27">
        <f t="shared" si="7"/>
        <v>10767.886675483096</v>
      </c>
      <c r="G247" s="27">
        <f t="shared" si="6"/>
        <v>45.753078710554462</v>
      </c>
      <c r="H247" s="29">
        <v>54</v>
      </c>
      <c r="I247" s="29">
        <v>3</v>
      </c>
      <c r="J247" s="15" t="s">
        <v>60</v>
      </c>
      <c r="K247" s="13"/>
      <c r="L247" s="13"/>
      <c r="M247" s="15">
        <v>63</v>
      </c>
    </row>
    <row r="248" spans="1:14" ht="30" customHeight="1">
      <c r="A248" s="16" t="s">
        <v>13</v>
      </c>
      <c r="B248" s="30" t="s">
        <v>384</v>
      </c>
      <c r="C248" s="30" t="s">
        <v>122</v>
      </c>
      <c r="D248" s="27">
        <v>23432.77543330038</v>
      </c>
      <c r="E248" s="28">
        <v>12677.650554483953</v>
      </c>
      <c r="F248" s="27">
        <f t="shared" si="7"/>
        <v>10755.124878816427</v>
      </c>
      <c r="G248" s="27">
        <f t="shared" si="6"/>
        <v>45.89778496119709</v>
      </c>
      <c r="H248" s="29">
        <v>15</v>
      </c>
      <c r="I248" s="29">
        <v>4</v>
      </c>
      <c r="J248" s="15" t="s">
        <v>75</v>
      </c>
      <c r="K248" s="13"/>
      <c r="L248" s="13"/>
      <c r="M248" s="15">
        <v>160</v>
      </c>
    </row>
    <row r="249" spans="1:14" ht="30" customHeight="1">
      <c r="A249" s="16" t="s">
        <v>13</v>
      </c>
      <c r="B249" s="30" t="s">
        <v>387</v>
      </c>
      <c r="C249" s="30" t="s">
        <v>342</v>
      </c>
      <c r="D249" s="27">
        <v>40834.020793300384</v>
      </c>
      <c r="E249" s="28">
        <v>27901.837221150621</v>
      </c>
      <c r="F249" s="27">
        <f t="shared" si="7"/>
        <v>12932.183572149763</v>
      </c>
      <c r="G249" s="27">
        <f t="shared" si="6"/>
        <v>31.670120455714564</v>
      </c>
      <c r="H249" s="29">
        <v>71</v>
      </c>
      <c r="I249" s="29">
        <v>4</v>
      </c>
      <c r="J249" s="15" t="s">
        <v>75</v>
      </c>
      <c r="K249" s="13"/>
      <c r="L249" s="13"/>
      <c r="M249" s="15">
        <v>63</v>
      </c>
    </row>
    <row r="250" spans="1:14" ht="30" customHeight="1">
      <c r="A250" s="16" t="s">
        <v>13</v>
      </c>
      <c r="B250" s="30" t="s">
        <v>388</v>
      </c>
      <c r="C250" s="30" t="s">
        <v>343</v>
      </c>
      <c r="D250" s="27">
        <v>30126.259633300382</v>
      </c>
      <c r="E250" s="28">
        <v>18533.717221150619</v>
      </c>
      <c r="F250" s="27">
        <f t="shared" si="7"/>
        <v>11592.542412149764</v>
      </c>
      <c r="G250" s="27">
        <f t="shared" si="6"/>
        <v>38.479859608379073</v>
      </c>
      <c r="H250" s="29">
        <v>34</v>
      </c>
      <c r="I250" s="29">
        <v>3</v>
      </c>
      <c r="J250" s="15" t="s">
        <v>75</v>
      </c>
      <c r="K250" s="13">
        <v>40.876370000000001</v>
      </c>
      <c r="L250" s="13">
        <v>71.934290000000004</v>
      </c>
      <c r="M250" s="15">
        <v>63</v>
      </c>
    </row>
    <row r="251" spans="1:14" ht="30" customHeight="1">
      <c r="A251" s="16" t="s">
        <v>13</v>
      </c>
      <c r="B251" s="30" t="s">
        <v>389</v>
      </c>
      <c r="C251" s="30" t="s">
        <v>344</v>
      </c>
      <c r="D251" s="27">
        <v>25979.821393300379</v>
      </c>
      <c r="E251" s="28">
        <v>14906.037221150618</v>
      </c>
      <c r="F251" s="27">
        <f t="shared" si="7"/>
        <v>11073.784172149761</v>
      </c>
      <c r="G251" s="27">
        <f t="shared" si="6"/>
        <v>42.624558516039087</v>
      </c>
      <c r="H251" s="29">
        <v>25</v>
      </c>
      <c r="I251" s="29">
        <v>3</v>
      </c>
      <c r="J251" s="15" t="s">
        <v>75</v>
      </c>
      <c r="K251" s="13"/>
      <c r="L251" s="13"/>
      <c r="M251" s="15">
        <v>160</v>
      </c>
    </row>
    <row r="252" spans="1:14" ht="30" customHeight="1">
      <c r="A252" s="16" t="s">
        <v>13</v>
      </c>
      <c r="B252" s="30" t="s">
        <v>389</v>
      </c>
      <c r="C252" s="30" t="s">
        <v>345</v>
      </c>
      <c r="D252" s="27">
        <v>26208.810013300383</v>
      </c>
      <c r="E252" s="28">
        <v>15106.377221150618</v>
      </c>
      <c r="F252" s="27">
        <f t="shared" si="7"/>
        <v>11102.432792149764</v>
      </c>
      <c r="G252" s="27">
        <f t="shared" si="6"/>
        <v>42.361453215600129</v>
      </c>
      <c r="H252" s="29">
        <v>54</v>
      </c>
      <c r="I252" s="29">
        <v>5</v>
      </c>
      <c r="J252" s="15" t="s">
        <v>75</v>
      </c>
      <c r="K252" s="13"/>
      <c r="L252" s="13"/>
      <c r="M252" s="15">
        <v>63</v>
      </c>
    </row>
    <row r="253" spans="1:14" ht="30" customHeight="1">
      <c r="A253" s="16" t="s">
        <v>13</v>
      </c>
      <c r="B253" s="30" t="s">
        <v>386</v>
      </c>
      <c r="C253" s="30" t="s">
        <v>346</v>
      </c>
      <c r="D253" s="27">
        <v>27231.10921330038</v>
      </c>
      <c r="E253" s="28">
        <v>16000.77722115062</v>
      </c>
      <c r="F253" s="27">
        <f t="shared" si="7"/>
        <v>11230.33199214976</v>
      </c>
      <c r="G253" s="27">
        <f t="shared" si="6"/>
        <v>41.240817273299228</v>
      </c>
      <c r="H253" s="29">
        <v>51</v>
      </c>
      <c r="I253" s="29">
        <v>3</v>
      </c>
      <c r="J253" s="15" t="s">
        <v>59</v>
      </c>
      <c r="K253" s="13"/>
      <c r="L253" s="13"/>
      <c r="M253" s="15">
        <v>250</v>
      </c>
    </row>
    <row r="254" spans="1:14" ht="30" customHeight="1">
      <c r="A254" s="16" t="s">
        <v>13</v>
      </c>
      <c r="B254" s="30" t="s">
        <v>388</v>
      </c>
      <c r="C254" s="30" t="s">
        <v>347</v>
      </c>
      <c r="D254" s="27">
        <v>29819.657503300383</v>
      </c>
      <c r="E254" s="28">
        <v>18265.473887817287</v>
      </c>
      <c r="F254" s="27">
        <f t="shared" si="7"/>
        <v>11554.183615483096</v>
      </c>
      <c r="G254" s="27">
        <f t="shared" si="6"/>
        <v>38.746868954495206</v>
      </c>
      <c r="H254" s="29">
        <v>80</v>
      </c>
      <c r="I254" s="29">
        <v>4</v>
      </c>
      <c r="J254" s="15" t="s">
        <v>72</v>
      </c>
      <c r="K254" s="13"/>
      <c r="L254" s="13"/>
      <c r="M254" s="15">
        <v>25</v>
      </c>
    </row>
    <row r="255" spans="1:14" ht="30" customHeight="1">
      <c r="A255" s="16" t="s">
        <v>13</v>
      </c>
      <c r="B255" s="30" t="s">
        <v>387</v>
      </c>
      <c r="C255" s="30" t="s">
        <v>348</v>
      </c>
      <c r="D255" s="27">
        <v>27337.671103300381</v>
      </c>
      <c r="E255" s="28">
        <v>16094.007221150619</v>
      </c>
      <c r="F255" s="27">
        <f t="shared" si="7"/>
        <v>11243.663882149762</v>
      </c>
      <c r="G255" s="27">
        <f t="shared" si="6"/>
        <v>41.128828566499038</v>
      </c>
      <c r="H255" s="29">
        <v>55</v>
      </c>
      <c r="I255" s="29">
        <v>3</v>
      </c>
      <c r="J255" s="15" t="s">
        <v>76</v>
      </c>
      <c r="K255" s="13"/>
      <c r="L255" s="13"/>
      <c r="M255" s="15">
        <v>630</v>
      </c>
    </row>
    <row r="256" spans="1:14" ht="30" customHeight="1">
      <c r="A256" s="16" t="s">
        <v>30</v>
      </c>
      <c r="B256" s="30" t="s">
        <v>388</v>
      </c>
      <c r="C256" s="30" t="s">
        <v>349</v>
      </c>
      <c r="D256" s="27">
        <v>26253.756583300379</v>
      </c>
      <c r="E256" s="28">
        <v>15145.700554483952</v>
      </c>
      <c r="F256" s="27">
        <f t="shared" si="7"/>
        <v>11108.056028816427</v>
      </c>
      <c r="G256" s="27">
        <f t="shared" si="6"/>
        <v>42.310348972619387</v>
      </c>
      <c r="H256" s="29">
        <v>54</v>
      </c>
      <c r="I256" s="29">
        <v>3</v>
      </c>
      <c r="J256" s="15" t="s">
        <v>76</v>
      </c>
      <c r="K256" s="13"/>
      <c r="L256" s="13"/>
      <c r="M256" s="15">
        <v>400</v>
      </c>
    </row>
    <row r="257" spans="1:13" ht="30" customHeight="1">
      <c r="A257" s="16" t="s">
        <v>13</v>
      </c>
      <c r="B257" s="30" t="s">
        <v>387</v>
      </c>
      <c r="C257" s="30" t="s">
        <v>350</v>
      </c>
      <c r="D257" s="27">
        <v>28560.928753300381</v>
      </c>
      <c r="E257" s="28">
        <v>17164.223887817287</v>
      </c>
      <c r="F257" s="27">
        <f t="shared" si="7"/>
        <v>11396.704865483094</v>
      </c>
      <c r="G257" s="27">
        <f t="shared" si="6"/>
        <v>39.90313117589406</v>
      </c>
      <c r="H257" s="29">
        <v>19</v>
      </c>
      <c r="I257" s="29">
        <v>4</v>
      </c>
      <c r="J257" s="15" t="s">
        <v>55</v>
      </c>
      <c r="K257" s="13"/>
      <c r="L257" s="13"/>
      <c r="M257" s="15">
        <v>160</v>
      </c>
    </row>
    <row r="258" spans="1:13" ht="30" customHeight="1">
      <c r="A258" s="16" t="s">
        <v>13</v>
      </c>
      <c r="B258" s="30" t="s">
        <v>384</v>
      </c>
      <c r="C258" s="30" t="s">
        <v>99</v>
      </c>
      <c r="D258" s="27">
        <v>24722.574733300382</v>
      </c>
      <c r="E258" s="28">
        <v>13806.083887817287</v>
      </c>
      <c r="F258" s="27">
        <f t="shared" si="7"/>
        <v>10916.490845483095</v>
      </c>
      <c r="G258" s="27">
        <f t="shared" si="6"/>
        <v>44.155962569622616</v>
      </c>
      <c r="H258" s="29">
        <v>36</v>
      </c>
      <c r="I258" s="29">
        <v>4</v>
      </c>
      <c r="J258" s="15" t="s">
        <v>75</v>
      </c>
      <c r="K258" s="13"/>
      <c r="L258" s="13"/>
      <c r="M258" s="15">
        <v>160</v>
      </c>
    </row>
    <row r="259" spans="1:13" ht="30" customHeight="1">
      <c r="A259" s="16" t="s">
        <v>13</v>
      </c>
      <c r="B259" s="30" t="s">
        <v>390</v>
      </c>
      <c r="C259" s="30" t="s">
        <v>351</v>
      </c>
      <c r="D259" s="27">
        <v>23435.28622330038</v>
      </c>
      <c r="E259" s="28">
        <v>12679.84722115062</v>
      </c>
      <c r="F259" s="27">
        <f t="shared" si="7"/>
        <v>10755.43900214976</v>
      </c>
      <c r="G259" s="27">
        <f t="shared" ref="G259:G293" si="8">+F259*100/D259</f>
        <v>45.894207989046173</v>
      </c>
      <c r="H259" s="29">
        <v>38</v>
      </c>
      <c r="I259" s="29">
        <v>5</v>
      </c>
      <c r="J259" s="15" t="s">
        <v>75</v>
      </c>
      <c r="K259" s="13">
        <v>40.865291666700003</v>
      </c>
      <c r="L259" s="13">
        <v>71.961494999999999</v>
      </c>
      <c r="M259" s="15">
        <v>100</v>
      </c>
    </row>
    <row r="260" spans="1:13" ht="30" customHeight="1">
      <c r="A260" s="16" t="s">
        <v>30</v>
      </c>
      <c r="B260" s="30" t="s">
        <v>388</v>
      </c>
      <c r="C260" s="30" t="s">
        <v>352</v>
      </c>
      <c r="D260" s="27">
        <v>25053.153193300379</v>
      </c>
      <c r="E260" s="28">
        <v>14095.303887817285</v>
      </c>
      <c r="F260" s="27">
        <f t="shared" si="7"/>
        <v>10957.849305483094</v>
      </c>
      <c r="G260" s="27">
        <f t="shared" si="8"/>
        <v>43.738403788683179</v>
      </c>
      <c r="H260" s="29">
        <v>35</v>
      </c>
      <c r="I260" s="29">
        <v>4</v>
      </c>
      <c r="J260" s="15" t="s">
        <v>68</v>
      </c>
      <c r="K260" s="13"/>
      <c r="L260" s="13"/>
      <c r="M260" s="15">
        <v>100</v>
      </c>
    </row>
    <row r="261" spans="1:13" ht="30" customHeight="1">
      <c r="A261" s="16" t="s">
        <v>13</v>
      </c>
      <c r="B261" s="30" t="s">
        <v>389</v>
      </c>
      <c r="C261" s="30" t="s">
        <v>353</v>
      </c>
      <c r="D261" s="27">
        <v>28217.628703300383</v>
      </c>
      <c r="E261" s="28">
        <v>16863.873887817284</v>
      </c>
      <c r="F261" s="27">
        <f t="shared" ref="F261:F324" si="9">+D261-E261</f>
        <v>11353.754815483098</v>
      </c>
      <c r="G261" s="27">
        <f t="shared" si="8"/>
        <v>40.23638887187974</v>
      </c>
      <c r="H261" s="29">
        <v>67</v>
      </c>
      <c r="I261" s="29">
        <v>2</v>
      </c>
      <c r="J261" s="15" t="s">
        <v>72</v>
      </c>
      <c r="K261" s="13"/>
      <c r="L261" s="13"/>
      <c r="M261" s="15">
        <v>250</v>
      </c>
    </row>
    <row r="262" spans="1:13" ht="30" customHeight="1">
      <c r="A262" s="16" t="s">
        <v>30</v>
      </c>
      <c r="B262" s="30" t="s">
        <v>390</v>
      </c>
      <c r="C262" s="30" t="s">
        <v>354</v>
      </c>
      <c r="D262" s="27">
        <v>23432.77543330038</v>
      </c>
      <c r="E262" s="28">
        <v>12677.650554483953</v>
      </c>
      <c r="F262" s="27">
        <f t="shared" si="9"/>
        <v>10755.124878816427</v>
      </c>
      <c r="G262" s="27">
        <f t="shared" si="8"/>
        <v>45.89778496119709</v>
      </c>
      <c r="H262" s="29">
        <v>47</v>
      </c>
      <c r="I262" s="29">
        <v>1</v>
      </c>
      <c r="J262" s="15" t="s">
        <v>72</v>
      </c>
      <c r="K262" s="13"/>
      <c r="L262" s="13"/>
      <c r="M262" s="15">
        <v>160</v>
      </c>
    </row>
    <row r="263" spans="1:13" ht="30" customHeight="1">
      <c r="A263" s="16" t="s">
        <v>30</v>
      </c>
      <c r="B263" s="30" t="s">
        <v>387</v>
      </c>
      <c r="C263" s="30" t="s">
        <v>355</v>
      </c>
      <c r="D263" s="27">
        <v>130429.10830330038</v>
      </c>
      <c r="E263" s="28">
        <v>106287.74055448397</v>
      </c>
      <c r="F263" s="27">
        <f t="shared" si="9"/>
        <v>24141.36774881641</v>
      </c>
      <c r="G263" s="27">
        <f t="shared" si="8"/>
        <v>18.5091871460763</v>
      </c>
      <c r="H263" s="29">
        <v>74</v>
      </c>
      <c r="I263" s="29">
        <v>4</v>
      </c>
      <c r="J263" s="15" t="s">
        <v>71</v>
      </c>
      <c r="K263" s="13"/>
      <c r="L263" s="13"/>
      <c r="M263" s="15">
        <v>160</v>
      </c>
    </row>
    <row r="264" spans="1:13" ht="30" customHeight="1">
      <c r="A264" s="16" t="s">
        <v>30</v>
      </c>
      <c r="B264" s="30" t="s">
        <v>384</v>
      </c>
      <c r="C264" s="30" t="s">
        <v>120</v>
      </c>
      <c r="D264" s="27">
        <v>26911.33591330038</v>
      </c>
      <c r="E264" s="28">
        <v>15721.010554483953</v>
      </c>
      <c r="F264" s="27">
        <f t="shared" si="9"/>
        <v>11190.325358816426</v>
      </c>
      <c r="G264" s="27">
        <f t="shared" si="8"/>
        <v>41.582199393103473</v>
      </c>
      <c r="H264" s="29">
        <v>25</v>
      </c>
      <c r="I264" s="29">
        <v>3</v>
      </c>
      <c r="J264" s="15" t="s">
        <v>71</v>
      </c>
      <c r="K264" s="13"/>
      <c r="L264" s="13"/>
      <c r="M264" s="15">
        <v>100</v>
      </c>
    </row>
    <row r="265" spans="1:13" ht="30" customHeight="1">
      <c r="A265" s="16" t="s">
        <v>30</v>
      </c>
      <c r="B265" s="30" t="s">
        <v>384</v>
      </c>
      <c r="C265" s="30" t="s">
        <v>103</v>
      </c>
      <c r="D265" s="27">
        <v>26077.841263300383</v>
      </c>
      <c r="E265" s="28">
        <v>14991.793887817286</v>
      </c>
      <c r="F265" s="27">
        <f t="shared" si="9"/>
        <v>11086.047375483096</v>
      </c>
      <c r="G265" s="27">
        <f t="shared" si="8"/>
        <v>42.511369187159694</v>
      </c>
      <c r="H265" s="29">
        <v>84</v>
      </c>
      <c r="I265" s="29">
        <v>2</v>
      </c>
      <c r="J265" s="15" t="s">
        <v>77</v>
      </c>
      <c r="K265" s="13">
        <v>40.858196666700003</v>
      </c>
      <c r="L265" s="13">
        <v>72.1313583333</v>
      </c>
      <c r="M265" s="15">
        <v>250</v>
      </c>
    </row>
    <row r="266" spans="1:13" ht="30" customHeight="1">
      <c r="A266" s="16" t="s">
        <v>13</v>
      </c>
      <c r="B266" s="30" t="s">
        <v>388</v>
      </c>
      <c r="C266" s="30" t="s">
        <v>356</v>
      </c>
      <c r="D266" s="27">
        <v>23435.792953300381</v>
      </c>
      <c r="E266" s="28">
        <v>12680.290554483952</v>
      </c>
      <c r="F266" s="27">
        <f t="shared" si="9"/>
        <v>10755.502398816428</v>
      </c>
      <c r="G266" s="27">
        <f t="shared" si="8"/>
        <v>45.89348617411202</v>
      </c>
      <c r="H266" s="29">
        <v>11</v>
      </c>
      <c r="I266" s="29">
        <v>4</v>
      </c>
      <c r="J266" s="15" t="s">
        <v>69</v>
      </c>
      <c r="K266" s="13"/>
      <c r="L266" s="13"/>
      <c r="M266" s="15">
        <v>160</v>
      </c>
    </row>
    <row r="267" spans="1:13" ht="30" customHeight="1">
      <c r="A267" s="16" t="s">
        <v>30</v>
      </c>
      <c r="B267" s="30" t="s">
        <v>392</v>
      </c>
      <c r="C267" s="30" t="s">
        <v>357</v>
      </c>
      <c r="D267" s="27">
        <v>25619.216323300381</v>
      </c>
      <c r="E267" s="28">
        <v>14590.54722115062</v>
      </c>
      <c r="F267" s="27">
        <f t="shared" si="9"/>
        <v>11028.669102149761</v>
      </c>
      <c r="G267" s="27">
        <f t="shared" si="8"/>
        <v>43.048424912667272</v>
      </c>
      <c r="H267" s="29">
        <v>39</v>
      </c>
      <c r="I267" s="29">
        <v>2</v>
      </c>
      <c r="J267" s="15" t="s">
        <v>73</v>
      </c>
      <c r="K267" s="13"/>
      <c r="L267" s="13"/>
      <c r="M267" s="15">
        <v>160</v>
      </c>
    </row>
    <row r="268" spans="1:13" ht="30" customHeight="1">
      <c r="A268" s="16" t="s">
        <v>30</v>
      </c>
      <c r="B268" s="30" t="s">
        <v>389</v>
      </c>
      <c r="C268" s="30" t="s">
        <v>358</v>
      </c>
      <c r="D268" s="27">
        <v>25641.306703300383</v>
      </c>
      <c r="E268" s="28">
        <v>14609.873887817284</v>
      </c>
      <c r="F268" s="27">
        <f t="shared" si="9"/>
        <v>11031.432815483098</v>
      </c>
      <c r="G268" s="27">
        <f t="shared" si="8"/>
        <v>43.022116396522037</v>
      </c>
      <c r="H268" s="29">
        <v>32</v>
      </c>
      <c r="I268" s="29">
        <v>1</v>
      </c>
      <c r="J268" s="15" t="s">
        <v>78</v>
      </c>
      <c r="K268" s="13"/>
      <c r="L268" s="13"/>
      <c r="M268" s="15">
        <v>250</v>
      </c>
    </row>
    <row r="269" spans="1:13" ht="30" customHeight="1">
      <c r="A269" s="16" t="s">
        <v>30</v>
      </c>
      <c r="B269" s="30" t="s">
        <v>391</v>
      </c>
      <c r="C269" s="30" t="s">
        <v>359</v>
      </c>
      <c r="D269" s="27">
        <v>25124.22112330038</v>
      </c>
      <c r="E269" s="28">
        <v>14157.480554483955</v>
      </c>
      <c r="F269" s="27">
        <f t="shared" si="9"/>
        <v>10966.740568816425</v>
      </c>
      <c r="G269" s="27">
        <f t="shared" si="8"/>
        <v>43.650071837036144</v>
      </c>
      <c r="H269" s="29">
        <v>19</v>
      </c>
      <c r="I269" s="29">
        <v>1</v>
      </c>
      <c r="J269" s="15" t="s">
        <v>79</v>
      </c>
      <c r="K269" s="13">
        <v>40.883151666700002</v>
      </c>
      <c r="L269" s="13">
        <v>72.085181666699995</v>
      </c>
      <c r="M269" s="15">
        <v>160</v>
      </c>
    </row>
    <row r="270" spans="1:13" ht="30" customHeight="1">
      <c r="A270" s="16" t="s">
        <v>30</v>
      </c>
      <c r="B270" s="30" t="s">
        <v>384</v>
      </c>
      <c r="C270" s="30" t="s">
        <v>102</v>
      </c>
      <c r="D270" s="27">
        <v>24280.306123300383</v>
      </c>
      <c r="E270" s="28">
        <v>13419.147221150619</v>
      </c>
      <c r="F270" s="27">
        <f t="shared" si="9"/>
        <v>10861.158902149764</v>
      </c>
      <c r="G270" s="27">
        <f t="shared" si="8"/>
        <v>44.732380419730163</v>
      </c>
      <c r="H270" s="29">
        <v>27</v>
      </c>
      <c r="I270" s="29">
        <v>1</v>
      </c>
      <c r="J270" s="15" t="s">
        <v>80</v>
      </c>
      <c r="K270" s="13"/>
      <c r="L270" s="13"/>
      <c r="M270" s="15">
        <v>63</v>
      </c>
    </row>
    <row r="271" spans="1:13" ht="30" customHeight="1">
      <c r="A271" s="16" t="s">
        <v>30</v>
      </c>
      <c r="B271" s="30" t="s">
        <v>392</v>
      </c>
      <c r="C271" s="30" t="s">
        <v>360</v>
      </c>
      <c r="D271" s="27">
        <v>28367.449333300377</v>
      </c>
      <c r="E271" s="28">
        <v>16994.950554483952</v>
      </c>
      <c r="F271" s="27">
        <f t="shared" si="9"/>
        <v>11372.498778816425</v>
      </c>
      <c r="G271" s="27">
        <f t="shared" si="8"/>
        <v>40.089958900415894</v>
      </c>
      <c r="H271" s="29">
        <v>72</v>
      </c>
      <c r="I271" s="29">
        <v>1</v>
      </c>
      <c r="J271" s="15" t="s">
        <v>75</v>
      </c>
      <c r="K271" s="13"/>
      <c r="L271" s="13"/>
      <c r="M271" s="15">
        <v>400</v>
      </c>
    </row>
    <row r="272" spans="1:13" ht="30" customHeight="1">
      <c r="A272" s="16" t="s">
        <v>13</v>
      </c>
      <c r="B272" s="30" t="s">
        <v>388</v>
      </c>
      <c r="C272" s="30" t="s">
        <v>361</v>
      </c>
      <c r="D272" s="27">
        <v>24940.133353300382</v>
      </c>
      <c r="E272" s="28">
        <v>13996.423887817287</v>
      </c>
      <c r="F272" s="27">
        <f t="shared" si="9"/>
        <v>10943.709465483094</v>
      </c>
      <c r="G272" s="27">
        <f t="shared" si="8"/>
        <v>43.879915598105207</v>
      </c>
      <c r="H272" s="29">
        <v>47</v>
      </c>
      <c r="I272" s="29">
        <v>2</v>
      </c>
      <c r="J272" s="15" t="s">
        <v>75</v>
      </c>
      <c r="K272" s="13"/>
      <c r="L272" s="13"/>
      <c r="M272" s="15">
        <v>400</v>
      </c>
    </row>
    <row r="273" spans="1:13" ht="30" customHeight="1">
      <c r="A273" s="16" t="s">
        <v>13</v>
      </c>
      <c r="B273" s="30" t="s">
        <v>387</v>
      </c>
      <c r="C273" s="30" t="s">
        <v>362</v>
      </c>
      <c r="D273" s="27">
        <v>35014.680133300382</v>
      </c>
      <c r="E273" s="28">
        <v>22810.550554483954</v>
      </c>
      <c r="F273" s="27">
        <f t="shared" si="9"/>
        <v>12204.129578816428</v>
      </c>
      <c r="G273" s="27">
        <f t="shared" si="8"/>
        <v>34.854322622270097</v>
      </c>
      <c r="H273" s="29">
        <v>48</v>
      </c>
      <c r="I273" s="29">
        <v>2</v>
      </c>
      <c r="J273" s="15" t="s">
        <v>68</v>
      </c>
      <c r="K273" s="13">
        <v>40.890700000000002</v>
      </c>
      <c r="L273" s="13">
        <v>71.955235000000002</v>
      </c>
      <c r="M273" s="15">
        <v>40</v>
      </c>
    </row>
    <row r="274" spans="1:13" ht="30" customHeight="1">
      <c r="A274" s="16" t="s">
        <v>13</v>
      </c>
      <c r="B274" s="30" t="s">
        <v>388</v>
      </c>
      <c r="C274" s="30" t="s">
        <v>363</v>
      </c>
      <c r="D274" s="27">
        <v>23816.61007330038</v>
      </c>
      <c r="E274" s="28">
        <v>13013.463887817285</v>
      </c>
      <c r="F274" s="27">
        <f t="shared" si="9"/>
        <v>10803.146185483096</v>
      </c>
      <c r="G274" s="27">
        <f t="shared" si="8"/>
        <v>45.3597138813385</v>
      </c>
      <c r="H274" s="29">
        <v>25</v>
      </c>
      <c r="I274" s="29">
        <v>4</v>
      </c>
      <c r="J274" s="15" t="s">
        <v>74</v>
      </c>
      <c r="K274" s="13">
        <v>40.883293333300003</v>
      </c>
      <c r="L274" s="13">
        <v>71.964291666700007</v>
      </c>
      <c r="M274" s="15">
        <v>63</v>
      </c>
    </row>
    <row r="275" spans="1:13" ht="30" customHeight="1">
      <c r="A275" s="16" t="s">
        <v>13</v>
      </c>
      <c r="B275" s="30" t="s">
        <v>389</v>
      </c>
      <c r="C275" s="30" t="s">
        <v>364</v>
      </c>
      <c r="D275" s="27">
        <v>27312.547963300378</v>
      </c>
      <c r="E275" s="28">
        <v>16072.02722115062</v>
      </c>
      <c r="F275" s="27">
        <f t="shared" si="9"/>
        <v>11240.520742149758</v>
      </c>
      <c r="G275" s="27">
        <f t="shared" si="8"/>
        <v>41.155152412925894</v>
      </c>
      <c r="H275" s="29">
        <v>69</v>
      </c>
      <c r="I275" s="29">
        <v>2</v>
      </c>
      <c r="J275" s="15" t="s">
        <v>76</v>
      </c>
      <c r="K275" s="13">
        <v>40.875286666699999</v>
      </c>
      <c r="L275" s="13">
        <v>71.9537066667</v>
      </c>
      <c r="M275" s="15">
        <v>25</v>
      </c>
    </row>
    <row r="276" spans="1:13" ht="30" customHeight="1">
      <c r="A276" s="16" t="s">
        <v>13</v>
      </c>
      <c r="B276" s="30" t="s">
        <v>386</v>
      </c>
      <c r="C276" s="30" t="s">
        <v>365</v>
      </c>
      <c r="D276" s="27">
        <v>25611.703003300379</v>
      </c>
      <c r="E276" s="28">
        <v>14583.973887817287</v>
      </c>
      <c r="F276" s="27">
        <f t="shared" si="9"/>
        <v>11027.729115483093</v>
      </c>
      <c r="G276" s="27">
        <f t="shared" si="8"/>
        <v>43.057383236335497</v>
      </c>
      <c r="H276" s="29">
        <v>37</v>
      </c>
      <c r="I276" s="29">
        <v>1</v>
      </c>
      <c r="J276" s="15" t="s">
        <v>81</v>
      </c>
      <c r="K276" s="13"/>
      <c r="L276" s="13"/>
      <c r="M276" s="15">
        <v>160</v>
      </c>
    </row>
    <row r="277" spans="1:13" ht="30" customHeight="1">
      <c r="A277" s="16" t="s">
        <v>13</v>
      </c>
      <c r="B277" s="30" t="s">
        <v>389</v>
      </c>
      <c r="C277" s="30" t="s">
        <v>366</v>
      </c>
      <c r="D277" s="27">
        <v>25332.570973300382</v>
      </c>
      <c r="E277" s="28">
        <v>14339.763887817287</v>
      </c>
      <c r="F277" s="27">
        <f t="shared" si="9"/>
        <v>10992.807085483095</v>
      </c>
      <c r="G277" s="27">
        <f t="shared" si="8"/>
        <v>43.393965409468777</v>
      </c>
      <c r="H277" s="29">
        <v>14</v>
      </c>
      <c r="I277" s="29">
        <v>1</v>
      </c>
      <c r="J277" s="15" t="s">
        <v>77</v>
      </c>
      <c r="K277" s="13"/>
      <c r="L277" s="13"/>
      <c r="M277" s="15">
        <v>60</v>
      </c>
    </row>
    <row r="278" spans="1:13" ht="30" customHeight="1">
      <c r="A278" s="16" t="s">
        <v>30</v>
      </c>
      <c r="B278" s="30" t="s">
        <v>384</v>
      </c>
      <c r="C278" s="30" t="s">
        <v>91</v>
      </c>
      <c r="D278" s="27">
        <v>24537.062023300379</v>
      </c>
      <c r="E278" s="28">
        <v>13643.780554483954</v>
      </c>
      <c r="F278" s="27">
        <f t="shared" si="9"/>
        <v>10893.281468816425</v>
      </c>
      <c r="G278" s="27">
        <f t="shared" si="8"/>
        <v>44.39521511773566</v>
      </c>
      <c r="H278" s="29">
        <v>16</v>
      </c>
      <c r="I278" s="29">
        <v>2</v>
      </c>
      <c r="J278" s="15" t="s">
        <v>82</v>
      </c>
      <c r="K278" s="13"/>
      <c r="L278" s="13"/>
      <c r="M278" s="15">
        <v>250</v>
      </c>
    </row>
    <row r="279" spans="1:13" ht="30" customHeight="1">
      <c r="A279" s="16" t="s">
        <v>30</v>
      </c>
      <c r="B279" s="30" t="s">
        <v>390</v>
      </c>
      <c r="C279" s="30" t="s">
        <v>367</v>
      </c>
      <c r="D279" s="27">
        <v>31382.237563300383</v>
      </c>
      <c r="E279" s="28">
        <v>19632.560554483953</v>
      </c>
      <c r="F279" s="27">
        <f t="shared" si="9"/>
        <v>11749.67700881643</v>
      </c>
      <c r="G279" s="27">
        <f t="shared" si="8"/>
        <v>37.440532992959568</v>
      </c>
      <c r="H279" s="29">
        <v>48</v>
      </c>
      <c r="I279" s="29">
        <v>2</v>
      </c>
      <c r="J279" s="15" t="s">
        <v>70</v>
      </c>
      <c r="K279" s="13">
        <v>40.870626666699998</v>
      </c>
      <c r="L279" s="13">
        <v>72.030681666700005</v>
      </c>
      <c r="M279" s="15">
        <v>40</v>
      </c>
    </row>
    <row r="280" spans="1:13" ht="30" customHeight="1">
      <c r="A280" s="16" t="s">
        <v>30</v>
      </c>
      <c r="B280" s="30" t="s">
        <v>384</v>
      </c>
      <c r="C280" s="30" t="s">
        <v>106</v>
      </c>
      <c r="D280" s="27">
        <v>25075.239763300382</v>
      </c>
      <c r="E280" s="28">
        <v>14114.627221150618</v>
      </c>
      <c r="F280" s="27">
        <f t="shared" si="9"/>
        <v>10960.612542149764</v>
      </c>
      <c r="G280" s="27">
        <f t="shared" si="8"/>
        <v>43.710898263040725</v>
      </c>
      <c r="H280" s="29">
        <v>42</v>
      </c>
      <c r="I280" s="29">
        <v>5</v>
      </c>
      <c r="J280" s="15" t="s">
        <v>59</v>
      </c>
      <c r="K280" s="13"/>
      <c r="L280" s="13"/>
      <c r="M280" s="15">
        <v>250</v>
      </c>
    </row>
    <row r="281" spans="1:13" ht="30" customHeight="1">
      <c r="A281" s="16" t="s">
        <v>13</v>
      </c>
      <c r="B281" s="30" t="s">
        <v>388</v>
      </c>
      <c r="C281" s="30" t="s">
        <v>368</v>
      </c>
      <c r="D281" s="27">
        <v>24692.26618330038</v>
      </c>
      <c r="E281" s="28">
        <v>13779.567221150621</v>
      </c>
      <c r="F281" s="27">
        <f t="shared" si="9"/>
        <v>10912.69896214976</v>
      </c>
      <c r="G281" s="27">
        <f t="shared" si="8"/>
        <v>44.194805293044041</v>
      </c>
      <c r="H281" s="29">
        <v>32</v>
      </c>
      <c r="I281" s="29">
        <v>1</v>
      </c>
      <c r="J281" s="15" t="s">
        <v>83</v>
      </c>
      <c r="K281" s="13"/>
      <c r="L281" s="13"/>
      <c r="M281" s="15">
        <v>63</v>
      </c>
    </row>
    <row r="282" spans="1:13" ht="30" customHeight="1">
      <c r="A282" s="16" t="s">
        <v>13</v>
      </c>
      <c r="B282" s="30" t="s">
        <v>389</v>
      </c>
      <c r="C282" s="30" t="s">
        <v>369</v>
      </c>
      <c r="D282" s="27">
        <v>29115.173263300385</v>
      </c>
      <c r="E282" s="28">
        <v>17649.127221150618</v>
      </c>
      <c r="F282" s="27">
        <f t="shared" si="9"/>
        <v>11466.046042149766</v>
      </c>
      <c r="G282" s="27">
        <f t="shared" si="8"/>
        <v>39.381685756968146</v>
      </c>
      <c r="H282" s="29">
        <v>68</v>
      </c>
      <c r="I282" s="29">
        <v>3</v>
      </c>
      <c r="J282" s="15" t="s">
        <v>55</v>
      </c>
      <c r="K282" s="13"/>
      <c r="L282" s="13"/>
      <c r="M282" s="15">
        <v>400</v>
      </c>
    </row>
    <row r="283" spans="1:13" ht="30" customHeight="1">
      <c r="A283" s="16" t="s">
        <v>13</v>
      </c>
      <c r="B283" s="30" t="s">
        <v>390</v>
      </c>
      <c r="C283" s="30" t="s">
        <v>370</v>
      </c>
      <c r="D283" s="27">
        <v>26379.086533300382</v>
      </c>
      <c r="E283" s="28">
        <v>15255.350554483954</v>
      </c>
      <c r="F283" s="27">
        <f t="shared" si="9"/>
        <v>11123.735978816429</v>
      </c>
      <c r="G283" s="27">
        <f t="shared" si="8"/>
        <v>42.16876867504137</v>
      </c>
      <c r="H283" s="29">
        <v>46</v>
      </c>
      <c r="I283" s="29">
        <v>5</v>
      </c>
      <c r="J283" s="15" t="s">
        <v>56</v>
      </c>
      <c r="K283" s="13"/>
      <c r="L283" s="13"/>
      <c r="M283" s="15">
        <v>25</v>
      </c>
    </row>
    <row r="284" spans="1:13" ht="30" customHeight="1">
      <c r="A284" s="16" t="s">
        <v>13</v>
      </c>
      <c r="B284" s="30" t="s">
        <v>391</v>
      </c>
      <c r="C284" s="30" t="s">
        <v>371</v>
      </c>
      <c r="D284" s="27">
        <v>24742.241953300381</v>
      </c>
      <c r="E284" s="28">
        <v>13823.290554483952</v>
      </c>
      <c r="F284" s="27">
        <f t="shared" si="9"/>
        <v>10918.951398816429</v>
      </c>
      <c r="G284" s="27">
        <f t="shared" si="8"/>
        <v>44.130808434519999</v>
      </c>
      <c r="H284" s="29">
        <v>38</v>
      </c>
      <c r="I284" s="29">
        <v>3</v>
      </c>
      <c r="J284" s="15" t="s">
        <v>75</v>
      </c>
      <c r="K284" s="13"/>
      <c r="L284" s="13"/>
      <c r="M284" s="15">
        <v>25</v>
      </c>
    </row>
    <row r="285" spans="1:13" ht="30" customHeight="1">
      <c r="A285" s="16" t="s">
        <v>13</v>
      </c>
      <c r="B285" s="30" t="s">
        <v>388</v>
      </c>
      <c r="C285" s="30" t="s">
        <v>372</v>
      </c>
      <c r="D285" s="27">
        <v>25036.968313300382</v>
      </c>
      <c r="E285" s="28">
        <v>14081.143887817285</v>
      </c>
      <c r="F285" s="27">
        <f t="shared" si="9"/>
        <v>10955.824425483097</v>
      </c>
      <c r="G285" s="27">
        <f t="shared" si="8"/>
        <v>43.758590450677836</v>
      </c>
      <c r="H285" s="29">
        <v>21</v>
      </c>
      <c r="I285" s="29">
        <v>4</v>
      </c>
      <c r="J285" s="15" t="s">
        <v>55</v>
      </c>
      <c r="K285" s="13">
        <v>40.882366666700001</v>
      </c>
      <c r="L285" s="13">
        <v>72.011693333300002</v>
      </c>
      <c r="M285" s="15">
        <v>63</v>
      </c>
    </row>
    <row r="286" spans="1:13" ht="30" customHeight="1">
      <c r="A286" s="16" t="s">
        <v>30</v>
      </c>
      <c r="B286" s="30" t="s">
        <v>392</v>
      </c>
      <c r="C286" s="30" t="s">
        <v>373</v>
      </c>
      <c r="D286" s="27">
        <v>31319.631643300381</v>
      </c>
      <c r="E286" s="28">
        <v>19577.787221150618</v>
      </c>
      <c r="F286" s="27">
        <f t="shared" si="9"/>
        <v>11741.844422149763</v>
      </c>
      <c r="G286" s="27">
        <f t="shared" si="8"/>
        <v>37.490365646306934</v>
      </c>
      <c r="H286" s="29">
        <v>163</v>
      </c>
      <c r="I286" s="29">
        <v>5</v>
      </c>
      <c r="J286" s="15" t="s">
        <v>84</v>
      </c>
      <c r="K286" s="13"/>
      <c r="L286" s="13"/>
      <c r="M286" s="15">
        <v>100</v>
      </c>
    </row>
    <row r="287" spans="1:13" ht="30" customHeight="1">
      <c r="A287" s="16" t="s">
        <v>13</v>
      </c>
      <c r="B287" s="30" t="s">
        <v>388</v>
      </c>
      <c r="C287" s="30" t="s">
        <v>26</v>
      </c>
      <c r="D287" s="27">
        <v>24700.11859330038</v>
      </c>
      <c r="E287" s="28">
        <v>13786.43722115062</v>
      </c>
      <c r="F287" s="27">
        <f t="shared" si="9"/>
        <v>10913.68137214976</v>
      </c>
      <c r="G287" s="27">
        <f t="shared" si="8"/>
        <v>44.184732680230809</v>
      </c>
      <c r="H287" s="29">
        <v>27</v>
      </c>
      <c r="I287" s="29">
        <v>2</v>
      </c>
      <c r="J287" s="15" t="s">
        <v>85</v>
      </c>
      <c r="K287" s="13"/>
      <c r="L287" s="13"/>
      <c r="M287" s="15">
        <v>100</v>
      </c>
    </row>
    <row r="288" spans="1:13" ht="30" customHeight="1">
      <c r="A288" s="16" t="s">
        <v>13</v>
      </c>
      <c r="B288" s="30" t="s">
        <v>390</v>
      </c>
      <c r="C288" s="30" t="s">
        <v>374</v>
      </c>
      <c r="D288" s="27">
        <v>26456.014243300382</v>
      </c>
      <c r="E288" s="28">
        <v>15322.653887817287</v>
      </c>
      <c r="F288" s="27">
        <f t="shared" si="9"/>
        <v>11133.360355483095</v>
      </c>
      <c r="G288" s="27">
        <f t="shared" si="8"/>
        <v>42.082530849492812</v>
      </c>
      <c r="H288" s="29">
        <v>39</v>
      </c>
      <c r="I288" s="29">
        <v>2</v>
      </c>
      <c r="J288" s="15" t="s">
        <v>81</v>
      </c>
      <c r="K288" s="13"/>
      <c r="L288" s="13"/>
      <c r="M288" s="15">
        <v>100</v>
      </c>
    </row>
    <row r="289" spans="1:13" ht="30" customHeight="1">
      <c r="A289" s="16" t="s">
        <v>13</v>
      </c>
      <c r="B289" s="30" t="s">
        <v>390</v>
      </c>
      <c r="C289" s="30" t="s">
        <v>375</v>
      </c>
      <c r="D289" s="27">
        <v>25886.373523300383</v>
      </c>
      <c r="E289" s="28">
        <v>14824.280554483954</v>
      </c>
      <c r="F289" s="27">
        <f t="shared" si="9"/>
        <v>11062.092968816429</v>
      </c>
      <c r="G289" s="27">
        <f t="shared" si="8"/>
        <v>42.733266437878655</v>
      </c>
      <c r="H289" s="29">
        <v>46</v>
      </c>
      <c r="I289" s="29">
        <v>4</v>
      </c>
      <c r="J289" s="15" t="s">
        <v>65</v>
      </c>
      <c r="K289" s="13"/>
      <c r="L289" s="13"/>
      <c r="M289" s="15">
        <v>63</v>
      </c>
    </row>
    <row r="290" spans="1:13" ht="30" customHeight="1">
      <c r="A290" s="16" t="s">
        <v>13</v>
      </c>
      <c r="B290" s="30" t="s">
        <v>390</v>
      </c>
      <c r="C290" s="30" t="s">
        <v>376</v>
      </c>
      <c r="D290" s="27">
        <v>26725.895593300382</v>
      </c>
      <c r="E290" s="28">
        <v>15558.770554483952</v>
      </c>
      <c r="F290" s="27">
        <f t="shared" si="9"/>
        <v>11167.12503881643</v>
      </c>
      <c r="G290" s="27">
        <f t="shared" si="8"/>
        <v>41.783913283024994</v>
      </c>
      <c r="H290" s="29">
        <v>59</v>
      </c>
      <c r="I290" s="29">
        <v>2</v>
      </c>
      <c r="J290" s="15" t="s">
        <v>60</v>
      </c>
      <c r="K290" s="13"/>
      <c r="L290" s="13"/>
      <c r="M290" s="15">
        <v>160</v>
      </c>
    </row>
    <row r="291" spans="1:13" ht="30" customHeight="1">
      <c r="A291" s="16" t="s">
        <v>13</v>
      </c>
      <c r="B291" s="30" t="s">
        <v>389</v>
      </c>
      <c r="C291" s="30" t="s">
        <v>377</v>
      </c>
      <c r="D291" s="27">
        <v>29760.85015330038</v>
      </c>
      <c r="E291" s="28">
        <v>18214.023887817286</v>
      </c>
      <c r="F291" s="27">
        <f t="shared" si="9"/>
        <v>11546.826265483094</v>
      </c>
      <c r="G291" s="27">
        <f t="shared" si="8"/>
        <v>38.798711078495813</v>
      </c>
      <c r="H291" s="29">
        <v>94</v>
      </c>
      <c r="I291" s="29">
        <v>2</v>
      </c>
      <c r="J291" s="15" t="s">
        <v>60</v>
      </c>
      <c r="K291" s="13">
        <v>40.881914999999999</v>
      </c>
      <c r="L291" s="13">
        <v>71.997399999999999</v>
      </c>
      <c r="M291" s="15">
        <v>100</v>
      </c>
    </row>
    <row r="292" spans="1:13" ht="30" customHeight="1">
      <c r="A292" s="16" t="s">
        <v>13</v>
      </c>
      <c r="B292" s="30" t="s">
        <v>392</v>
      </c>
      <c r="C292" s="30" t="s">
        <v>378</v>
      </c>
      <c r="D292" s="27">
        <v>25054.246663300379</v>
      </c>
      <c r="E292" s="28">
        <v>14096.260554483953</v>
      </c>
      <c r="F292" s="27">
        <f t="shared" si="9"/>
        <v>10957.986108816425</v>
      </c>
      <c r="G292" s="27">
        <f t="shared" si="8"/>
        <v>43.737040894020382</v>
      </c>
      <c r="H292" s="29">
        <v>29</v>
      </c>
      <c r="I292" s="29">
        <v>1</v>
      </c>
      <c r="J292" s="15" t="s">
        <v>55</v>
      </c>
      <c r="K292" s="13"/>
      <c r="L292" s="13"/>
      <c r="M292" s="15">
        <v>160</v>
      </c>
    </row>
    <row r="293" spans="1:13" ht="30" customHeight="1">
      <c r="A293" s="16" t="s">
        <v>30</v>
      </c>
      <c r="B293" s="30" t="s">
        <v>391</v>
      </c>
      <c r="C293" s="30" t="s">
        <v>379</v>
      </c>
      <c r="D293" s="27">
        <v>26885.332663300382</v>
      </c>
      <c r="E293" s="28">
        <v>15698.260554483953</v>
      </c>
      <c r="F293" s="27">
        <f t="shared" si="9"/>
        <v>11187.072108816428</v>
      </c>
      <c r="G293" s="27">
        <f t="shared" si="8"/>
        <v>41.610316855358292</v>
      </c>
      <c r="H293" s="29">
        <v>26</v>
      </c>
      <c r="I293" s="29">
        <v>2</v>
      </c>
      <c r="J293" s="15" t="s">
        <v>75</v>
      </c>
      <c r="K293" s="13">
        <v>40.837551666700001</v>
      </c>
      <c r="L293" s="13">
        <v>72.172751666699995</v>
      </c>
      <c r="M293" s="15">
        <v>100</v>
      </c>
    </row>
    <row r="294" spans="1:13" ht="30" customHeight="1">
      <c r="A294" s="16" t="s">
        <v>30</v>
      </c>
      <c r="B294" s="30" t="s">
        <v>388</v>
      </c>
      <c r="C294" s="30" t="s">
        <v>380</v>
      </c>
      <c r="D294" s="27">
        <v>24439.89178330038</v>
      </c>
      <c r="E294" s="28">
        <v>13558.767221150618</v>
      </c>
      <c r="F294" s="27">
        <f t="shared" si="9"/>
        <v>10881.124562149762</v>
      </c>
      <c r="G294" s="27">
        <f t="shared" ref="G294:G355" si="10">+F294*100/D294</f>
        <v>44.521983397589203</v>
      </c>
      <c r="H294" s="29">
        <v>24</v>
      </c>
      <c r="I294" s="29">
        <v>1</v>
      </c>
      <c r="J294" s="15" t="s">
        <v>86</v>
      </c>
      <c r="K294" s="13">
        <v>40.883151666700002</v>
      </c>
      <c r="L294" s="13">
        <v>72.085181666699995</v>
      </c>
      <c r="M294" s="15">
        <v>63</v>
      </c>
    </row>
    <row r="295" spans="1:13" ht="30" customHeight="1">
      <c r="A295" s="16" t="s">
        <v>13</v>
      </c>
      <c r="B295" s="30" t="s">
        <v>390</v>
      </c>
      <c r="C295" s="30" t="s">
        <v>381</v>
      </c>
      <c r="D295" s="27">
        <v>24234.63184330038</v>
      </c>
      <c r="E295" s="28">
        <v>13379.18722115062</v>
      </c>
      <c r="F295" s="27">
        <f t="shared" si="9"/>
        <v>10855.44462214976</v>
      </c>
      <c r="G295" s="27">
        <f t="shared" si="10"/>
        <v>44.7931072043528</v>
      </c>
      <c r="H295" s="29">
        <v>13</v>
      </c>
      <c r="I295" s="29">
        <v>2</v>
      </c>
      <c r="J295" s="15" t="s">
        <v>70</v>
      </c>
      <c r="K295" s="13">
        <v>40.883535000000002</v>
      </c>
      <c r="L295" s="13">
        <v>71.979993333300001</v>
      </c>
      <c r="M295" s="15">
        <v>100</v>
      </c>
    </row>
    <row r="296" spans="1:13" ht="30" customHeight="1">
      <c r="A296" s="16" t="s">
        <v>30</v>
      </c>
      <c r="B296" s="30" t="s">
        <v>385</v>
      </c>
      <c r="C296" s="30" t="s">
        <v>382</v>
      </c>
      <c r="D296" s="27">
        <v>29581.300093300379</v>
      </c>
      <c r="E296" s="28">
        <v>18056.93722115062</v>
      </c>
      <c r="F296" s="27">
        <f t="shared" si="9"/>
        <v>11524.362872149759</v>
      </c>
      <c r="G296" s="27">
        <f t="shared" si="10"/>
        <v>38.958270379603142</v>
      </c>
      <c r="H296" s="29">
        <v>135</v>
      </c>
      <c r="I296" s="29">
        <v>13</v>
      </c>
      <c r="J296" s="15" t="s">
        <v>56</v>
      </c>
      <c r="K296" s="13">
        <v>40.858853333299997</v>
      </c>
      <c r="L296" s="13">
        <v>72.0770083333</v>
      </c>
      <c r="M296" s="15">
        <v>100</v>
      </c>
    </row>
    <row r="297" spans="1:13" ht="30" customHeight="1">
      <c r="A297" s="16" t="s">
        <v>45</v>
      </c>
      <c r="B297" s="30" t="s">
        <v>385</v>
      </c>
      <c r="C297" s="30" t="s">
        <v>383</v>
      </c>
      <c r="D297" s="27">
        <v>23820.762191391597</v>
      </c>
      <c r="E297" s="28">
        <v>13017.191427231701</v>
      </c>
      <c r="F297" s="27">
        <f t="shared" si="9"/>
        <v>10803.570764159896</v>
      </c>
      <c r="G297" s="27">
        <f t="shared" si="10"/>
        <v>45.353589769113746</v>
      </c>
      <c r="H297" s="29">
        <v>1</v>
      </c>
      <c r="I297" s="29">
        <v>3</v>
      </c>
      <c r="J297" s="15" t="s">
        <v>87</v>
      </c>
      <c r="K297" s="13">
        <v>40.833135628299999</v>
      </c>
      <c r="L297" s="13">
        <v>72.203557438199994</v>
      </c>
      <c r="M297" s="15">
        <v>630</v>
      </c>
    </row>
    <row r="298" spans="1:13" ht="30" customHeight="1">
      <c r="A298" s="16" t="s">
        <v>30</v>
      </c>
      <c r="B298" s="30" t="s">
        <v>384</v>
      </c>
      <c r="C298" s="30" t="s">
        <v>114</v>
      </c>
      <c r="D298" s="27">
        <v>23745.511663300382</v>
      </c>
      <c r="E298" s="28">
        <v>12951.260554483953</v>
      </c>
      <c r="F298" s="27">
        <f t="shared" si="9"/>
        <v>10794.251108816428</v>
      </c>
      <c r="G298" s="27">
        <f t="shared" si="10"/>
        <v>45.45806913691132</v>
      </c>
      <c r="H298" s="29">
        <v>18</v>
      </c>
      <c r="I298" s="29">
        <v>2</v>
      </c>
      <c r="J298" s="15" t="s">
        <v>88</v>
      </c>
      <c r="K298" s="13">
        <v>40.8940533333</v>
      </c>
      <c r="L298" s="13">
        <v>71.926556666699994</v>
      </c>
      <c r="M298" s="15">
        <v>40</v>
      </c>
    </row>
    <row r="299" spans="1:13" ht="30" customHeight="1">
      <c r="A299" s="16" t="s">
        <v>13</v>
      </c>
      <c r="B299" s="30" t="s">
        <v>388</v>
      </c>
      <c r="C299" s="30" t="s">
        <v>402</v>
      </c>
      <c r="D299" s="44">
        <v>3133.8649999999998</v>
      </c>
      <c r="E299" s="44">
        <v>3133.8649999999998</v>
      </c>
      <c r="F299" s="27">
        <f t="shared" si="9"/>
        <v>0</v>
      </c>
      <c r="G299" s="27">
        <f t="shared" si="10"/>
        <v>0</v>
      </c>
      <c r="H299" s="29">
        <v>1</v>
      </c>
      <c r="I299" s="35"/>
      <c r="J299" s="12"/>
      <c r="K299" s="13"/>
      <c r="L299" s="13"/>
      <c r="M299" s="36"/>
    </row>
    <row r="300" spans="1:13" ht="30" customHeight="1">
      <c r="A300" s="16" t="s">
        <v>13</v>
      </c>
      <c r="B300" s="30" t="s">
        <v>387</v>
      </c>
      <c r="C300" s="30" t="s">
        <v>404</v>
      </c>
      <c r="D300" s="44">
        <v>3062.1434999999997</v>
      </c>
      <c r="E300" s="44">
        <v>3062.1434999999997</v>
      </c>
      <c r="F300" s="27">
        <f t="shared" si="9"/>
        <v>0</v>
      </c>
      <c r="G300" s="27">
        <f t="shared" si="10"/>
        <v>0</v>
      </c>
      <c r="H300" s="29">
        <v>1</v>
      </c>
      <c r="I300" s="12"/>
      <c r="J300" s="12"/>
      <c r="K300" s="13"/>
      <c r="L300" s="13"/>
      <c r="M300" s="36"/>
    </row>
    <row r="301" spans="1:13" ht="30" customHeight="1">
      <c r="A301" s="16" t="s">
        <v>13</v>
      </c>
      <c r="B301" s="30" t="s">
        <v>388</v>
      </c>
      <c r="C301" s="30" t="s">
        <v>405</v>
      </c>
      <c r="D301" s="44">
        <v>1356.568</v>
      </c>
      <c r="E301" s="44">
        <v>1356.568</v>
      </c>
      <c r="F301" s="27">
        <f t="shared" si="9"/>
        <v>0</v>
      </c>
      <c r="G301" s="27">
        <v>0</v>
      </c>
      <c r="H301" s="29">
        <v>1</v>
      </c>
      <c r="I301" s="12"/>
      <c r="J301" s="12"/>
      <c r="K301" s="13"/>
      <c r="L301" s="13"/>
      <c r="M301" s="36"/>
    </row>
    <row r="302" spans="1:13" ht="30" customHeight="1">
      <c r="A302" s="16" t="s">
        <v>13</v>
      </c>
      <c r="B302" s="30" t="s">
        <v>388</v>
      </c>
      <c r="C302" s="30" t="s">
        <v>407</v>
      </c>
      <c r="D302" s="44">
        <v>3103.1394999999998</v>
      </c>
      <c r="E302" s="44">
        <v>3103.1394999999998</v>
      </c>
      <c r="F302" s="27">
        <f t="shared" si="9"/>
        <v>0</v>
      </c>
      <c r="G302" s="27">
        <f t="shared" si="10"/>
        <v>0</v>
      </c>
      <c r="H302" s="29">
        <v>1</v>
      </c>
      <c r="I302" s="12"/>
      <c r="J302" s="12"/>
      <c r="K302" s="13"/>
      <c r="L302" s="13"/>
      <c r="M302" s="36"/>
    </row>
    <row r="303" spans="1:13" ht="30" customHeight="1">
      <c r="A303" s="16" t="s">
        <v>13</v>
      </c>
      <c r="B303" s="30" t="s">
        <v>388</v>
      </c>
      <c r="C303" s="30" t="s">
        <v>408</v>
      </c>
      <c r="D303" s="44">
        <v>3113.3884999999996</v>
      </c>
      <c r="E303" s="44">
        <v>3113.3884999999996</v>
      </c>
      <c r="F303" s="27">
        <f t="shared" si="9"/>
        <v>0</v>
      </c>
      <c r="G303" s="27">
        <f t="shared" si="10"/>
        <v>0</v>
      </c>
      <c r="H303" s="29">
        <v>1</v>
      </c>
      <c r="I303" s="35"/>
      <c r="J303" s="12"/>
      <c r="K303" s="13"/>
      <c r="L303" s="13"/>
      <c r="M303" s="36"/>
    </row>
    <row r="304" spans="1:13" ht="30" customHeight="1">
      <c r="A304" s="16" t="s">
        <v>13</v>
      </c>
      <c r="B304" s="30" t="s">
        <v>388</v>
      </c>
      <c r="C304" s="30" t="s">
        <v>410</v>
      </c>
      <c r="D304" s="44">
        <v>3246.3979999999997</v>
      </c>
      <c r="E304" s="44">
        <v>3246.3979999999997</v>
      </c>
      <c r="F304" s="27">
        <f t="shared" si="9"/>
        <v>0</v>
      </c>
      <c r="G304" s="27">
        <f t="shared" si="10"/>
        <v>0</v>
      </c>
      <c r="H304" s="29">
        <v>1</v>
      </c>
      <c r="I304" s="12"/>
      <c r="J304" s="12"/>
      <c r="K304" s="13"/>
      <c r="L304" s="13"/>
      <c r="M304" s="36"/>
    </row>
    <row r="305" spans="1:13" ht="30" customHeight="1">
      <c r="A305" s="16" t="s">
        <v>13</v>
      </c>
      <c r="B305" s="30" t="s">
        <v>387</v>
      </c>
      <c r="C305" s="30" t="s">
        <v>411</v>
      </c>
      <c r="D305" s="44">
        <v>3895.2979999999993</v>
      </c>
      <c r="E305" s="44">
        <v>3895.2979999999993</v>
      </c>
      <c r="F305" s="27">
        <f t="shared" si="9"/>
        <v>0</v>
      </c>
      <c r="G305" s="27">
        <f t="shared" si="10"/>
        <v>0</v>
      </c>
      <c r="H305" s="29">
        <v>1</v>
      </c>
      <c r="I305" s="12"/>
      <c r="J305" s="12"/>
      <c r="K305" s="13"/>
      <c r="L305" s="13"/>
      <c r="M305" s="36"/>
    </row>
    <row r="306" spans="1:13" ht="30" customHeight="1">
      <c r="A306" s="16" t="s">
        <v>13</v>
      </c>
      <c r="B306" s="30" t="s">
        <v>387</v>
      </c>
      <c r="C306" s="30" t="s">
        <v>412</v>
      </c>
      <c r="D306" s="44">
        <v>5009.7980000000007</v>
      </c>
      <c r="E306" s="44">
        <v>5009.7980000000007</v>
      </c>
      <c r="F306" s="27">
        <f t="shared" si="9"/>
        <v>0</v>
      </c>
      <c r="G306" s="27">
        <f t="shared" si="10"/>
        <v>0</v>
      </c>
      <c r="H306" s="29">
        <v>1</v>
      </c>
      <c r="I306" s="12"/>
      <c r="J306" s="12"/>
      <c r="K306" s="13"/>
      <c r="L306" s="13"/>
      <c r="M306" s="36"/>
    </row>
    <row r="307" spans="1:13" ht="30" customHeight="1">
      <c r="A307" s="16" t="s">
        <v>13</v>
      </c>
      <c r="B307" s="30" t="s">
        <v>388</v>
      </c>
      <c r="C307" s="30" t="s">
        <v>413</v>
      </c>
      <c r="D307" s="44">
        <v>5752.2980000000007</v>
      </c>
      <c r="E307" s="44">
        <v>5752.2980000000007</v>
      </c>
      <c r="F307" s="27">
        <f t="shared" si="9"/>
        <v>0</v>
      </c>
      <c r="G307" s="27">
        <f t="shared" si="10"/>
        <v>0</v>
      </c>
      <c r="H307" s="29">
        <v>1</v>
      </c>
      <c r="I307" s="12"/>
      <c r="J307" s="12"/>
      <c r="K307" s="13"/>
      <c r="L307" s="13"/>
      <c r="M307" s="36"/>
    </row>
    <row r="308" spans="1:13" ht="30" customHeight="1">
      <c r="A308" s="16" t="s">
        <v>13</v>
      </c>
      <c r="B308" s="30" t="s">
        <v>388</v>
      </c>
      <c r="C308" s="30" t="s">
        <v>414</v>
      </c>
      <c r="D308" s="44">
        <v>3067.2679999999996</v>
      </c>
      <c r="E308" s="44">
        <v>3067.2679999999996</v>
      </c>
      <c r="F308" s="27">
        <f t="shared" si="9"/>
        <v>0</v>
      </c>
      <c r="G308" s="27">
        <f t="shared" si="10"/>
        <v>0</v>
      </c>
      <c r="H308" s="29">
        <v>1</v>
      </c>
      <c r="I308" s="12"/>
      <c r="J308" s="12"/>
      <c r="K308" s="13"/>
      <c r="L308" s="13"/>
      <c r="M308" s="36"/>
    </row>
    <row r="309" spans="1:13" ht="30" customHeight="1">
      <c r="A309" s="16" t="s">
        <v>13</v>
      </c>
      <c r="B309" s="30" t="s">
        <v>388</v>
      </c>
      <c r="C309" s="30" t="s">
        <v>415</v>
      </c>
      <c r="D309" s="44">
        <v>2006.4965000000002</v>
      </c>
      <c r="E309" s="44">
        <v>2006.4965000000002</v>
      </c>
      <c r="F309" s="27">
        <f t="shared" si="9"/>
        <v>0</v>
      </c>
      <c r="G309" s="27">
        <f t="shared" si="10"/>
        <v>0</v>
      </c>
      <c r="H309" s="29">
        <v>1</v>
      </c>
      <c r="I309" s="12"/>
      <c r="J309" s="12"/>
      <c r="K309" s="13"/>
      <c r="L309" s="13"/>
      <c r="M309" s="36"/>
    </row>
    <row r="310" spans="1:13" ht="30" customHeight="1">
      <c r="A310" s="16" t="s">
        <v>13</v>
      </c>
      <c r="B310" s="30" t="s">
        <v>388</v>
      </c>
      <c r="C310" s="30" t="s">
        <v>416</v>
      </c>
      <c r="D310" s="44">
        <v>1980.8739999999998</v>
      </c>
      <c r="E310" s="44">
        <v>1980.8739999999998</v>
      </c>
      <c r="F310" s="27">
        <f t="shared" si="9"/>
        <v>0</v>
      </c>
      <c r="G310" s="27">
        <f t="shared" si="10"/>
        <v>0</v>
      </c>
      <c r="H310" s="29">
        <v>1</v>
      </c>
      <c r="I310" s="12"/>
      <c r="J310" s="12"/>
      <c r="K310" s="13"/>
      <c r="L310" s="13"/>
      <c r="M310" s="36"/>
    </row>
    <row r="311" spans="1:13" ht="30" customHeight="1">
      <c r="A311" s="16" t="s">
        <v>13</v>
      </c>
      <c r="B311" s="30" t="s">
        <v>388</v>
      </c>
      <c r="C311" s="30" t="s">
        <v>417</v>
      </c>
      <c r="D311" s="44">
        <v>3077.5169999999998</v>
      </c>
      <c r="E311" s="44">
        <v>3077.5169999999998</v>
      </c>
      <c r="F311" s="27">
        <f t="shared" si="9"/>
        <v>0</v>
      </c>
      <c r="G311" s="27">
        <f t="shared" si="10"/>
        <v>0</v>
      </c>
      <c r="H311" s="29">
        <v>1</v>
      </c>
      <c r="I311" s="12"/>
      <c r="J311" s="12"/>
      <c r="K311" s="13"/>
      <c r="L311" s="13"/>
      <c r="M311" s="36"/>
    </row>
    <row r="312" spans="1:13" ht="30" customHeight="1">
      <c r="A312" s="16" t="s">
        <v>13</v>
      </c>
      <c r="B312" s="30" t="s">
        <v>388</v>
      </c>
      <c r="C312" s="30" t="s">
        <v>431</v>
      </c>
      <c r="D312" s="44">
        <v>3098.0149999999999</v>
      </c>
      <c r="E312" s="44">
        <v>3098.0149999999999</v>
      </c>
      <c r="F312" s="27">
        <f t="shared" si="9"/>
        <v>0</v>
      </c>
      <c r="G312" s="27">
        <f t="shared" si="10"/>
        <v>0</v>
      </c>
      <c r="H312" s="29">
        <v>1</v>
      </c>
      <c r="I312" s="12"/>
      <c r="J312" s="12"/>
      <c r="K312" s="13"/>
      <c r="L312" s="13"/>
      <c r="M312" s="36"/>
    </row>
    <row r="313" spans="1:13" ht="30" customHeight="1">
      <c r="A313" s="16" t="s">
        <v>13</v>
      </c>
      <c r="B313" s="30" t="s">
        <v>388</v>
      </c>
      <c r="C313" s="30" t="s">
        <v>418</v>
      </c>
      <c r="D313" s="44">
        <v>1356.568</v>
      </c>
      <c r="E313" s="44">
        <v>1356.568</v>
      </c>
      <c r="F313" s="27">
        <f t="shared" si="9"/>
        <v>0</v>
      </c>
      <c r="G313" s="27">
        <v>0</v>
      </c>
      <c r="H313" s="29">
        <v>1</v>
      </c>
      <c r="I313" s="12"/>
      <c r="J313" s="12"/>
      <c r="K313" s="13"/>
      <c r="L313" s="13"/>
      <c r="M313" s="36"/>
    </row>
    <row r="314" spans="1:13" ht="30" customHeight="1">
      <c r="A314" s="16" t="s">
        <v>13</v>
      </c>
      <c r="B314" s="30" t="s">
        <v>387</v>
      </c>
      <c r="C314" s="30" t="s">
        <v>419</v>
      </c>
      <c r="D314" s="44">
        <v>3082.6414999999997</v>
      </c>
      <c r="E314" s="44">
        <v>3082.6414999999997</v>
      </c>
      <c r="F314" s="27">
        <f t="shared" si="9"/>
        <v>0</v>
      </c>
      <c r="G314" s="27">
        <f t="shared" si="10"/>
        <v>0</v>
      </c>
      <c r="H314" s="29">
        <v>1</v>
      </c>
      <c r="I314" s="12"/>
      <c r="J314" s="12"/>
      <c r="K314" s="13"/>
      <c r="L314" s="13"/>
      <c r="M314" s="36"/>
    </row>
    <row r="315" spans="1:13" ht="30" customHeight="1">
      <c r="A315" s="16" t="s">
        <v>13</v>
      </c>
      <c r="B315" s="30" t="s">
        <v>387</v>
      </c>
      <c r="C315" s="30" t="s">
        <v>420</v>
      </c>
      <c r="D315" s="44">
        <v>3149.2599999999998</v>
      </c>
      <c r="E315" s="44">
        <v>3149.2599999999998</v>
      </c>
      <c r="F315" s="27">
        <f t="shared" si="9"/>
        <v>0</v>
      </c>
      <c r="G315" s="27">
        <f t="shared" si="10"/>
        <v>0</v>
      </c>
      <c r="H315" s="29">
        <v>1</v>
      </c>
      <c r="I315" s="12"/>
      <c r="J315" s="12"/>
      <c r="K315" s="13"/>
      <c r="L315" s="13"/>
      <c r="M315" s="36"/>
    </row>
    <row r="316" spans="1:13" ht="30" customHeight="1">
      <c r="A316" s="16" t="s">
        <v>13</v>
      </c>
      <c r="B316" s="30" t="s">
        <v>387</v>
      </c>
      <c r="C316" s="30" t="s">
        <v>421</v>
      </c>
      <c r="D316" s="44">
        <v>3159.5089999999996</v>
      </c>
      <c r="E316" s="44">
        <v>3159.5089999999996</v>
      </c>
      <c r="F316" s="27">
        <f t="shared" si="9"/>
        <v>0</v>
      </c>
      <c r="G316" s="27">
        <f t="shared" si="10"/>
        <v>0</v>
      </c>
      <c r="H316" s="29">
        <v>1</v>
      </c>
      <c r="I316" s="12"/>
      <c r="J316" s="12"/>
      <c r="K316" s="13"/>
      <c r="L316" s="13"/>
      <c r="M316" s="36"/>
    </row>
    <row r="317" spans="1:13" ht="30" customHeight="1">
      <c r="A317" s="16" t="s">
        <v>13</v>
      </c>
      <c r="B317" s="30" t="s">
        <v>387</v>
      </c>
      <c r="C317" s="30" t="s">
        <v>422</v>
      </c>
      <c r="D317" s="44">
        <v>3226.1274999999996</v>
      </c>
      <c r="E317" s="44">
        <v>3226.1274999999996</v>
      </c>
      <c r="F317" s="27">
        <f t="shared" si="9"/>
        <v>0</v>
      </c>
      <c r="G317" s="27">
        <f t="shared" si="10"/>
        <v>0</v>
      </c>
      <c r="H317" s="29">
        <v>1</v>
      </c>
      <c r="I317" s="12"/>
      <c r="J317" s="12"/>
      <c r="K317" s="13"/>
      <c r="L317" s="13"/>
      <c r="M317" s="36"/>
    </row>
    <row r="318" spans="1:13" ht="30" customHeight="1">
      <c r="A318" s="16" t="s">
        <v>13</v>
      </c>
      <c r="B318" s="30" t="s">
        <v>387</v>
      </c>
      <c r="C318" s="30" t="s">
        <v>423</v>
      </c>
      <c r="D318" s="44">
        <v>4051.197999999999</v>
      </c>
      <c r="E318" s="44">
        <v>4051.197999999999</v>
      </c>
      <c r="F318" s="27">
        <f t="shared" si="9"/>
        <v>0</v>
      </c>
      <c r="G318" s="27">
        <f t="shared" si="10"/>
        <v>0</v>
      </c>
      <c r="H318" s="29">
        <v>1</v>
      </c>
      <c r="I318" s="12"/>
      <c r="J318" s="12"/>
      <c r="K318" s="13"/>
      <c r="L318" s="13"/>
      <c r="M318" s="36"/>
    </row>
    <row r="319" spans="1:13" ht="30" customHeight="1">
      <c r="A319" s="16" t="s">
        <v>13</v>
      </c>
      <c r="B319" s="30" t="s">
        <v>386</v>
      </c>
      <c r="C319" s="30" t="s">
        <v>424</v>
      </c>
      <c r="D319" s="44">
        <v>2924.5979999999995</v>
      </c>
      <c r="E319" s="44">
        <v>2924.5979999999995</v>
      </c>
      <c r="F319" s="27">
        <f t="shared" si="9"/>
        <v>0</v>
      </c>
      <c r="G319" s="27">
        <f t="shared" si="10"/>
        <v>0</v>
      </c>
      <c r="H319" s="29">
        <v>1</v>
      </c>
      <c r="I319" s="12"/>
      <c r="J319" s="12"/>
      <c r="K319" s="13"/>
      <c r="L319" s="13"/>
      <c r="M319" s="36"/>
    </row>
    <row r="320" spans="1:13" ht="30" customHeight="1">
      <c r="A320" s="16" t="s">
        <v>13</v>
      </c>
      <c r="B320" s="30"/>
      <c r="C320" s="30" t="s">
        <v>394</v>
      </c>
      <c r="D320" s="44">
        <v>5011.1980000000003</v>
      </c>
      <c r="E320" s="44">
        <v>5011.1980000000003</v>
      </c>
      <c r="F320" s="27">
        <f t="shared" si="9"/>
        <v>0</v>
      </c>
      <c r="G320" s="27">
        <f t="shared" si="10"/>
        <v>0</v>
      </c>
      <c r="H320" s="29">
        <v>1</v>
      </c>
      <c r="I320" s="12"/>
      <c r="J320" s="12"/>
      <c r="K320" s="13"/>
      <c r="L320" s="13"/>
      <c r="M320" s="36"/>
    </row>
    <row r="321" spans="1:13" ht="30" customHeight="1">
      <c r="A321" s="16" t="s">
        <v>13</v>
      </c>
      <c r="B321" s="30" t="s">
        <v>386</v>
      </c>
      <c r="C321" s="30" t="s">
        <v>395</v>
      </c>
      <c r="D321" s="44">
        <v>2283.2195000000002</v>
      </c>
      <c r="E321" s="44">
        <v>2283.2195000000002</v>
      </c>
      <c r="F321" s="27">
        <f t="shared" si="9"/>
        <v>0</v>
      </c>
      <c r="G321" s="27">
        <f t="shared" si="10"/>
        <v>0</v>
      </c>
      <c r="H321" s="29">
        <v>1</v>
      </c>
      <c r="I321" s="12"/>
      <c r="J321" s="12"/>
      <c r="K321" s="13"/>
      <c r="L321" s="13"/>
      <c r="M321" s="36"/>
    </row>
    <row r="322" spans="1:13" ht="30" customHeight="1">
      <c r="A322" s="16" t="s">
        <v>13</v>
      </c>
      <c r="B322" s="30" t="s">
        <v>384</v>
      </c>
      <c r="C322" s="30" t="s">
        <v>396</v>
      </c>
      <c r="D322" s="44">
        <v>2467.7014999999997</v>
      </c>
      <c r="E322" s="44">
        <v>2467.7014999999997</v>
      </c>
      <c r="F322" s="27">
        <f t="shared" si="9"/>
        <v>0</v>
      </c>
      <c r="G322" s="27">
        <f t="shared" si="10"/>
        <v>0</v>
      </c>
      <c r="H322" s="29">
        <v>1</v>
      </c>
      <c r="I322" s="12"/>
      <c r="J322" s="12"/>
      <c r="K322" s="13"/>
      <c r="L322" s="13"/>
      <c r="M322" s="36"/>
    </row>
    <row r="323" spans="1:13" ht="30" customHeight="1">
      <c r="A323" s="16" t="s">
        <v>13</v>
      </c>
      <c r="B323" s="30" t="s">
        <v>386</v>
      </c>
      <c r="C323" s="30" t="s">
        <v>397</v>
      </c>
      <c r="D323" s="44">
        <v>3041.6454999999996</v>
      </c>
      <c r="E323" s="44">
        <v>3041.6454999999996</v>
      </c>
      <c r="F323" s="27">
        <f t="shared" si="9"/>
        <v>0</v>
      </c>
      <c r="G323" s="27">
        <f t="shared" si="10"/>
        <v>0</v>
      </c>
      <c r="H323" s="29">
        <v>1</v>
      </c>
      <c r="I323" s="12"/>
      <c r="J323" s="12"/>
      <c r="K323" s="13"/>
      <c r="L323" s="13"/>
      <c r="M323" s="36"/>
    </row>
    <row r="324" spans="1:13" ht="30" customHeight="1">
      <c r="A324" s="16" t="s">
        <v>13</v>
      </c>
      <c r="B324" s="30" t="s">
        <v>387</v>
      </c>
      <c r="C324" s="30" t="s">
        <v>398</v>
      </c>
      <c r="D324" s="44">
        <v>4946.2980000000007</v>
      </c>
      <c r="E324" s="44">
        <v>4946.2980000000007</v>
      </c>
      <c r="F324" s="27">
        <f t="shared" si="9"/>
        <v>0</v>
      </c>
      <c r="G324" s="27">
        <f t="shared" si="10"/>
        <v>0</v>
      </c>
      <c r="H324" s="29">
        <v>1</v>
      </c>
      <c r="I324" s="12"/>
      <c r="J324" s="12"/>
      <c r="K324" s="13"/>
      <c r="L324" s="13"/>
      <c r="M324" s="36"/>
    </row>
    <row r="325" spans="1:13" ht="30" customHeight="1">
      <c r="A325" s="16" t="s">
        <v>13</v>
      </c>
      <c r="B325" s="30" t="s">
        <v>387</v>
      </c>
      <c r="C325" s="30" t="s">
        <v>399</v>
      </c>
      <c r="D325" s="44">
        <v>3108.2639999999997</v>
      </c>
      <c r="E325" s="44">
        <v>3108.2639999999997</v>
      </c>
      <c r="F325" s="27">
        <f t="shared" ref="F325:F362" si="11">+D325-E325</f>
        <v>0</v>
      </c>
      <c r="G325" s="27">
        <f t="shared" si="10"/>
        <v>0</v>
      </c>
      <c r="H325" s="29">
        <v>1</v>
      </c>
      <c r="I325" s="12"/>
      <c r="J325" s="12"/>
      <c r="K325" s="13"/>
      <c r="L325" s="13"/>
      <c r="M325" s="36"/>
    </row>
    <row r="326" spans="1:13" ht="30" customHeight="1">
      <c r="A326" s="16" t="s">
        <v>13</v>
      </c>
      <c r="B326" s="30" t="s">
        <v>387</v>
      </c>
      <c r="C326" s="30" t="s">
        <v>400</v>
      </c>
      <c r="D326" s="44">
        <v>1888.6329999999998</v>
      </c>
      <c r="E326" s="44">
        <v>1888.6329999999998</v>
      </c>
      <c r="F326" s="27">
        <f t="shared" si="11"/>
        <v>0</v>
      </c>
      <c r="G326" s="27">
        <f t="shared" si="10"/>
        <v>0</v>
      </c>
      <c r="H326" s="29">
        <v>1</v>
      </c>
      <c r="I326" s="12"/>
      <c r="J326" s="12"/>
      <c r="K326" s="13"/>
      <c r="L326" s="13"/>
      <c r="M326" s="36"/>
    </row>
    <row r="327" spans="1:13" ht="30" customHeight="1">
      <c r="A327" s="16" t="s">
        <v>13</v>
      </c>
      <c r="B327" s="30" t="s">
        <v>387</v>
      </c>
      <c r="C327" s="30" t="s">
        <v>401</v>
      </c>
      <c r="D327" s="44">
        <v>4135.1980000000003</v>
      </c>
      <c r="E327" s="44">
        <v>4135.1980000000003</v>
      </c>
      <c r="F327" s="27">
        <f t="shared" si="11"/>
        <v>0</v>
      </c>
      <c r="G327" s="27">
        <f t="shared" si="10"/>
        <v>0</v>
      </c>
      <c r="H327" s="29">
        <v>1</v>
      </c>
      <c r="I327" s="12"/>
      <c r="J327" s="12"/>
      <c r="K327" s="13"/>
      <c r="L327" s="13"/>
      <c r="M327" s="36"/>
    </row>
    <row r="328" spans="1:13" ht="30" customHeight="1">
      <c r="A328" s="16" t="s">
        <v>13</v>
      </c>
      <c r="B328" s="30" t="s">
        <v>387</v>
      </c>
      <c r="C328" s="30" t="s">
        <v>403</v>
      </c>
      <c r="D328" s="44">
        <v>2247.348</v>
      </c>
      <c r="E328" s="44">
        <v>2247.348</v>
      </c>
      <c r="F328" s="27">
        <f t="shared" si="11"/>
        <v>0</v>
      </c>
      <c r="G328" s="27">
        <f t="shared" si="10"/>
        <v>0</v>
      </c>
      <c r="H328" s="29">
        <v>1</v>
      </c>
      <c r="I328" s="12"/>
      <c r="J328" s="12"/>
      <c r="K328" s="13"/>
      <c r="L328" s="13"/>
      <c r="M328" s="36"/>
    </row>
    <row r="329" spans="1:13" ht="30" customHeight="1">
      <c r="A329" s="16" t="s">
        <v>13</v>
      </c>
      <c r="B329" s="30" t="s">
        <v>386</v>
      </c>
      <c r="C329" s="30" t="s">
        <v>425</v>
      </c>
      <c r="D329" s="44">
        <v>2573.2979999999998</v>
      </c>
      <c r="E329" s="44">
        <v>2573.2979999999998</v>
      </c>
      <c r="F329" s="27">
        <f t="shared" si="11"/>
        <v>0</v>
      </c>
      <c r="G329" s="27">
        <f t="shared" si="10"/>
        <v>0</v>
      </c>
      <c r="H329" s="29">
        <v>1</v>
      </c>
      <c r="I329" s="12"/>
      <c r="J329" s="12"/>
      <c r="K329" s="13"/>
      <c r="L329" s="13"/>
      <c r="M329" s="36"/>
    </row>
    <row r="330" spans="1:13" ht="30" customHeight="1">
      <c r="A330" s="16" t="s">
        <v>13</v>
      </c>
      <c r="B330" s="30" t="s">
        <v>386</v>
      </c>
      <c r="C330" s="30" t="s">
        <v>427</v>
      </c>
      <c r="D330" s="44">
        <v>3051.8944999999999</v>
      </c>
      <c r="E330" s="44">
        <v>3051.8944999999999</v>
      </c>
      <c r="F330" s="27">
        <f t="shared" si="11"/>
        <v>0</v>
      </c>
      <c r="G330" s="27">
        <f t="shared" si="10"/>
        <v>0</v>
      </c>
      <c r="H330" s="29">
        <v>1</v>
      </c>
      <c r="I330" s="12"/>
      <c r="J330" s="12"/>
      <c r="K330" s="13"/>
      <c r="L330" s="13"/>
      <c r="M330" s="36"/>
    </row>
    <row r="331" spans="1:13" ht="30" customHeight="1">
      <c r="A331" s="16" t="s">
        <v>13</v>
      </c>
      <c r="B331" s="30" t="s">
        <v>386</v>
      </c>
      <c r="C331" s="30" t="s">
        <v>428</v>
      </c>
      <c r="D331" s="44">
        <v>1914.2555000000002</v>
      </c>
      <c r="E331" s="44">
        <v>1914.2555000000002</v>
      </c>
      <c r="F331" s="27">
        <f t="shared" si="11"/>
        <v>0</v>
      </c>
      <c r="G331" s="27">
        <f t="shared" si="10"/>
        <v>0</v>
      </c>
      <c r="H331" s="29">
        <v>1</v>
      </c>
      <c r="I331" s="12"/>
      <c r="J331" s="12"/>
      <c r="K331" s="13"/>
      <c r="L331" s="13"/>
      <c r="M331" s="36"/>
    </row>
    <row r="332" spans="1:13" ht="30" customHeight="1">
      <c r="A332" s="16" t="s">
        <v>13</v>
      </c>
      <c r="B332" s="30" t="s">
        <v>384</v>
      </c>
      <c r="C332" s="30" t="s">
        <v>406</v>
      </c>
      <c r="D332" s="44">
        <v>3092.8904999999995</v>
      </c>
      <c r="E332" s="44">
        <v>3092.8904999999995</v>
      </c>
      <c r="F332" s="27">
        <f t="shared" si="11"/>
        <v>0</v>
      </c>
      <c r="G332" s="27">
        <f t="shared" si="10"/>
        <v>0</v>
      </c>
      <c r="H332" s="29">
        <v>1</v>
      </c>
      <c r="I332" s="12"/>
      <c r="J332" s="12"/>
      <c r="K332" s="13"/>
      <c r="L332" s="13"/>
      <c r="M332" s="36"/>
    </row>
    <row r="333" spans="1:13" ht="30" customHeight="1">
      <c r="A333" s="16" t="s">
        <v>13</v>
      </c>
      <c r="B333" s="30" t="s">
        <v>384</v>
      </c>
      <c r="C333" s="30" t="s">
        <v>409</v>
      </c>
      <c r="D333" s="44">
        <v>3139.0109999999995</v>
      </c>
      <c r="E333" s="44">
        <v>3139.0109999999995</v>
      </c>
      <c r="F333" s="27">
        <f t="shared" si="11"/>
        <v>0</v>
      </c>
      <c r="G333" s="27">
        <f t="shared" si="10"/>
        <v>0</v>
      </c>
      <c r="H333" s="29">
        <v>1</v>
      </c>
      <c r="I333" s="12"/>
      <c r="J333" s="12"/>
      <c r="K333" s="13"/>
      <c r="L333" s="13"/>
      <c r="M333" s="36"/>
    </row>
    <row r="334" spans="1:13" ht="30" customHeight="1">
      <c r="A334" s="16" t="s">
        <v>13</v>
      </c>
      <c r="B334" s="30" t="s">
        <v>384</v>
      </c>
      <c r="C334" s="30" t="s">
        <v>429</v>
      </c>
      <c r="D334" s="44">
        <v>1356.568</v>
      </c>
      <c r="E334" s="44">
        <v>1356.568</v>
      </c>
      <c r="F334" s="27">
        <f t="shared" si="11"/>
        <v>0</v>
      </c>
      <c r="G334" s="27">
        <v>0</v>
      </c>
      <c r="H334" s="29">
        <v>1</v>
      </c>
      <c r="I334" s="12"/>
      <c r="J334" s="12"/>
      <c r="K334" s="13"/>
      <c r="L334" s="13"/>
      <c r="M334" s="36"/>
    </row>
    <row r="335" spans="1:13" ht="30" customHeight="1">
      <c r="A335" s="16" t="s">
        <v>13</v>
      </c>
      <c r="B335" s="30" t="s">
        <v>386</v>
      </c>
      <c r="C335" s="30" t="s">
        <v>430</v>
      </c>
      <c r="D335" s="44">
        <v>2052.6170000000002</v>
      </c>
      <c r="E335" s="44">
        <v>2052.6170000000002</v>
      </c>
      <c r="F335" s="27">
        <v>0</v>
      </c>
      <c r="G335" s="27">
        <v>0</v>
      </c>
      <c r="H335" s="29">
        <v>1</v>
      </c>
      <c r="I335" s="12"/>
      <c r="J335" s="12"/>
      <c r="K335" s="13"/>
      <c r="L335" s="13"/>
      <c r="M335" s="36"/>
    </row>
    <row r="336" spans="1:13" ht="30" customHeight="1">
      <c r="A336" s="16" t="s">
        <v>13</v>
      </c>
      <c r="B336" s="30" t="s">
        <v>386</v>
      </c>
      <c r="C336" s="30" t="s">
        <v>436</v>
      </c>
      <c r="D336" s="44">
        <v>1356.568</v>
      </c>
      <c r="E336" s="44">
        <v>1356.568</v>
      </c>
      <c r="F336" s="27">
        <f t="shared" si="11"/>
        <v>0</v>
      </c>
      <c r="G336" s="27">
        <v>0</v>
      </c>
      <c r="H336" s="29">
        <v>1</v>
      </c>
      <c r="I336" s="12"/>
      <c r="J336" s="12"/>
      <c r="K336" s="13"/>
      <c r="L336" s="13"/>
      <c r="M336" s="36"/>
    </row>
    <row r="337" spans="1:13" ht="30" customHeight="1">
      <c r="A337" s="16" t="s">
        <v>13</v>
      </c>
      <c r="B337" s="30" t="s">
        <v>386</v>
      </c>
      <c r="C337" s="30" t="s">
        <v>432</v>
      </c>
      <c r="D337" s="44">
        <v>3128.7619999999997</v>
      </c>
      <c r="E337" s="44">
        <v>3128.7619999999997</v>
      </c>
      <c r="F337" s="27">
        <f t="shared" si="11"/>
        <v>0</v>
      </c>
      <c r="G337" s="27">
        <f t="shared" si="10"/>
        <v>0</v>
      </c>
      <c r="H337" s="29">
        <v>1</v>
      </c>
      <c r="I337" s="12"/>
      <c r="J337" s="12"/>
      <c r="K337" s="13"/>
      <c r="L337" s="13"/>
      <c r="M337" s="36"/>
    </row>
    <row r="338" spans="1:13" ht="30" customHeight="1">
      <c r="A338" s="16" t="s">
        <v>13</v>
      </c>
      <c r="B338" s="30" t="s">
        <v>384</v>
      </c>
      <c r="C338" s="30" t="s">
        <v>433</v>
      </c>
      <c r="D338" s="44">
        <v>3087.7659999999996</v>
      </c>
      <c r="E338" s="44">
        <v>3087.7659999999996</v>
      </c>
      <c r="F338" s="27">
        <f t="shared" si="11"/>
        <v>0</v>
      </c>
      <c r="G338" s="27">
        <f t="shared" si="10"/>
        <v>0</v>
      </c>
      <c r="H338" s="29">
        <v>1</v>
      </c>
      <c r="I338" s="12"/>
      <c r="J338" s="12"/>
      <c r="K338" s="13"/>
      <c r="L338" s="13"/>
      <c r="M338" s="36"/>
    </row>
    <row r="339" spans="1:13" ht="30" customHeight="1">
      <c r="A339" s="16" t="s">
        <v>13</v>
      </c>
      <c r="B339" s="30" t="s">
        <v>386</v>
      </c>
      <c r="C339" s="30" t="s">
        <v>434</v>
      </c>
      <c r="D339" s="44">
        <v>3185.1314999999995</v>
      </c>
      <c r="E339" s="44">
        <v>3185.1314999999995</v>
      </c>
      <c r="F339" s="27">
        <f t="shared" si="11"/>
        <v>0</v>
      </c>
      <c r="G339" s="27">
        <f t="shared" si="10"/>
        <v>0</v>
      </c>
      <c r="H339" s="29">
        <v>1</v>
      </c>
      <c r="I339" s="12"/>
      <c r="J339" s="12"/>
      <c r="K339" s="13"/>
      <c r="L339" s="13"/>
      <c r="M339" s="36"/>
    </row>
    <row r="340" spans="1:13" ht="30" customHeight="1">
      <c r="A340" s="16" t="s">
        <v>13</v>
      </c>
      <c r="B340" s="30" t="s">
        <v>384</v>
      </c>
      <c r="C340" s="30" t="s">
        <v>393</v>
      </c>
      <c r="D340" s="27">
        <v>2252.4724999999999</v>
      </c>
      <c r="E340" s="27">
        <v>2252.4724999999999</v>
      </c>
      <c r="F340" s="27">
        <f t="shared" si="11"/>
        <v>0</v>
      </c>
      <c r="G340" s="27">
        <f t="shared" si="10"/>
        <v>0</v>
      </c>
      <c r="H340" s="29">
        <v>1</v>
      </c>
      <c r="I340" s="12"/>
      <c r="J340" s="12"/>
      <c r="K340" s="13"/>
      <c r="L340" s="13"/>
      <c r="M340" s="36"/>
    </row>
    <row r="341" spans="1:13" ht="30" customHeight="1">
      <c r="A341" s="16" t="s">
        <v>13</v>
      </c>
      <c r="B341" s="30" t="s">
        <v>384</v>
      </c>
      <c r="C341" s="30" t="s">
        <v>435</v>
      </c>
      <c r="D341" s="27">
        <v>3169.7579999999998</v>
      </c>
      <c r="E341" s="27">
        <v>3169.7579999999998</v>
      </c>
      <c r="F341" s="27">
        <f t="shared" si="11"/>
        <v>0</v>
      </c>
      <c r="G341" s="27">
        <f t="shared" si="10"/>
        <v>0</v>
      </c>
      <c r="H341" s="29">
        <v>1</v>
      </c>
      <c r="I341" s="12"/>
      <c r="J341" s="12"/>
      <c r="K341" s="13"/>
      <c r="L341" s="13"/>
      <c r="M341" s="36"/>
    </row>
    <row r="342" spans="1:13" ht="30" customHeight="1">
      <c r="A342" s="16" t="s">
        <v>13</v>
      </c>
      <c r="B342" s="30" t="s">
        <v>384</v>
      </c>
      <c r="C342" s="30" t="s">
        <v>426</v>
      </c>
      <c r="D342" s="27">
        <v>2231.9744999999998</v>
      </c>
      <c r="E342" s="27">
        <v>2231.9744999999998</v>
      </c>
      <c r="F342" s="27">
        <f t="shared" si="11"/>
        <v>0</v>
      </c>
      <c r="G342" s="27">
        <f t="shared" si="10"/>
        <v>0</v>
      </c>
      <c r="H342" s="29">
        <v>1</v>
      </c>
      <c r="I342" s="12"/>
      <c r="J342" s="12"/>
      <c r="K342" s="13"/>
      <c r="L342" s="13"/>
      <c r="M342" s="36"/>
    </row>
    <row r="343" spans="1:13" ht="30" customHeight="1">
      <c r="A343" s="5" t="s">
        <v>45</v>
      </c>
      <c r="B343" s="30" t="s">
        <v>392</v>
      </c>
      <c r="C343" s="30" t="s">
        <v>437</v>
      </c>
      <c r="D343" s="27">
        <v>2483.0749999999998</v>
      </c>
      <c r="E343" s="27">
        <v>2483.0749999999998</v>
      </c>
      <c r="F343" s="27">
        <f t="shared" si="11"/>
        <v>0</v>
      </c>
      <c r="G343" s="27">
        <f t="shared" si="10"/>
        <v>0</v>
      </c>
      <c r="H343" s="29">
        <v>1</v>
      </c>
      <c r="I343" s="12"/>
      <c r="J343" s="12"/>
      <c r="K343" s="13"/>
      <c r="L343" s="13"/>
      <c r="M343" s="36"/>
    </row>
    <row r="344" spans="1:13" ht="30" customHeight="1">
      <c r="A344" s="5" t="s">
        <v>45</v>
      </c>
      <c r="B344" s="30" t="s">
        <v>392</v>
      </c>
      <c r="C344" s="30" t="s">
        <v>438</v>
      </c>
      <c r="D344" s="27">
        <v>3231.252</v>
      </c>
      <c r="E344" s="27">
        <v>3231.252</v>
      </c>
      <c r="F344" s="27">
        <f t="shared" si="11"/>
        <v>0</v>
      </c>
      <c r="G344" s="27">
        <f t="shared" si="10"/>
        <v>0</v>
      </c>
      <c r="H344" s="29">
        <v>1</v>
      </c>
      <c r="I344" s="12"/>
      <c r="J344" s="12"/>
      <c r="K344" s="13"/>
      <c r="L344" s="13"/>
      <c r="M344" s="36"/>
    </row>
    <row r="345" spans="1:13" ht="30" customHeight="1">
      <c r="A345" s="5" t="s">
        <v>45</v>
      </c>
      <c r="B345" s="30" t="s">
        <v>392</v>
      </c>
      <c r="C345" s="30" t="s">
        <v>440</v>
      </c>
      <c r="D345" s="27">
        <v>1791.2674999999999</v>
      </c>
      <c r="E345" s="27">
        <v>1791.2674999999999</v>
      </c>
      <c r="F345" s="27">
        <f t="shared" si="11"/>
        <v>0</v>
      </c>
      <c r="G345" s="27">
        <f t="shared" si="10"/>
        <v>0</v>
      </c>
      <c r="H345" s="29">
        <v>1</v>
      </c>
      <c r="I345" s="12"/>
      <c r="J345" s="12"/>
      <c r="K345" s="13"/>
      <c r="L345" s="13"/>
      <c r="M345" s="36"/>
    </row>
    <row r="346" spans="1:13" ht="30" customHeight="1">
      <c r="A346" s="5" t="s">
        <v>45</v>
      </c>
      <c r="B346" s="30" t="s">
        <v>392</v>
      </c>
      <c r="C346" s="30" t="s">
        <v>439</v>
      </c>
      <c r="D346" s="27">
        <v>1796.3919999999998</v>
      </c>
      <c r="E346" s="27">
        <v>1796.3919999999998</v>
      </c>
      <c r="F346" s="27">
        <f t="shared" si="11"/>
        <v>0</v>
      </c>
      <c r="G346" s="27">
        <f t="shared" si="10"/>
        <v>0</v>
      </c>
      <c r="H346" s="29">
        <v>1</v>
      </c>
      <c r="I346" s="12"/>
      <c r="J346" s="12"/>
      <c r="K346" s="13"/>
      <c r="L346" s="13"/>
      <c r="M346" s="36"/>
    </row>
    <row r="347" spans="1:13" ht="30" customHeight="1">
      <c r="A347" s="16" t="s">
        <v>30</v>
      </c>
      <c r="B347" s="30" t="s">
        <v>389</v>
      </c>
      <c r="C347" s="30" t="s">
        <v>441</v>
      </c>
      <c r="D347" s="27">
        <v>3133.8864999999996</v>
      </c>
      <c r="E347" s="27">
        <v>3133.8864999999996</v>
      </c>
      <c r="F347" s="27">
        <f t="shared" si="11"/>
        <v>0</v>
      </c>
      <c r="G347" s="27">
        <f t="shared" si="10"/>
        <v>0</v>
      </c>
      <c r="H347" s="29">
        <v>1</v>
      </c>
      <c r="I347" s="12"/>
      <c r="J347" s="12"/>
      <c r="K347" s="13"/>
      <c r="L347" s="13"/>
      <c r="M347" s="36"/>
    </row>
    <row r="348" spans="1:13" ht="30" customHeight="1">
      <c r="A348" s="16" t="s">
        <v>30</v>
      </c>
      <c r="B348" s="30" t="s">
        <v>391</v>
      </c>
      <c r="C348" s="30" t="s">
        <v>442</v>
      </c>
      <c r="D348" s="27">
        <v>3072.3924999999999</v>
      </c>
      <c r="E348" s="27">
        <v>3072.3924999999999</v>
      </c>
      <c r="F348" s="27">
        <f t="shared" si="11"/>
        <v>0</v>
      </c>
      <c r="G348" s="27">
        <f t="shared" si="10"/>
        <v>0</v>
      </c>
      <c r="H348" s="29">
        <v>1</v>
      </c>
      <c r="I348" s="12"/>
      <c r="J348" s="12"/>
      <c r="K348" s="13"/>
      <c r="L348" s="13"/>
      <c r="M348" s="36"/>
    </row>
    <row r="349" spans="1:13" ht="30" customHeight="1">
      <c r="A349" s="16" t="s">
        <v>30</v>
      </c>
      <c r="B349" s="30" t="s">
        <v>389</v>
      </c>
      <c r="C349" s="30" t="s">
        <v>443</v>
      </c>
      <c r="D349" s="27">
        <v>3123.6374999999998</v>
      </c>
      <c r="E349" s="27">
        <v>3123.6374999999998</v>
      </c>
      <c r="F349" s="27">
        <f t="shared" si="11"/>
        <v>0</v>
      </c>
      <c r="G349" s="27">
        <f t="shared" si="10"/>
        <v>0</v>
      </c>
      <c r="H349" s="29">
        <v>1</v>
      </c>
      <c r="I349" s="12"/>
      <c r="J349" s="12"/>
      <c r="K349" s="13"/>
      <c r="L349" s="13"/>
      <c r="M349" s="36"/>
    </row>
    <row r="350" spans="1:13" ht="30" customHeight="1">
      <c r="A350" s="16" t="s">
        <v>30</v>
      </c>
      <c r="B350" s="30" t="s">
        <v>389</v>
      </c>
      <c r="C350" s="30" t="s">
        <v>444</v>
      </c>
      <c r="D350" s="27">
        <v>1678.5284999999999</v>
      </c>
      <c r="E350" s="27">
        <v>1678.5284999999999</v>
      </c>
      <c r="F350" s="27">
        <f t="shared" si="11"/>
        <v>0</v>
      </c>
      <c r="G350" s="27">
        <f t="shared" si="10"/>
        <v>0</v>
      </c>
      <c r="H350" s="29">
        <v>1</v>
      </c>
      <c r="I350" s="12"/>
      <c r="J350" s="12"/>
      <c r="K350" s="13"/>
      <c r="L350" s="13"/>
      <c r="M350" s="36"/>
    </row>
    <row r="351" spans="1:13" ht="30" customHeight="1">
      <c r="A351" s="16" t="s">
        <v>30</v>
      </c>
      <c r="B351" s="30" t="s">
        <v>391</v>
      </c>
      <c r="C351" s="30" t="s">
        <v>445</v>
      </c>
      <c r="D351" s="27">
        <v>3144.1354999999999</v>
      </c>
      <c r="E351" s="27">
        <v>3144.1354999999999</v>
      </c>
      <c r="F351" s="27">
        <f t="shared" si="11"/>
        <v>0</v>
      </c>
      <c r="G351" s="27">
        <f t="shared" si="10"/>
        <v>0</v>
      </c>
      <c r="H351" s="29">
        <v>1</v>
      </c>
      <c r="I351" s="12"/>
      <c r="J351" s="12"/>
      <c r="K351" s="13"/>
      <c r="L351" s="13"/>
      <c r="M351" s="36"/>
    </row>
    <row r="352" spans="1:13" ht="30" customHeight="1">
      <c r="A352" s="16" t="s">
        <v>30</v>
      </c>
      <c r="B352" s="30" t="s">
        <v>391</v>
      </c>
      <c r="C352" s="30" t="s">
        <v>446</v>
      </c>
      <c r="D352" s="27">
        <v>1540.1669999999999</v>
      </c>
      <c r="E352" s="27">
        <v>1540.1669999999999</v>
      </c>
      <c r="F352" s="27">
        <f t="shared" si="11"/>
        <v>0</v>
      </c>
      <c r="G352" s="27">
        <f t="shared" si="10"/>
        <v>0</v>
      </c>
      <c r="H352" s="29">
        <v>1</v>
      </c>
      <c r="I352" s="12"/>
      <c r="J352" s="12"/>
      <c r="K352" s="13"/>
      <c r="L352" s="13"/>
      <c r="M352" s="36"/>
    </row>
    <row r="353" spans="1:13" ht="30" customHeight="1">
      <c r="A353" s="16" t="s">
        <v>30</v>
      </c>
      <c r="B353" s="30" t="s">
        <v>389</v>
      </c>
      <c r="C353" s="30" t="s">
        <v>447</v>
      </c>
      <c r="D353" s="27">
        <v>3205.6294999999996</v>
      </c>
      <c r="E353" s="27">
        <v>3205.6294999999996</v>
      </c>
      <c r="F353" s="27">
        <f t="shared" si="11"/>
        <v>0</v>
      </c>
      <c r="G353" s="27">
        <f t="shared" si="10"/>
        <v>0</v>
      </c>
      <c r="H353" s="29">
        <v>1</v>
      </c>
      <c r="I353" s="12"/>
      <c r="J353" s="12"/>
      <c r="K353" s="13"/>
      <c r="L353" s="13"/>
      <c r="M353" s="36"/>
    </row>
    <row r="354" spans="1:13" ht="30" customHeight="1">
      <c r="A354" s="16" t="s">
        <v>30</v>
      </c>
      <c r="B354" s="30" t="s">
        <v>391</v>
      </c>
      <c r="C354" s="30" t="s">
        <v>448</v>
      </c>
      <c r="D354" s="27">
        <v>2426.7054999999996</v>
      </c>
      <c r="E354" s="27">
        <v>2426.7054999999996</v>
      </c>
      <c r="F354" s="27">
        <f t="shared" si="11"/>
        <v>0</v>
      </c>
      <c r="G354" s="27">
        <f t="shared" si="10"/>
        <v>0</v>
      </c>
      <c r="H354" s="29">
        <v>1</v>
      </c>
      <c r="I354" s="12"/>
      <c r="J354" s="12"/>
      <c r="K354" s="13"/>
      <c r="L354" s="13"/>
      <c r="M354" s="36"/>
    </row>
    <row r="355" spans="1:13" ht="30" customHeight="1">
      <c r="A355" s="16" t="s">
        <v>30</v>
      </c>
      <c r="B355" s="30" t="s">
        <v>391</v>
      </c>
      <c r="C355" s="30" t="s">
        <v>449</v>
      </c>
      <c r="D355" s="27">
        <v>3241.5009999999997</v>
      </c>
      <c r="E355" s="27">
        <v>3241.5009999999997</v>
      </c>
      <c r="F355" s="27">
        <f t="shared" si="11"/>
        <v>0</v>
      </c>
      <c r="G355" s="27">
        <f t="shared" si="10"/>
        <v>0</v>
      </c>
      <c r="H355" s="29">
        <v>1</v>
      </c>
      <c r="I355" s="12"/>
      <c r="J355" s="12"/>
      <c r="K355" s="13"/>
      <c r="L355" s="13"/>
      <c r="M355" s="36"/>
    </row>
    <row r="356" spans="1:13" ht="30" customHeight="1">
      <c r="A356" s="16" t="s">
        <v>30</v>
      </c>
      <c r="B356" s="30" t="s">
        <v>389</v>
      </c>
      <c r="C356" s="30" t="s">
        <v>450</v>
      </c>
      <c r="D356" s="27">
        <v>1356.568</v>
      </c>
      <c r="E356" s="27">
        <v>1356.568</v>
      </c>
      <c r="F356" s="27">
        <f t="shared" si="11"/>
        <v>0</v>
      </c>
      <c r="G356" s="27">
        <v>0</v>
      </c>
      <c r="H356" s="29">
        <v>1</v>
      </c>
      <c r="I356" s="12"/>
      <c r="J356" s="12"/>
      <c r="K356" s="13"/>
      <c r="L356" s="13"/>
      <c r="M356" s="36"/>
    </row>
    <row r="357" spans="1:13" ht="30" customHeight="1">
      <c r="A357" s="16" t="s">
        <v>30</v>
      </c>
      <c r="B357" s="30" t="s">
        <v>390</v>
      </c>
      <c r="C357" s="30" t="s">
        <v>451</v>
      </c>
      <c r="D357" s="27">
        <v>1356.568</v>
      </c>
      <c r="E357" s="27">
        <v>1356.568</v>
      </c>
      <c r="F357" s="27">
        <f t="shared" si="11"/>
        <v>0</v>
      </c>
      <c r="G357" s="27">
        <v>0</v>
      </c>
      <c r="H357" s="29">
        <v>1</v>
      </c>
      <c r="I357" s="12"/>
      <c r="J357" s="12"/>
      <c r="K357" s="13"/>
      <c r="L357" s="13"/>
      <c r="M357" s="36"/>
    </row>
    <row r="358" spans="1:13" ht="30" customHeight="1">
      <c r="A358" s="16" t="s">
        <v>30</v>
      </c>
      <c r="B358" s="30" t="s">
        <v>391</v>
      </c>
      <c r="C358" s="30" t="s">
        <v>452</v>
      </c>
      <c r="D358" s="27">
        <v>3195.3804999999998</v>
      </c>
      <c r="E358" s="27">
        <v>3195.3804999999998</v>
      </c>
      <c r="F358" s="27">
        <f t="shared" si="11"/>
        <v>0</v>
      </c>
      <c r="G358" s="27">
        <f t="shared" ref="G358:G362" si="12">+F358*100/D358</f>
        <v>0</v>
      </c>
      <c r="H358" s="29">
        <v>1</v>
      </c>
      <c r="I358" s="12"/>
      <c r="J358" s="12"/>
      <c r="K358" s="13"/>
      <c r="L358" s="13"/>
      <c r="M358" s="36"/>
    </row>
    <row r="359" spans="1:13" ht="30" customHeight="1">
      <c r="A359" s="16" t="s">
        <v>30</v>
      </c>
      <c r="B359" s="30" t="s">
        <v>390</v>
      </c>
      <c r="C359" s="30" t="s">
        <v>453</v>
      </c>
      <c r="D359" s="27">
        <v>3246.6254999999996</v>
      </c>
      <c r="E359" s="27">
        <v>3246.6254999999996</v>
      </c>
      <c r="F359" s="27">
        <f t="shared" si="11"/>
        <v>0</v>
      </c>
      <c r="G359" s="27">
        <f t="shared" si="12"/>
        <v>0</v>
      </c>
      <c r="H359" s="29">
        <v>1</v>
      </c>
      <c r="I359" s="12"/>
      <c r="J359" s="12"/>
      <c r="K359" s="13"/>
      <c r="L359" s="13"/>
      <c r="M359" s="36"/>
    </row>
    <row r="360" spans="1:13" ht="30" customHeight="1">
      <c r="A360" s="16" t="s">
        <v>30</v>
      </c>
      <c r="B360" s="30" t="s">
        <v>389</v>
      </c>
      <c r="C360" s="30" t="s">
        <v>454</v>
      </c>
      <c r="D360" s="27">
        <v>3118.5129999999999</v>
      </c>
      <c r="E360" s="27">
        <v>3118.5129999999999</v>
      </c>
      <c r="F360" s="27">
        <f t="shared" si="11"/>
        <v>0</v>
      </c>
      <c r="G360" s="27">
        <f t="shared" si="12"/>
        <v>0</v>
      </c>
      <c r="H360" s="29">
        <v>1</v>
      </c>
      <c r="I360" s="12"/>
      <c r="J360" s="12"/>
      <c r="K360" s="13"/>
      <c r="L360" s="13"/>
      <c r="M360" s="36"/>
    </row>
    <row r="361" spans="1:13" ht="30" customHeight="1">
      <c r="A361" s="16" t="s">
        <v>30</v>
      </c>
      <c r="B361" s="30" t="s">
        <v>391</v>
      </c>
      <c r="C361" s="30" t="s">
        <v>456</v>
      </c>
      <c r="D361" s="27">
        <v>3221.0029999999997</v>
      </c>
      <c r="E361" s="27">
        <v>3221.0029999999997</v>
      </c>
      <c r="F361" s="27">
        <f t="shared" si="11"/>
        <v>0</v>
      </c>
      <c r="G361" s="27">
        <f t="shared" si="12"/>
        <v>0</v>
      </c>
      <c r="H361" s="29">
        <v>1</v>
      </c>
      <c r="I361" s="12"/>
      <c r="J361" s="12"/>
      <c r="K361" s="13"/>
      <c r="L361" s="13"/>
      <c r="M361" s="36"/>
    </row>
    <row r="362" spans="1:13" ht="30" customHeight="1">
      <c r="A362" s="16" t="s">
        <v>30</v>
      </c>
      <c r="B362" s="30" t="s">
        <v>391</v>
      </c>
      <c r="C362" s="30" t="s">
        <v>455</v>
      </c>
      <c r="D362" s="27">
        <v>3210.7539999999999</v>
      </c>
      <c r="E362" s="27">
        <v>3210.7539999999999</v>
      </c>
      <c r="F362" s="27">
        <f t="shared" si="11"/>
        <v>0</v>
      </c>
      <c r="G362" s="27">
        <f t="shared" si="12"/>
        <v>0</v>
      </c>
      <c r="H362" s="29">
        <v>1</v>
      </c>
      <c r="I362" s="12"/>
      <c r="J362" s="12"/>
      <c r="K362" s="13"/>
      <c r="L362" s="13"/>
      <c r="M362" s="36"/>
    </row>
    <row r="363" spans="1:13" ht="30" customHeight="1">
      <c r="A363" s="2"/>
      <c r="B363" s="2"/>
      <c r="C363" s="2"/>
      <c r="D363" s="31"/>
      <c r="E363" s="2"/>
      <c r="F363" s="2"/>
      <c r="G363" s="2"/>
      <c r="H363" s="2"/>
      <c r="I363" s="2"/>
      <c r="J363" s="2"/>
      <c r="K363" s="11"/>
      <c r="L363" s="11"/>
      <c r="M363" s="9"/>
    </row>
    <row r="364" spans="1:13" ht="3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11"/>
      <c r="L364" s="11"/>
      <c r="M364" s="9"/>
    </row>
    <row r="365" spans="1:13" ht="3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11"/>
      <c r="L365" s="11"/>
      <c r="M365" s="9"/>
    </row>
    <row r="366" spans="1:13" ht="3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11"/>
      <c r="L366" s="11"/>
      <c r="M366" s="9"/>
    </row>
    <row r="367" spans="1:13" ht="3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11"/>
      <c r="L367" s="11"/>
      <c r="M367" s="9"/>
    </row>
    <row r="368" spans="1:13" ht="3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11"/>
      <c r="L368" s="11"/>
      <c r="M368" s="9"/>
    </row>
    <row r="369" spans="1:13" ht="3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11"/>
      <c r="L369" s="11"/>
      <c r="M369" s="9"/>
    </row>
    <row r="370" spans="1:13" ht="3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11"/>
      <c r="L370" s="11"/>
      <c r="M370" s="9"/>
    </row>
    <row r="371" spans="1:13" ht="3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11"/>
      <c r="L371" s="11"/>
      <c r="M371" s="9"/>
    </row>
    <row r="372" spans="1:13" ht="3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11"/>
      <c r="L372" s="11"/>
      <c r="M372" s="9"/>
    </row>
    <row r="373" spans="1:13" ht="3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11"/>
      <c r="L373" s="11"/>
      <c r="M373" s="9"/>
    </row>
    <row r="374" spans="1:13" ht="3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11"/>
      <c r="L374" s="11"/>
      <c r="M374" s="9"/>
    </row>
    <row r="375" spans="1:13" ht="3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11"/>
      <c r="L375" s="11"/>
      <c r="M375" s="9"/>
    </row>
    <row r="376" spans="1:13" ht="3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11"/>
      <c r="L376" s="11"/>
      <c r="M376" s="9"/>
    </row>
    <row r="377" spans="1:13" ht="3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11"/>
      <c r="L377" s="11"/>
      <c r="M377" s="9"/>
    </row>
    <row r="378" spans="1:13" ht="3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11"/>
      <c r="L378" s="11"/>
      <c r="M378" s="9"/>
    </row>
    <row r="379" spans="1:13" ht="3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11"/>
      <c r="L379" s="11"/>
      <c r="M379" s="9"/>
    </row>
    <row r="380" spans="1:13" ht="3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11"/>
      <c r="L380" s="11"/>
      <c r="M380" s="9"/>
    </row>
    <row r="381" spans="1:13" ht="3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11"/>
      <c r="L381" s="11"/>
      <c r="M381" s="9"/>
    </row>
    <row r="382" spans="1:13" ht="3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11"/>
      <c r="L382" s="11"/>
      <c r="M382" s="9"/>
    </row>
    <row r="383" spans="1:13" ht="3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11"/>
      <c r="L383" s="11"/>
      <c r="M383" s="9"/>
    </row>
    <row r="384" spans="1:13" ht="3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11"/>
      <c r="L384" s="11"/>
      <c r="M384" s="9"/>
    </row>
    <row r="385" spans="1:13" ht="3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11"/>
      <c r="L385" s="11"/>
      <c r="M385" s="9"/>
    </row>
    <row r="386" spans="1:13" ht="3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11"/>
      <c r="L386" s="11"/>
      <c r="M386" s="9"/>
    </row>
    <row r="387" spans="1:13" ht="3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11"/>
      <c r="L387" s="11"/>
      <c r="M387" s="9"/>
    </row>
    <row r="388" spans="1:13" ht="3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11"/>
      <c r="L388" s="11"/>
      <c r="M388" s="9"/>
    </row>
    <row r="389" spans="1:13" ht="3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11"/>
      <c r="L389" s="11"/>
      <c r="M389" s="9"/>
    </row>
    <row r="390" spans="1:13" ht="3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11"/>
      <c r="L390" s="11"/>
      <c r="M390" s="9"/>
    </row>
    <row r="391" spans="1:13" ht="3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11"/>
      <c r="L391" s="11"/>
      <c r="M391" s="9"/>
    </row>
    <row r="392" spans="1:13" ht="3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11"/>
      <c r="L392" s="11"/>
      <c r="M392" s="9"/>
    </row>
    <row r="393" spans="1:13" ht="3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11"/>
      <c r="L393" s="11"/>
      <c r="M393" s="9"/>
    </row>
    <row r="394" spans="1:13" ht="3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11"/>
      <c r="L394" s="11"/>
      <c r="M394" s="9"/>
    </row>
    <row r="395" spans="1:13" ht="3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11"/>
      <c r="L395" s="11"/>
      <c r="M395" s="9"/>
    </row>
    <row r="396" spans="1:13" ht="3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11"/>
      <c r="L396" s="11"/>
      <c r="M396" s="9"/>
    </row>
    <row r="397" spans="1:13" ht="3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11"/>
      <c r="L397" s="11"/>
      <c r="M397" s="9"/>
    </row>
    <row r="398" spans="1:13" ht="3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11"/>
      <c r="L398" s="11"/>
      <c r="M398" s="9"/>
    </row>
    <row r="399" spans="1:13" ht="3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11"/>
      <c r="L399" s="11"/>
      <c r="M399" s="9"/>
    </row>
    <row r="400" spans="1:13" ht="3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11"/>
      <c r="L400" s="11"/>
      <c r="M400" s="9"/>
    </row>
    <row r="401" spans="1:13" ht="3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11"/>
      <c r="L401" s="11"/>
      <c r="M401" s="9"/>
    </row>
    <row r="402" spans="1:13" ht="3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11"/>
      <c r="L402" s="11"/>
      <c r="M402" s="9"/>
    </row>
    <row r="403" spans="1:13" ht="3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11"/>
      <c r="L403" s="11"/>
      <c r="M403" s="9"/>
    </row>
    <row r="404" spans="1:13" ht="3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11"/>
      <c r="L404" s="11"/>
      <c r="M404" s="9"/>
    </row>
    <row r="405" spans="1:13" ht="3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11"/>
      <c r="L405" s="11"/>
      <c r="M405" s="9"/>
    </row>
    <row r="406" spans="1:13" ht="3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11"/>
      <c r="L406" s="11"/>
      <c r="M406" s="9"/>
    </row>
    <row r="407" spans="1:13" ht="3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11"/>
      <c r="L407" s="11"/>
      <c r="M407" s="9"/>
    </row>
    <row r="408" spans="1:13" ht="3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11"/>
      <c r="L408" s="11"/>
      <c r="M408" s="9"/>
    </row>
    <row r="409" spans="1:13" ht="3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11"/>
      <c r="L409" s="11"/>
      <c r="M409" s="9"/>
    </row>
    <row r="410" spans="1:13" ht="3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11"/>
      <c r="L410" s="11"/>
      <c r="M410" s="9"/>
    </row>
    <row r="411" spans="1:13" ht="3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11"/>
      <c r="L411" s="11"/>
      <c r="M411" s="9"/>
    </row>
    <row r="412" spans="1:13" ht="3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11"/>
      <c r="L412" s="11"/>
      <c r="M412" s="9"/>
    </row>
    <row r="413" spans="1:13" ht="3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11"/>
      <c r="L413" s="11"/>
      <c r="M413" s="9"/>
    </row>
    <row r="414" spans="1:13" ht="3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11"/>
      <c r="L414" s="11"/>
      <c r="M414" s="9"/>
    </row>
    <row r="415" spans="1:13" ht="3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11"/>
      <c r="L415" s="11"/>
      <c r="M415" s="9"/>
    </row>
    <row r="416" spans="1:13" ht="3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11"/>
      <c r="L416" s="11"/>
      <c r="M416" s="9"/>
    </row>
    <row r="417" spans="1:13" ht="3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11"/>
      <c r="L417" s="11"/>
      <c r="M417" s="9"/>
    </row>
    <row r="418" spans="1:13" ht="3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11"/>
      <c r="L418" s="11"/>
      <c r="M418" s="9"/>
    </row>
    <row r="419" spans="1:13" ht="3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11"/>
      <c r="L419" s="11"/>
      <c r="M419" s="9"/>
    </row>
    <row r="420" spans="1:13" ht="3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11"/>
      <c r="L420" s="11"/>
      <c r="M420" s="9"/>
    </row>
    <row r="421" spans="1:13" ht="3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11"/>
      <c r="L421" s="11"/>
      <c r="M421" s="9"/>
    </row>
    <row r="422" spans="1:13" ht="3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11"/>
      <c r="L422" s="11"/>
      <c r="M422" s="9"/>
    </row>
    <row r="423" spans="1:13" ht="3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11"/>
      <c r="L423" s="11"/>
      <c r="M423" s="9"/>
    </row>
    <row r="424" spans="1:13" ht="3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11"/>
      <c r="L424" s="11"/>
      <c r="M424" s="9"/>
    </row>
    <row r="425" spans="1:13" ht="3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11"/>
      <c r="L425" s="11"/>
      <c r="M425" s="9"/>
    </row>
    <row r="426" spans="1:13" ht="3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11"/>
      <c r="L426" s="11"/>
      <c r="M426" s="9"/>
    </row>
    <row r="427" spans="1:13" ht="3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11"/>
      <c r="L427" s="11"/>
      <c r="M427" s="9"/>
    </row>
    <row r="428" spans="1:13" ht="3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11"/>
      <c r="L428" s="11"/>
      <c r="M428" s="9"/>
    </row>
    <row r="429" spans="1:13" ht="3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11"/>
      <c r="L429" s="11"/>
      <c r="M429" s="9"/>
    </row>
    <row r="430" spans="1:13" ht="3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11"/>
      <c r="L430" s="11"/>
      <c r="M430" s="9"/>
    </row>
    <row r="431" spans="1:13" ht="3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11"/>
      <c r="L431" s="11"/>
      <c r="M431" s="9"/>
    </row>
    <row r="432" spans="1:13" ht="3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11"/>
      <c r="L432" s="11"/>
      <c r="M432" s="9"/>
    </row>
    <row r="433" spans="1:13" ht="3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11"/>
      <c r="L433" s="11"/>
      <c r="M433" s="9"/>
    </row>
    <row r="434" spans="1:13" ht="3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11"/>
      <c r="L434" s="11"/>
      <c r="M434" s="9"/>
    </row>
    <row r="435" spans="1:13" ht="3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11"/>
      <c r="L435" s="11"/>
      <c r="M435" s="9"/>
    </row>
    <row r="436" spans="1:13" ht="3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11"/>
      <c r="L436" s="11"/>
      <c r="M436" s="9"/>
    </row>
    <row r="437" spans="1:13" ht="3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11"/>
      <c r="L437" s="11"/>
      <c r="M437" s="9"/>
    </row>
    <row r="438" spans="1:13" ht="3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11"/>
      <c r="L438" s="11"/>
      <c r="M438" s="9"/>
    </row>
    <row r="439" spans="1:13" ht="3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11"/>
      <c r="L439" s="11"/>
      <c r="M439" s="9"/>
    </row>
    <row r="440" spans="1:13" ht="3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11"/>
      <c r="L440" s="11"/>
      <c r="M440" s="9"/>
    </row>
    <row r="441" spans="1:13" ht="3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11"/>
      <c r="L441" s="11"/>
      <c r="M441" s="9"/>
    </row>
    <row r="442" spans="1:13" ht="3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11"/>
      <c r="L442" s="11"/>
      <c r="M442" s="9"/>
    </row>
    <row r="443" spans="1:13" ht="3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11"/>
      <c r="L443" s="11"/>
      <c r="M443" s="9"/>
    </row>
    <row r="444" spans="1:13" ht="3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11"/>
      <c r="L444" s="11"/>
      <c r="M444" s="9"/>
    </row>
    <row r="445" spans="1:13" ht="3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11"/>
      <c r="L445" s="11"/>
      <c r="M445" s="9"/>
    </row>
    <row r="446" spans="1:13" ht="3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11"/>
      <c r="L446" s="11"/>
      <c r="M446" s="9"/>
    </row>
    <row r="447" spans="1:13" ht="3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11"/>
      <c r="L447" s="11"/>
      <c r="M447" s="9"/>
    </row>
    <row r="448" spans="1:13" ht="3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11"/>
      <c r="L448" s="11"/>
      <c r="M448" s="9"/>
    </row>
    <row r="449" spans="1:13" ht="3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11"/>
      <c r="L449" s="11"/>
      <c r="M449" s="9"/>
    </row>
    <row r="450" spans="1:13" ht="3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11"/>
      <c r="L450" s="11"/>
      <c r="M450" s="9"/>
    </row>
    <row r="451" spans="1:13" ht="3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11"/>
      <c r="L451" s="11"/>
      <c r="M451" s="9"/>
    </row>
    <row r="452" spans="1:13" ht="3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11"/>
      <c r="L452" s="11"/>
      <c r="M452" s="9"/>
    </row>
    <row r="453" spans="1:13" ht="3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11"/>
      <c r="L453" s="11"/>
      <c r="M453" s="9"/>
    </row>
    <row r="454" spans="1:13" ht="3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11"/>
      <c r="L454" s="11"/>
      <c r="M454" s="9"/>
    </row>
    <row r="455" spans="1:13" ht="3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11"/>
      <c r="L455" s="11"/>
      <c r="M455" s="9"/>
    </row>
    <row r="456" spans="1:13" ht="3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11"/>
      <c r="L456" s="11"/>
      <c r="M456" s="9"/>
    </row>
    <row r="457" spans="1:13" ht="3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11"/>
      <c r="L457" s="11"/>
      <c r="M457" s="9"/>
    </row>
    <row r="458" spans="1:13" ht="3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11"/>
      <c r="L458" s="11"/>
      <c r="M458" s="9"/>
    </row>
    <row r="459" spans="1:13" ht="3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11"/>
      <c r="L459" s="11"/>
      <c r="M459" s="9"/>
    </row>
    <row r="460" spans="1:13" ht="3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11"/>
      <c r="L460" s="11"/>
      <c r="M460" s="9"/>
    </row>
    <row r="461" spans="1:13" ht="3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11"/>
      <c r="L461" s="11"/>
      <c r="M461" s="9"/>
    </row>
    <row r="462" spans="1:13" ht="3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11"/>
      <c r="L462" s="11"/>
      <c r="M462" s="9"/>
    </row>
    <row r="463" spans="1:13" ht="3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11"/>
      <c r="L463" s="11"/>
      <c r="M463" s="9"/>
    </row>
    <row r="464" spans="1:13" ht="3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11"/>
      <c r="L464" s="11"/>
      <c r="M464" s="9"/>
    </row>
    <row r="465" spans="1:13" ht="3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11"/>
      <c r="L465" s="11"/>
      <c r="M465" s="9"/>
    </row>
    <row r="466" spans="1:13" ht="3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11"/>
      <c r="L466" s="11"/>
      <c r="M466" s="9"/>
    </row>
    <row r="467" spans="1:13" ht="3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11"/>
      <c r="L467" s="11"/>
      <c r="M467" s="9"/>
    </row>
    <row r="468" spans="1:13" ht="3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11"/>
      <c r="L468" s="11"/>
      <c r="M468" s="9"/>
    </row>
    <row r="469" spans="1:13" ht="3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11"/>
      <c r="L469" s="11"/>
      <c r="M469" s="9"/>
    </row>
    <row r="470" spans="1:13" ht="3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11"/>
      <c r="L470" s="11"/>
      <c r="M470" s="9"/>
    </row>
    <row r="471" spans="1:13" ht="3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11"/>
      <c r="L471" s="11"/>
      <c r="M471" s="9"/>
    </row>
    <row r="472" spans="1:13" ht="3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11"/>
      <c r="L472" s="11"/>
      <c r="M472" s="9"/>
    </row>
    <row r="473" spans="1:13" ht="3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11"/>
      <c r="L473" s="11"/>
      <c r="M473" s="9"/>
    </row>
    <row r="474" spans="1:13" ht="3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11"/>
      <c r="L474" s="11"/>
      <c r="M474" s="9"/>
    </row>
    <row r="475" spans="1:13" ht="3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11"/>
      <c r="L475" s="11"/>
      <c r="M475" s="9"/>
    </row>
    <row r="476" spans="1:13" ht="3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11"/>
      <c r="L476" s="11"/>
      <c r="M476" s="9"/>
    </row>
    <row r="477" spans="1:13" ht="3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11"/>
      <c r="L477" s="11"/>
      <c r="M477" s="9"/>
    </row>
    <row r="478" spans="1:13" ht="3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11"/>
      <c r="L478" s="11"/>
      <c r="M478" s="9"/>
    </row>
    <row r="479" spans="1:13" ht="3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11"/>
      <c r="L479" s="11"/>
      <c r="M479" s="9"/>
    </row>
    <row r="480" spans="1:13" ht="3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11"/>
      <c r="L480" s="11"/>
      <c r="M480" s="9"/>
    </row>
    <row r="481" spans="1:13" ht="3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11"/>
      <c r="L481" s="11"/>
      <c r="M481" s="9"/>
    </row>
    <row r="482" spans="1:13" ht="3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11"/>
      <c r="L482" s="11"/>
      <c r="M482" s="9"/>
    </row>
    <row r="483" spans="1:13" ht="3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11"/>
      <c r="L483" s="11"/>
      <c r="M483" s="9"/>
    </row>
    <row r="484" spans="1:13" ht="3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11"/>
      <c r="L484" s="11"/>
      <c r="M484" s="9"/>
    </row>
    <row r="485" spans="1:13" ht="3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11"/>
      <c r="L485" s="11"/>
      <c r="M485" s="9"/>
    </row>
    <row r="486" spans="1:13" ht="3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11"/>
      <c r="L486" s="11"/>
      <c r="M486" s="9"/>
    </row>
    <row r="487" spans="1:13" ht="3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11"/>
      <c r="L487" s="11"/>
      <c r="M487" s="9"/>
    </row>
    <row r="488" spans="1:13" ht="3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11"/>
      <c r="L488" s="11"/>
      <c r="M488" s="9"/>
    </row>
    <row r="489" spans="1:13" ht="3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11"/>
      <c r="L489" s="11"/>
      <c r="M489" s="9"/>
    </row>
    <row r="490" spans="1:13" ht="3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11"/>
      <c r="L490" s="11"/>
      <c r="M490" s="9"/>
    </row>
    <row r="491" spans="1:13" ht="3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11"/>
      <c r="L491" s="11"/>
      <c r="M491" s="9"/>
    </row>
    <row r="492" spans="1:13" ht="3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11"/>
      <c r="L492" s="11"/>
      <c r="M492" s="9"/>
    </row>
    <row r="493" spans="1:13" ht="3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11"/>
      <c r="L493" s="11"/>
      <c r="M493" s="9"/>
    </row>
    <row r="494" spans="1:13" ht="3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11"/>
      <c r="L494" s="11"/>
      <c r="M494" s="9"/>
    </row>
    <row r="495" spans="1:13" ht="3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11"/>
      <c r="L495" s="11"/>
      <c r="M495" s="9"/>
    </row>
    <row r="496" spans="1:13" ht="3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11"/>
      <c r="L496" s="11"/>
      <c r="M496" s="9"/>
    </row>
    <row r="497" spans="1:13" ht="3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11"/>
      <c r="L497" s="11"/>
      <c r="M497" s="9"/>
    </row>
    <row r="498" spans="1:13" ht="3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11"/>
      <c r="L498" s="11"/>
      <c r="M498" s="9"/>
    </row>
    <row r="499" spans="1:13" ht="3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11"/>
      <c r="L499" s="11"/>
      <c r="M499" s="9"/>
    </row>
    <row r="500" spans="1:13" ht="3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11"/>
      <c r="L500" s="11"/>
      <c r="M500" s="9"/>
    </row>
    <row r="501" spans="1:13" ht="3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11"/>
      <c r="L501" s="11"/>
      <c r="M501" s="9"/>
    </row>
    <row r="502" spans="1:13" ht="3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11"/>
      <c r="L502" s="11"/>
      <c r="M502" s="9"/>
    </row>
    <row r="503" spans="1:13" ht="3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11"/>
      <c r="L503" s="11"/>
      <c r="M503" s="9"/>
    </row>
    <row r="504" spans="1:13" ht="3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11"/>
      <c r="L504" s="11"/>
      <c r="M504" s="9"/>
    </row>
    <row r="505" spans="1:13" ht="3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11"/>
      <c r="L505" s="11"/>
      <c r="M505" s="9"/>
    </row>
    <row r="506" spans="1:13" ht="3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11"/>
      <c r="L506" s="11"/>
      <c r="M506" s="9"/>
    </row>
    <row r="507" spans="1:13" ht="3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11"/>
      <c r="L507" s="11"/>
      <c r="M507" s="9"/>
    </row>
    <row r="508" spans="1:13" ht="3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11"/>
      <c r="L508" s="11"/>
      <c r="M508" s="9"/>
    </row>
    <row r="509" spans="1:13" ht="3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11"/>
      <c r="L509" s="11"/>
      <c r="M509" s="9"/>
    </row>
    <row r="510" spans="1:13" ht="3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11"/>
      <c r="L510" s="11"/>
      <c r="M510" s="9"/>
    </row>
    <row r="511" spans="1:13" ht="3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11"/>
      <c r="L511" s="11"/>
      <c r="M511" s="9"/>
    </row>
    <row r="512" spans="1:13" ht="3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11"/>
      <c r="L512" s="11"/>
      <c r="M512" s="9"/>
    </row>
    <row r="513" spans="1:13" ht="3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11"/>
      <c r="L513" s="11"/>
      <c r="M513" s="9"/>
    </row>
    <row r="514" spans="1:13" ht="3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11"/>
      <c r="L514" s="11"/>
      <c r="M514" s="9"/>
    </row>
    <row r="515" spans="1:13" ht="3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11"/>
      <c r="L515" s="11"/>
      <c r="M515" s="9"/>
    </row>
    <row r="516" spans="1:13" ht="3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11"/>
      <c r="L516" s="11"/>
      <c r="M516" s="9"/>
    </row>
    <row r="517" spans="1:13" ht="3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11"/>
      <c r="L517" s="11"/>
      <c r="M517" s="9"/>
    </row>
    <row r="518" spans="1:13" ht="3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11"/>
      <c r="L518" s="11"/>
      <c r="M518" s="9"/>
    </row>
    <row r="519" spans="1:13" ht="3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11"/>
      <c r="L519" s="11"/>
      <c r="M519" s="9"/>
    </row>
    <row r="520" spans="1:13" ht="3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11"/>
      <c r="L520" s="11"/>
      <c r="M520" s="9"/>
    </row>
    <row r="521" spans="1:13" ht="3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11"/>
      <c r="L521" s="11"/>
      <c r="M521" s="9"/>
    </row>
    <row r="522" spans="1:13" ht="3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11"/>
      <c r="L522" s="11"/>
      <c r="M522" s="9"/>
    </row>
    <row r="523" spans="1:13" ht="3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11"/>
      <c r="L523" s="11"/>
      <c r="M523" s="9"/>
    </row>
    <row r="524" spans="1:13" ht="3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11"/>
      <c r="L524" s="11"/>
      <c r="M524" s="9"/>
    </row>
    <row r="525" spans="1:13" ht="3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11"/>
      <c r="L525" s="11"/>
      <c r="M525" s="9"/>
    </row>
    <row r="526" spans="1:13" ht="3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11"/>
      <c r="L526" s="11"/>
      <c r="M526" s="9"/>
    </row>
    <row r="527" spans="1:13" ht="3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11"/>
      <c r="L527" s="11"/>
      <c r="M527" s="9"/>
    </row>
    <row r="528" spans="1:13" ht="3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11"/>
      <c r="L528" s="11"/>
      <c r="M528" s="9"/>
    </row>
    <row r="529" spans="1:13" ht="3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11"/>
      <c r="L529" s="11"/>
      <c r="M529" s="9"/>
    </row>
    <row r="530" spans="1:13" ht="3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11"/>
      <c r="L530" s="11"/>
      <c r="M530" s="9"/>
    </row>
    <row r="531" spans="1:13" ht="3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11"/>
      <c r="L531" s="11"/>
      <c r="M531" s="9"/>
    </row>
    <row r="532" spans="1:13" ht="3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11"/>
      <c r="L532" s="11"/>
      <c r="M532" s="9"/>
    </row>
    <row r="533" spans="1:13" ht="3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11"/>
      <c r="L533" s="11"/>
      <c r="M533" s="9"/>
    </row>
    <row r="534" spans="1:13" ht="3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11"/>
      <c r="L534" s="11"/>
      <c r="M534" s="9"/>
    </row>
    <row r="535" spans="1:13" ht="3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11"/>
      <c r="L535" s="11"/>
      <c r="M535" s="9"/>
    </row>
    <row r="536" spans="1:13" ht="3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11"/>
      <c r="L536" s="11"/>
      <c r="M536" s="9"/>
    </row>
    <row r="537" spans="1:13" ht="3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11"/>
      <c r="L537" s="11"/>
      <c r="M537" s="9"/>
    </row>
    <row r="538" spans="1:13" ht="3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11"/>
      <c r="L538" s="11"/>
      <c r="M538" s="9"/>
    </row>
    <row r="539" spans="1:13" ht="3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11"/>
      <c r="L539" s="11"/>
      <c r="M539" s="9"/>
    </row>
    <row r="540" spans="1:13" ht="3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11"/>
      <c r="L540" s="11"/>
      <c r="M540" s="9"/>
    </row>
    <row r="541" spans="1:13" ht="3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11"/>
      <c r="L541" s="11"/>
      <c r="M541" s="9"/>
    </row>
    <row r="542" spans="1:13" ht="3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11"/>
      <c r="L542" s="11"/>
      <c r="M542" s="9"/>
    </row>
    <row r="543" spans="1:13" ht="3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11"/>
      <c r="L543" s="11"/>
      <c r="M543" s="9"/>
    </row>
    <row r="544" spans="1:13" ht="3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11"/>
      <c r="L544" s="11"/>
      <c r="M544" s="9"/>
    </row>
    <row r="545" spans="1:13" ht="3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11"/>
      <c r="L545" s="11"/>
      <c r="M545" s="9"/>
    </row>
    <row r="546" spans="1:13" ht="3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11"/>
      <c r="L546" s="11"/>
      <c r="M546" s="9"/>
    </row>
    <row r="547" spans="1:13" ht="3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11"/>
      <c r="L547" s="11"/>
      <c r="M547" s="9"/>
    </row>
    <row r="548" spans="1:13" ht="3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11"/>
      <c r="L548" s="11"/>
      <c r="M548" s="9"/>
    </row>
    <row r="549" spans="1:13" ht="3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11"/>
      <c r="L549" s="11"/>
      <c r="M549" s="9"/>
    </row>
    <row r="550" spans="1:13" ht="3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11"/>
      <c r="L550" s="11"/>
      <c r="M550" s="9"/>
    </row>
    <row r="551" spans="1:13" ht="3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11"/>
      <c r="L551" s="11"/>
      <c r="M551" s="9"/>
    </row>
    <row r="552" spans="1:13" ht="3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11"/>
      <c r="L552" s="11"/>
      <c r="M552" s="9"/>
    </row>
    <row r="553" spans="1:13" ht="3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11"/>
      <c r="L553" s="11"/>
      <c r="M553" s="9"/>
    </row>
    <row r="554" spans="1:13" ht="3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11"/>
      <c r="L554" s="11"/>
      <c r="M554" s="9"/>
    </row>
    <row r="555" spans="1:13" ht="3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11"/>
      <c r="L555" s="11"/>
      <c r="M555" s="9"/>
    </row>
    <row r="556" spans="1:13" ht="3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11"/>
      <c r="L556" s="11"/>
      <c r="M556" s="9"/>
    </row>
    <row r="557" spans="1:13" ht="3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11"/>
      <c r="L557" s="11"/>
      <c r="M557" s="9"/>
    </row>
    <row r="558" spans="1:13" ht="3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11"/>
      <c r="L558" s="11"/>
      <c r="M558" s="9"/>
    </row>
    <row r="559" spans="1:13" ht="3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11"/>
      <c r="L559" s="11"/>
      <c r="M559" s="9"/>
    </row>
    <row r="560" spans="1:13" ht="3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11"/>
      <c r="L560" s="11"/>
      <c r="M560" s="9"/>
    </row>
    <row r="561" spans="1:13" ht="3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11"/>
      <c r="L561" s="11"/>
      <c r="M561" s="9"/>
    </row>
    <row r="562" spans="1:13" ht="3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11"/>
      <c r="L562" s="11"/>
      <c r="M562" s="9"/>
    </row>
    <row r="563" spans="1:13" ht="3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11"/>
      <c r="L563" s="11"/>
      <c r="M563" s="9"/>
    </row>
    <row r="564" spans="1:13" ht="3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11"/>
      <c r="L564" s="11"/>
      <c r="M564" s="9"/>
    </row>
    <row r="565" spans="1:13" ht="3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11"/>
      <c r="L565" s="11"/>
      <c r="M565" s="9"/>
    </row>
    <row r="566" spans="1:13" ht="3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11"/>
      <c r="L566" s="11"/>
      <c r="M566" s="9"/>
    </row>
    <row r="567" spans="1:13" ht="3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11"/>
      <c r="L567" s="11"/>
      <c r="M567" s="9"/>
    </row>
    <row r="568" spans="1:13" ht="3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11"/>
      <c r="L568" s="11"/>
      <c r="M568" s="9"/>
    </row>
    <row r="569" spans="1:13" ht="3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11"/>
      <c r="L569" s="11"/>
      <c r="M569" s="9"/>
    </row>
    <row r="570" spans="1:13" ht="3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11"/>
      <c r="L570" s="11"/>
      <c r="M570" s="9"/>
    </row>
    <row r="571" spans="1:13" ht="3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11"/>
      <c r="L571" s="11"/>
      <c r="M571" s="9"/>
    </row>
    <row r="572" spans="1:13" ht="3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11"/>
      <c r="L572" s="11"/>
      <c r="M572" s="9"/>
    </row>
    <row r="573" spans="1:13" ht="3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11"/>
      <c r="L573" s="11"/>
      <c r="M573" s="9"/>
    </row>
    <row r="574" spans="1:13" ht="3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11"/>
      <c r="L574" s="11"/>
      <c r="M574" s="9"/>
    </row>
    <row r="575" spans="1:13" ht="3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11"/>
      <c r="L575" s="11"/>
      <c r="M575" s="9"/>
    </row>
    <row r="576" spans="1:13" ht="3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11"/>
      <c r="L576" s="11"/>
      <c r="M576" s="9"/>
    </row>
    <row r="577" spans="1:13" ht="3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11"/>
      <c r="L577" s="11"/>
      <c r="M577" s="9"/>
    </row>
    <row r="578" spans="1:13" ht="3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11"/>
      <c r="L578" s="11"/>
      <c r="M578" s="9"/>
    </row>
    <row r="579" spans="1:13" ht="3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11"/>
      <c r="L579" s="11"/>
      <c r="M579" s="9"/>
    </row>
    <row r="580" spans="1:13" ht="3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11"/>
      <c r="L580" s="11"/>
      <c r="M580" s="9"/>
    </row>
    <row r="581" spans="1:13" ht="3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11"/>
      <c r="L581" s="11"/>
      <c r="M581" s="9"/>
    </row>
    <row r="582" spans="1:13" ht="3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11"/>
      <c r="L582" s="11"/>
      <c r="M582" s="9"/>
    </row>
    <row r="583" spans="1:13" ht="3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11"/>
      <c r="L583" s="11"/>
      <c r="M583" s="9"/>
    </row>
    <row r="584" spans="1:13" ht="3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11"/>
      <c r="L584" s="11"/>
      <c r="M584" s="9"/>
    </row>
    <row r="585" spans="1:13" ht="3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11"/>
      <c r="L585" s="11"/>
      <c r="M585" s="9"/>
    </row>
  </sheetData>
  <autoFilter ref="A2:M301" xr:uid="{48C3EA1C-1E31-4450-8B8A-792657D07DD1}"/>
  <mergeCells count="1">
    <mergeCell ref="A1:M1"/>
  </mergeCells>
  <conditionalFormatting sqref="C1:C298 C363:C1048576">
    <cfRule type="duplicateValues" dxfId="14" priority="2"/>
  </conditionalFormatting>
  <conditionalFormatting sqref="C299:C362">
    <cfRule type="duplicateValues" dxfId="1" priority="1"/>
  </conditionalFormatting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11BF0-B3A6-47A2-AAFA-863FF5C34568}">
  <sheetPr>
    <outlinePr summaryBelow="0" summaryRight="0"/>
  </sheetPr>
  <dimension ref="A1:N585"/>
  <sheetViews>
    <sheetView zoomScale="55" zoomScaleNormal="55" workbookViewId="0">
      <pane xSplit="1" ySplit="2" topLeftCell="B289" activePane="bottomRight" state="frozen"/>
      <selection pane="topRight" activeCell="B1" sqref="B1"/>
      <selection pane="bottomLeft" activeCell="A3" sqref="A3"/>
      <selection pane="bottomRight" activeCell="D311" sqref="D311"/>
    </sheetView>
  </sheetViews>
  <sheetFormatPr defaultColWidth="12.5703125" defaultRowHeight="15.75" customHeight="1"/>
  <cols>
    <col min="1" max="10" width="31.5703125" style="32" customWidth="1"/>
    <col min="11" max="12" width="31.5703125" style="33" customWidth="1"/>
    <col min="13" max="13" width="31.5703125" style="34" customWidth="1"/>
    <col min="14" max="16384" width="12.5703125" style="32"/>
  </cols>
  <sheetData>
    <row r="1" spans="1:14" ht="30" customHeight="1">
      <c r="A1" s="37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9"/>
      <c r="L1" s="39"/>
      <c r="M1" s="40"/>
    </row>
    <row r="2" spans="1:14" ht="3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/>
      <c r="H2" s="1" t="s">
        <v>7</v>
      </c>
      <c r="I2" s="1" t="s">
        <v>8</v>
      </c>
      <c r="J2" s="1" t="s">
        <v>9</v>
      </c>
      <c r="K2" s="10" t="s">
        <v>10</v>
      </c>
      <c r="L2" s="10" t="s">
        <v>11</v>
      </c>
      <c r="M2" s="8" t="s">
        <v>12</v>
      </c>
    </row>
    <row r="3" spans="1:14" ht="30" customHeight="1">
      <c r="A3" s="7" t="s">
        <v>13</v>
      </c>
      <c r="B3" s="30" t="s">
        <v>384</v>
      </c>
      <c r="C3" s="30" t="s">
        <v>89</v>
      </c>
      <c r="D3" s="27">
        <v>31511.525064111185</v>
      </c>
      <c r="E3" s="28">
        <v>14909.618031961441</v>
      </c>
      <c r="F3" s="27">
        <f>+D3-E3</f>
        <v>16601.907032149742</v>
      </c>
      <c r="G3" s="27">
        <f t="shared" ref="G3:G66" si="0">+F3*100/D3</f>
        <v>52.685190571934051</v>
      </c>
      <c r="H3" s="29">
        <v>61</v>
      </c>
      <c r="I3" s="29">
        <v>3</v>
      </c>
      <c r="J3" s="18" t="s">
        <v>14</v>
      </c>
      <c r="K3" s="30">
        <v>40.865291666700003</v>
      </c>
      <c r="L3" s="30">
        <v>71.961494999999999</v>
      </c>
      <c r="M3" s="15">
        <v>160</v>
      </c>
      <c r="N3" s="32">
        <v>3</v>
      </c>
    </row>
    <row r="4" spans="1:14" ht="30" customHeight="1">
      <c r="A4" s="7" t="s">
        <v>13</v>
      </c>
      <c r="B4" s="30" t="s">
        <v>385</v>
      </c>
      <c r="C4" s="30" t="s">
        <v>123</v>
      </c>
      <c r="D4" s="27">
        <v>33265.995774111187</v>
      </c>
      <c r="E4" s="28">
        <v>16444.588031961444</v>
      </c>
      <c r="F4" s="27">
        <f>+D4-E4</f>
        <v>16821.407742149742</v>
      </c>
      <c r="G4" s="27">
        <f t="shared" si="0"/>
        <v>50.566373711983623</v>
      </c>
      <c r="H4" s="29">
        <v>35</v>
      </c>
      <c r="I4" s="29">
        <v>4</v>
      </c>
      <c r="J4" s="4" t="s">
        <v>16</v>
      </c>
      <c r="K4" s="30">
        <v>40.859666666700001</v>
      </c>
      <c r="L4" s="30">
        <v>72.121076666700006</v>
      </c>
      <c r="M4" s="15">
        <v>63</v>
      </c>
    </row>
    <row r="5" spans="1:14" ht="30" customHeight="1">
      <c r="A5" s="7" t="s">
        <v>13</v>
      </c>
      <c r="B5" s="30" t="s">
        <v>386</v>
      </c>
      <c r="C5" s="30" t="s">
        <v>124</v>
      </c>
      <c r="D5" s="27">
        <v>34945.028484111186</v>
      </c>
      <c r="E5" s="28">
        <v>17913.558031961442</v>
      </c>
      <c r="F5" s="27">
        <f t="shared" ref="F5:F68" si="1">+D5-E5</f>
        <v>17031.470452149744</v>
      </c>
      <c r="G5" s="27">
        <f t="shared" si="0"/>
        <v>48.737892601500143</v>
      </c>
      <c r="H5" s="29">
        <v>19</v>
      </c>
      <c r="I5" s="29">
        <v>4</v>
      </c>
      <c r="J5" s="4" t="s">
        <v>15</v>
      </c>
      <c r="K5" s="30">
        <v>40.875443333299998</v>
      </c>
      <c r="L5" s="30">
        <v>71.966825</v>
      </c>
      <c r="M5" s="15">
        <v>250</v>
      </c>
    </row>
    <row r="6" spans="1:14" ht="30" customHeight="1">
      <c r="A6" s="7" t="s">
        <v>13</v>
      </c>
      <c r="B6" s="30" t="s">
        <v>387</v>
      </c>
      <c r="C6" s="30" t="s">
        <v>125</v>
      </c>
      <c r="D6" s="27">
        <v>34478.638764111187</v>
      </c>
      <c r="E6" s="28">
        <v>17505.518031961445</v>
      </c>
      <c r="F6" s="27">
        <f t="shared" si="1"/>
        <v>16973.120732149742</v>
      </c>
      <c r="G6" s="27">
        <f t="shared" si="0"/>
        <v>49.227931671760381</v>
      </c>
      <c r="H6" s="29">
        <v>69</v>
      </c>
      <c r="I6" s="29">
        <v>3</v>
      </c>
      <c r="J6" s="4" t="s">
        <v>15</v>
      </c>
      <c r="K6" s="30">
        <v>40.879336666500002</v>
      </c>
      <c r="L6" s="30">
        <v>71.986581666700005</v>
      </c>
      <c r="M6" s="15">
        <v>160</v>
      </c>
    </row>
    <row r="7" spans="1:14" ht="30" customHeight="1">
      <c r="A7" s="7" t="s">
        <v>13</v>
      </c>
      <c r="B7" s="30" t="s">
        <v>388</v>
      </c>
      <c r="C7" s="30" t="s">
        <v>126</v>
      </c>
      <c r="D7" s="27">
        <v>30640.277124111184</v>
      </c>
      <c r="E7" s="28">
        <v>14147.371365294775</v>
      </c>
      <c r="F7" s="27">
        <f t="shared" si="1"/>
        <v>16492.905758816407</v>
      </c>
      <c r="G7" s="27">
        <f t="shared" si="0"/>
        <v>53.827534561813579</v>
      </c>
      <c r="H7" s="29">
        <v>13</v>
      </c>
      <c r="I7" s="29">
        <v>3</v>
      </c>
      <c r="J7" s="4" t="s">
        <v>15</v>
      </c>
      <c r="K7" s="30">
        <v>40.874026666600002</v>
      </c>
      <c r="L7" s="30">
        <v>72.094549999700007</v>
      </c>
      <c r="M7" s="15">
        <v>400</v>
      </c>
    </row>
    <row r="8" spans="1:14" ht="30" customHeight="1">
      <c r="A8" s="7" t="s">
        <v>13</v>
      </c>
      <c r="B8" s="30" t="s">
        <v>385</v>
      </c>
      <c r="C8" s="30" t="s">
        <v>127</v>
      </c>
      <c r="D8" s="27">
        <v>34164.149934111185</v>
      </c>
      <c r="E8" s="28">
        <v>17230.374698628111</v>
      </c>
      <c r="F8" s="27">
        <f t="shared" si="1"/>
        <v>16933.775235483074</v>
      </c>
      <c r="G8" s="27">
        <f t="shared" si="0"/>
        <v>49.565920030621193</v>
      </c>
      <c r="H8" s="29">
        <v>59</v>
      </c>
      <c r="I8" s="29">
        <v>5</v>
      </c>
      <c r="J8" s="4" t="s">
        <v>17</v>
      </c>
      <c r="K8" s="30">
        <v>40.859666666700001</v>
      </c>
      <c r="L8" s="30">
        <v>72.121076666700006</v>
      </c>
      <c r="M8" s="15">
        <v>100</v>
      </c>
    </row>
    <row r="9" spans="1:14" ht="30" customHeight="1">
      <c r="A9" s="7" t="s">
        <v>13</v>
      </c>
      <c r="B9" s="30" t="s">
        <v>385</v>
      </c>
      <c r="C9" s="30" t="s">
        <v>128</v>
      </c>
      <c r="D9" s="27">
        <v>37110.057174111185</v>
      </c>
      <c r="E9" s="28">
        <v>19807.721365294779</v>
      </c>
      <c r="F9" s="27">
        <f t="shared" si="1"/>
        <v>17302.335808816406</v>
      </c>
      <c r="G9" s="27">
        <f t="shared" si="0"/>
        <v>46.624384671891335</v>
      </c>
      <c r="H9" s="29">
        <v>81</v>
      </c>
      <c r="I9" s="29">
        <v>11</v>
      </c>
      <c r="J9" s="4" t="s">
        <v>17</v>
      </c>
      <c r="K9" s="30">
        <v>40.861923333299998</v>
      </c>
      <c r="L9" s="30">
        <v>72.000451666700002</v>
      </c>
      <c r="M9" s="15">
        <v>250</v>
      </c>
    </row>
    <row r="10" spans="1:14" ht="30" customHeight="1">
      <c r="A10" s="7" t="s">
        <v>13</v>
      </c>
      <c r="B10" s="30" t="s">
        <v>388</v>
      </c>
      <c r="C10" s="30" t="s">
        <v>129</v>
      </c>
      <c r="D10" s="27">
        <v>35784.497214111187</v>
      </c>
      <c r="E10" s="28">
        <v>18648.001365294778</v>
      </c>
      <c r="F10" s="27">
        <f t="shared" si="1"/>
        <v>17136.495848816408</v>
      </c>
      <c r="G10" s="27">
        <f t="shared" si="0"/>
        <v>47.888044217256279</v>
      </c>
      <c r="H10" s="29">
        <v>97</v>
      </c>
      <c r="I10" s="29">
        <v>3</v>
      </c>
      <c r="J10" s="4" t="s">
        <v>17</v>
      </c>
      <c r="K10" s="30">
        <v>40.876303333300001</v>
      </c>
      <c r="L10" s="30">
        <v>71.989218333300002</v>
      </c>
      <c r="M10" s="15">
        <v>160</v>
      </c>
    </row>
    <row r="11" spans="1:14" ht="30" customHeight="1">
      <c r="A11" s="7" t="s">
        <v>13</v>
      </c>
      <c r="B11" s="30" t="s">
        <v>387</v>
      </c>
      <c r="C11" s="30" t="s">
        <v>130</v>
      </c>
      <c r="D11" s="27">
        <v>36165.893454111188</v>
      </c>
      <c r="E11" s="28">
        <v>18981.681365294779</v>
      </c>
      <c r="F11" s="27">
        <f t="shared" si="1"/>
        <v>17184.21208881641</v>
      </c>
      <c r="G11" s="27">
        <f t="shared" si="0"/>
        <v>47.514966305534422</v>
      </c>
      <c r="H11" s="29">
        <v>66</v>
      </c>
      <c r="I11" s="29">
        <v>3</v>
      </c>
      <c r="J11" s="4" t="s">
        <v>14</v>
      </c>
      <c r="K11" s="30">
        <v>40.880254999999998</v>
      </c>
      <c r="L11" s="30">
        <v>71.986491666700005</v>
      </c>
      <c r="M11" s="15">
        <v>400</v>
      </c>
    </row>
    <row r="12" spans="1:14" ht="30" customHeight="1">
      <c r="A12" s="7" t="s">
        <v>13</v>
      </c>
      <c r="B12" s="30" t="s">
        <v>388</v>
      </c>
      <c r="C12" s="30" t="s">
        <v>131</v>
      </c>
      <c r="D12" s="27">
        <v>33590.855424111185</v>
      </c>
      <c r="E12" s="28">
        <v>16728.804698628112</v>
      </c>
      <c r="F12" s="27">
        <f t="shared" si="1"/>
        <v>16862.050725483074</v>
      </c>
      <c r="G12" s="27">
        <f t="shared" si="0"/>
        <v>50.198336757389221</v>
      </c>
      <c r="H12" s="29">
        <v>61</v>
      </c>
      <c r="I12" s="29">
        <v>4</v>
      </c>
      <c r="J12" s="4" t="s">
        <v>16</v>
      </c>
      <c r="K12" s="30">
        <v>40.881878333300001</v>
      </c>
      <c r="L12" s="30">
        <v>71.992743333299998</v>
      </c>
      <c r="M12" s="15">
        <v>60</v>
      </c>
    </row>
    <row r="13" spans="1:14" ht="30" customHeight="1">
      <c r="A13" s="7" t="s">
        <v>13</v>
      </c>
      <c r="B13" s="30" t="s">
        <v>388</v>
      </c>
      <c r="C13" s="30" t="s">
        <v>132</v>
      </c>
      <c r="D13" s="27">
        <v>38189.525424111191</v>
      </c>
      <c r="E13" s="28">
        <v>20752.138031961444</v>
      </c>
      <c r="F13" s="27">
        <f t="shared" si="1"/>
        <v>17437.387392149747</v>
      </c>
      <c r="G13" s="27">
        <f t="shared" si="0"/>
        <v>45.66013114460057</v>
      </c>
      <c r="H13" s="29">
        <v>22</v>
      </c>
      <c r="I13" s="29">
        <v>4</v>
      </c>
      <c r="J13" s="4" t="s">
        <v>18</v>
      </c>
      <c r="K13" s="30">
        <v>40.8861933333</v>
      </c>
      <c r="L13" s="30">
        <v>71.991990000000001</v>
      </c>
      <c r="M13" s="15">
        <v>100</v>
      </c>
    </row>
    <row r="14" spans="1:14" ht="30" customHeight="1">
      <c r="A14" s="7" t="s">
        <v>13</v>
      </c>
      <c r="B14" s="30" t="s">
        <v>388</v>
      </c>
      <c r="C14" s="30" t="s">
        <v>133</v>
      </c>
      <c r="D14" s="27">
        <v>38245.730544111189</v>
      </c>
      <c r="E14" s="28">
        <v>20801.31136529478</v>
      </c>
      <c r="F14" s="27">
        <f t="shared" si="1"/>
        <v>17444.41917881641</v>
      </c>
      <c r="G14" s="27">
        <f t="shared" si="0"/>
        <v>45.611415785865752</v>
      </c>
      <c r="H14" s="29">
        <v>105</v>
      </c>
      <c r="I14" s="29">
        <v>4</v>
      </c>
      <c r="J14" s="4" t="s">
        <v>18</v>
      </c>
      <c r="K14" s="30">
        <v>40.871985000000002</v>
      </c>
      <c r="L14" s="30">
        <v>72.001351666700003</v>
      </c>
      <c r="M14" s="15">
        <v>100</v>
      </c>
    </row>
    <row r="15" spans="1:14" ht="30" customHeight="1">
      <c r="A15" s="7" t="s">
        <v>13</v>
      </c>
      <c r="B15" s="30" t="s">
        <v>384</v>
      </c>
      <c r="C15" s="30" t="s">
        <v>109</v>
      </c>
      <c r="D15" s="27">
        <v>36348.411504111187</v>
      </c>
      <c r="E15" s="28">
        <v>19141.364698628113</v>
      </c>
      <c r="F15" s="27">
        <f t="shared" si="1"/>
        <v>17207.046805483074</v>
      </c>
      <c r="G15" s="27">
        <f t="shared" si="0"/>
        <v>47.339198863028365</v>
      </c>
      <c r="H15" s="29">
        <v>67</v>
      </c>
      <c r="I15" s="29">
        <v>3</v>
      </c>
      <c r="J15" s="4" t="s">
        <v>14</v>
      </c>
      <c r="K15" s="30">
        <v>40.863475000000001</v>
      </c>
      <c r="L15" s="30">
        <v>71.947638333300006</v>
      </c>
      <c r="M15" s="15">
        <v>400</v>
      </c>
    </row>
    <row r="16" spans="1:14" ht="30" customHeight="1">
      <c r="A16" s="7" t="s">
        <v>13</v>
      </c>
      <c r="B16" s="30" t="s">
        <v>386</v>
      </c>
      <c r="C16" s="30" t="s">
        <v>134</v>
      </c>
      <c r="D16" s="27">
        <v>36916.242474111183</v>
      </c>
      <c r="E16" s="28">
        <v>19638.15469862811</v>
      </c>
      <c r="F16" s="27">
        <f t="shared" si="1"/>
        <v>17278.087775483073</v>
      </c>
      <c r="G16" s="27">
        <f t="shared" si="0"/>
        <v>46.803484367619326</v>
      </c>
      <c r="H16" s="29">
        <v>41</v>
      </c>
      <c r="I16" s="29">
        <v>3</v>
      </c>
      <c r="J16" s="4" t="s">
        <v>17</v>
      </c>
      <c r="K16" s="30">
        <v>40.867853333299998</v>
      </c>
      <c r="L16" s="30">
        <v>71.9555883333</v>
      </c>
      <c r="M16" s="15">
        <v>160</v>
      </c>
    </row>
    <row r="17" spans="1:13" ht="30" customHeight="1">
      <c r="A17" s="7" t="s">
        <v>13</v>
      </c>
      <c r="B17" s="30" t="s">
        <v>386</v>
      </c>
      <c r="C17" s="30" t="s">
        <v>135</v>
      </c>
      <c r="D17" s="27">
        <v>40136.248734111185</v>
      </c>
      <c r="E17" s="28">
        <v>22455.308031961442</v>
      </c>
      <c r="F17" s="27">
        <f t="shared" si="1"/>
        <v>17680.940702149743</v>
      </c>
      <c r="G17" s="27">
        <f t="shared" si="0"/>
        <v>44.052300002623269</v>
      </c>
      <c r="H17" s="29">
        <v>77</v>
      </c>
      <c r="I17" s="29">
        <v>4</v>
      </c>
      <c r="J17" s="4" t="s">
        <v>19</v>
      </c>
      <c r="K17" s="30">
        <v>40.871698333300003</v>
      </c>
      <c r="L17" s="30">
        <v>71.957906666699998</v>
      </c>
      <c r="M17" s="15">
        <v>160</v>
      </c>
    </row>
    <row r="18" spans="1:13" ht="30" customHeight="1">
      <c r="A18" s="7" t="s">
        <v>13</v>
      </c>
      <c r="B18" s="30" t="s">
        <v>388</v>
      </c>
      <c r="C18" s="30" t="s">
        <v>136</v>
      </c>
      <c r="D18" s="27">
        <v>36901.276794111189</v>
      </c>
      <c r="E18" s="28">
        <v>19625.061365294776</v>
      </c>
      <c r="F18" s="27">
        <f t="shared" si="1"/>
        <v>17276.215428816413</v>
      </c>
      <c r="G18" s="27">
        <f t="shared" si="0"/>
        <v>46.817392051793178</v>
      </c>
      <c r="H18" s="29">
        <v>80</v>
      </c>
      <c r="I18" s="29">
        <v>6</v>
      </c>
      <c r="J18" s="4" t="s">
        <v>16</v>
      </c>
      <c r="K18" s="30">
        <v>40.881491666700001</v>
      </c>
      <c r="L18" s="30">
        <v>72.005658333300005</v>
      </c>
      <c r="M18" s="15">
        <v>400</v>
      </c>
    </row>
    <row r="19" spans="1:13" ht="30" customHeight="1">
      <c r="A19" s="7" t="s">
        <v>13</v>
      </c>
      <c r="B19" s="30" t="s">
        <v>388</v>
      </c>
      <c r="C19" s="30" t="s">
        <v>137</v>
      </c>
      <c r="D19" s="27">
        <v>34548.487494111185</v>
      </c>
      <c r="E19" s="28">
        <v>17566.628031961442</v>
      </c>
      <c r="F19" s="27">
        <f t="shared" si="1"/>
        <v>16981.859462149743</v>
      </c>
      <c r="G19" s="27">
        <f t="shared" si="0"/>
        <v>49.15369874019612</v>
      </c>
      <c r="H19" s="29">
        <v>102</v>
      </c>
      <c r="I19" s="29">
        <v>3</v>
      </c>
      <c r="J19" s="4" t="s">
        <v>16</v>
      </c>
      <c r="K19" s="30">
        <v>40.882366666700001</v>
      </c>
      <c r="L19" s="30">
        <v>72.011693333300002</v>
      </c>
      <c r="M19" s="15">
        <v>63</v>
      </c>
    </row>
    <row r="20" spans="1:13" ht="30" customHeight="1">
      <c r="A20" s="7" t="s">
        <v>13</v>
      </c>
      <c r="B20" s="30" t="s">
        <v>387</v>
      </c>
      <c r="C20" s="30" t="s">
        <v>138</v>
      </c>
      <c r="D20" s="27">
        <v>44958.146634111188</v>
      </c>
      <c r="E20" s="28">
        <v>26673.941365294781</v>
      </c>
      <c r="F20" s="27">
        <f t="shared" si="1"/>
        <v>18284.205268816408</v>
      </c>
      <c r="G20" s="27">
        <f t="shared" si="0"/>
        <v>40.669392841349016</v>
      </c>
      <c r="H20" s="29">
        <v>4</v>
      </c>
      <c r="I20" s="29">
        <v>4</v>
      </c>
      <c r="J20" s="4" t="s">
        <v>16</v>
      </c>
      <c r="K20" s="30">
        <v>40.867094999999999</v>
      </c>
      <c r="L20" s="30">
        <v>71.968564999999998</v>
      </c>
      <c r="M20" s="15">
        <v>160</v>
      </c>
    </row>
    <row r="21" spans="1:13" ht="30" customHeight="1">
      <c r="A21" s="7" t="s">
        <v>13</v>
      </c>
      <c r="B21" s="30" t="s">
        <v>388</v>
      </c>
      <c r="C21" s="30" t="s">
        <v>139</v>
      </c>
      <c r="D21" s="27">
        <v>30499.009944111189</v>
      </c>
      <c r="E21" s="28">
        <v>14023.778031961441</v>
      </c>
      <c r="F21" s="27">
        <f t="shared" si="1"/>
        <v>16475.231912149749</v>
      </c>
      <c r="G21" s="27">
        <f t="shared" si="0"/>
        <v>54.018907309910304</v>
      </c>
      <c r="H21" s="29">
        <v>34</v>
      </c>
      <c r="I21" s="29">
        <v>4</v>
      </c>
      <c r="J21" s="4" t="s">
        <v>16</v>
      </c>
      <c r="K21" s="30">
        <v>40.865857601199998</v>
      </c>
      <c r="L21" s="30">
        <v>71.963380873199995</v>
      </c>
      <c r="M21" s="15">
        <v>160</v>
      </c>
    </row>
    <row r="22" spans="1:13" ht="30" customHeight="1">
      <c r="A22" s="7" t="s">
        <v>13</v>
      </c>
      <c r="B22" s="30" t="s">
        <v>387</v>
      </c>
      <c r="C22" s="30" t="s">
        <v>140</v>
      </c>
      <c r="D22" s="27">
        <v>32467.709334111183</v>
      </c>
      <c r="E22" s="28">
        <v>15746.174698628109</v>
      </c>
      <c r="F22" s="27">
        <f t="shared" si="1"/>
        <v>16721.534635483076</v>
      </c>
      <c r="G22" s="27">
        <f t="shared" si="0"/>
        <v>51.502046120374494</v>
      </c>
      <c r="H22" s="29">
        <v>33</v>
      </c>
      <c r="I22" s="29">
        <v>3</v>
      </c>
      <c r="J22" s="4" t="s">
        <v>16</v>
      </c>
      <c r="K22" s="30">
        <v>40.868364999999997</v>
      </c>
      <c r="L22" s="30">
        <v>71.977401666700004</v>
      </c>
      <c r="M22" s="15">
        <v>160</v>
      </c>
    </row>
    <row r="23" spans="1:13" ht="30" customHeight="1">
      <c r="A23" s="7" t="s">
        <v>13</v>
      </c>
      <c r="B23" s="30" t="s">
        <v>385</v>
      </c>
      <c r="C23" s="30" t="s">
        <v>141</v>
      </c>
      <c r="D23" s="27">
        <v>40981.001934111191</v>
      </c>
      <c r="E23" s="28">
        <v>23194.374698628115</v>
      </c>
      <c r="F23" s="27">
        <f t="shared" si="1"/>
        <v>17786.627235483076</v>
      </c>
      <c r="G23" s="27">
        <f t="shared" si="0"/>
        <v>43.402128781722375</v>
      </c>
      <c r="H23" s="29">
        <v>143</v>
      </c>
      <c r="I23" s="29">
        <v>6</v>
      </c>
      <c r="J23" s="3" t="s">
        <v>16</v>
      </c>
      <c r="K23" s="30">
        <v>40.866354999999999</v>
      </c>
      <c r="L23" s="30">
        <v>71.987798333300006</v>
      </c>
      <c r="M23" s="15">
        <v>63</v>
      </c>
    </row>
    <row r="24" spans="1:13" ht="30" customHeight="1">
      <c r="A24" s="7" t="s">
        <v>13</v>
      </c>
      <c r="B24" s="30" t="s">
        <v>385</v>
      </c>
      <c r="C24" s="30" t="s">
        <v>142</v>
      </c>
      <c r="D24" s="27">
        <v>46378.830864111187</v>
      </c>
      <c r="E24" s="28">
        <v>27916.88469862811</v>
      </c>
      <c r="F24" s="27">
        <f t="shared" si="1"/>
        <v>18461.946165483077</v>
      </c>
      <c r="G24" s="27">
        <f t="shared" si="0"/>
        <v>39.806838209389362</v>
      </c>
      <c r="H24" s="29">
        <v>198</v>
      </c>
      <c r="I24" s="29">
        <v>3</v>
      </c>
      <c r="J24" s="3" t="s">
        <v>16</v>
      </c>
      <c r="K24" s="30">
        <v>40.8589916667</v>
      </c>
      <c r="L24" s="30">
        <v>72.007035000000002</v>
      </c>
      <c r="M24" s="15">
        <v>63</v>
      </c>
    </row>
    <row r="25" spans="1:13" ht="30" customHeight="1">
      <c r="A25" s="7" t="s">
        <v>13</v>
      </c>
      <c r="B25" s="30" t="s">
        <v>387</v>
      </c>
      <c r="C25" s="30" t="s">
        <v>143</v>
      </c>
      <c r="D25" s="27">
        <v>48546.804684111186</v>
      </c>
      <c r="E25" s="28">
        <v>29813.624698628115</v>
      </c>
      <c r="F25" s="27">
        <f t="shared" si="1"/>
        <v>18733.179985483072</v>
      </c>
      <c r="G25" s="27">
        <f t="shared" si="0"/>
        <v>38.587874335659883</v>
      </c>
      <c r="H25" s="29">
        <v>45</v>
      </c>
      <c r="I25" s="29">
        <v>3</v>
      </c>
      <c r="J25" s="3" t="s">
        <v>14</v>
      </c>
      <c r="K25" s="30">
        <v>40.8780866667</v>
      </c>
      <c r="L25" s="30">
        <v>71.986896666700005</v>
      </c>
      <c r="M25" s="15">
        <v>250</v>
      </c>
    </row>
    <row r="26" spans="1:13" ht="30" customHeight="1">
      <c r="A26" s="7" t="s">
        <v>13</v>
      </c>
      <c r="B26" s="30" t="s">
        <v>388</v>
      </c>
      <c r="C26" s="30" t="s">
        <v>144</v>
      </c>
      <c r="D26" s="27">
        <v>36602.527074111189</v>
      </c>
      <c r="E26" s="28">
        <v>19363.688031961447</v>
      </c>
      <c r="F26" s="27">
        <f t="shared" si="1"/>
        <v>17238.839042149742</v>
      </c>
      <c r="G26" s="27">
        <f t="shared" si="0"/>
        <v>47.097401245671641</v>
      </c>
      <c r="H26" s="29">
        <v>174</v>
      </c>
      <c r="I26" s="29">
        <v>4</v>
      </c>
      <c r="J26" s="3" t="s">
        <v>14</v>
      </c>
      <c r="K26" s="30">
        <v>40.888159999999999</v>
      </c>
      <c r="L26" s="30">
        <v>72.008324999999999</v>
      </c>
      <c r="M26" s="15">
        <v>100</v>
      </c>
    </row>
    <row r="27" spans="1:13" ht="30" customHeight="1">
      <c r="A27" s="7" t="s">
        <v>13</v>
      </c>
      <c r="B27" s="30" t="s">
        <v>388</v>
      </c>
      <c r="C27" s="30" t="s">
        <v>145</v>
      </c>
      <c r="D27" s="27">
        <v>37835.576424111183</v>
      </c>
      <c r="E27" s="28">
        <v>20442.471365294779</v>
      </c>
      <c r="F27" s="27">
        <f t="shared" si="1"/>
        <v>17393.105058816403</v>
      </c>
      <c r="G27" s="27">
        <f t="shared" si="0"/>
        <v>45.970239395460709</v>
      </c>
      <c r="H27" s="29">
        <v>92</v>
      </c>
      <c r="I27" s="29">
        <v>12</v>
      </c>
      <c r="J27" s="17" t="s">
        <v>14</v>
      </c>
      <c r="K27" s="30">
        <v>40.879911666700004</v>
      </c>
      <c r="L27" s="30">
        <v>72.022811666699994</v>
      </c>
      <c r="M27" s="15">
        <v>100</v>
      </c>
    </row>
    <row r="28" spans="1:13" ht="30" customHeight="1">
      <c r="A28" s="7" t="s">
        <v>13</v>
      </c>
      <c r="B28" s="30" t="s">
        <v>389</v>
      </c>
      <c r="C28" s="30" t="s">
        <v>146</v>
      </c>
      <c r="D28" s="27">
        <v>37932.872394111189</v>
      </c>
      <c r="E28" s="28">
        <v>20527.594698628112</v>
      </c>
      <c r="F28" s="27">
        <f t="shared" si="1"/>
        <v>17405.277695483077</v>
      </c>
      <c r="G28" s="27">
        <f t="shared" si="0"/>
        <v>45.884417912378083</v>
      </c>
      <c r="H28" s="29">
        <v>130</v>
      </c>
      <c r="I28" s="29">
        <v>4</v>
      </c>
      <c r="J28" s="3" t="s">
        <v>14</v>
      </c>
      <c r="K28" s="30">
        <v>40.880920000000003</v>
      </c>
      <c r="L28" s="30">
        <v>72.040239999999997</v>
      </c>
      <c r="M28" s="20">
        <v>100</v>
      </c>
    </row>
    <row r="29" spans="1:13" ht="30" customHeight="1">
      <c r="A29" s="7" t="s">
        <v>13</v>
      </c>
      <c r="B29" s="30" t="s">
        <v>389</v>
      </c>
      <c r="C29" s="30" t="s">
        <v>147</v>
      </c>
      <c r="D29" s="27">
        <v>35703.138474111191</v>
      </c>
      <c r="E29" s="28">
        <v>18576.821365294778</v>
      </c>
      <c r="F29" s="27">
        <f t="shared" si="1"/>
        <v>17126.317108816413</v>
      </c>
      <c r="G29" s="27">
        <f t="shared" si="0"/>
        <v>47.968660013558555</v>
      </c>
      <c r="H29" s="29">
        <v>123</v>
      </c>
      <c r="I29" s="29">
        <v>3</v>
      </c>
      <c r="J29" s="3"/>
      <c r="K29" s="30">
        <v>40.881768333300002</v>
      </c>
      <c r="L29" s="30">
        <v>72.055153333299998</v>
      </c>
      <c r="M29" s="20">
        <v>63</v>
      </c>
    </row>
    <row r="30" spans="1:13" ht="30" customHeight="1">
      <c r="A30" s="7" t="s">
        <v>13</v>
      </c>
      <c r="B30" s="30" t="s">
        <v>389</v>
      </c>
      <c r="C30" s="30" t="s">
        <v>148</v>
      </c>
      <c r="D30" s="27">
        <v>39091.013334111187</v>
      </c>
      <c r="E30" s="28">
        <v>21540.841365294775</v>
      </c>
      <c r="F30" s="27">
        <f t="shared" si="1"/>
        <v>17550.171968816412</v>
      </c>
      <c r="G30" s="27">
        <f t="shared" si="0"/>
        <v>44.895669034759877</v>
      </c>
      <c r="H30" s="29">
        <v>160</v>
      </c>
      <c r="I30" s="29">
        <v>3</v>
      </c>
      <c r="J30" s="3" t="s">
        <v>20</v>
      </c>
      <c r="K30" s="30">
        <v>40.882671666699999</v>
      </c>
      <c r="L30" s="30">
        <v>72.072426666699997</v>
      </c>
      <c r="M30" s="21">
        <v>100</v>
      </c>
    </row>
    <row r="31" spans="1:13" ht="30" customHeight="1">
      <c r="A31" s="7" t="s">
        <v>13</v>
      </c>
      <c r="B31" s="30" t="s">
        <v>389</v>
      </c>
      <c r="C31" s="30" t="s">
        <v>149</v>
      </c>
      <c r="D31" s="27">
        <v>30774.922524111185</v>
      </c>
      <c r="E31" s="28">
        <v>14265.171365294775</v>
      </c>
      <c r="F31" s="27">
        <f t="shared" si="1"/>
        <v>16509.751158816412</v>
      </c>
      <c r="G31" s="27">
        <f t="shared" si="0"/>
        <v>53.646767577989969</v>
      </c>
      <c r="H31" s="29">
        <v>16</v>
      </c>
      <c r="I31" s="29">
        <v>3</v>
      </c>
      <c r="J31" s="3" t="s">
        <v>21</v>
      </c>
      <c r="K31" s="30">
        <v>40.877465000000001</v>
      </c>
      <c r="L31" s="30">
        <v>72.08811</v>
      </c>
      <c r="M31" s="15">
        <v>100</v>
      </c>
    </row>
    <row r="32" spans="1:13" ht="30" customHeight="1">
      <c r="A32" s="7" t="s">
        <v>13</v>
      </c>
      <c r="B32" s="30" t="s">
        <v>389</v>
      </c>
      <c r="C32" s="30" t="s">
        <v>150</v>
      </c>
      <c r="D32" s="27">
        <v>36810.777864111187</v>
      </c>
      <c r="E32" s="28">
        <v>19545.88469862811</v>
      </c>
      <c r="F32" s="27">
        <f t="shared" si="1"/>
        <v>17264.893165483078</v>
      </c>
      <c r="G32" s="27">
        <f t="shared" si="0"/>
        <v>46.901734131284286</v>
      </c>
      <c r="H32" s="29">
        <v>81</v>
      </c>
      <c r="I32" s="29">
        <v>4</v>
      </c>
      <c r="J32" s="3" t="s">
        <v>15</v>
      </c>
      <c r="K32" s="30">
        <v>40.879755000000003</v>
      </c>
      <c r="L32" s="30">
        <v>72.084291666699997</v>
      </c>
      <c r="M32" s="15">
        <v>100</v>
      </c>
    </row>
    <row r="33" spans="1:13" ht="30" customHeight="1">
      <c r="A33" s="7" t="s">
        <v>13</v>
      </c>
      <c r="B33" s="30" t="s">
        <v>390</v>
      </c>
      <c r="C33" s="30" t="s">
        <v>151</v>
      </c>
      <c r="D33" s="27">
        <v>37427.28539411119</v>
      </c>
      <c r="E33" s="28">
        <v>20085.26136529478</v>
      </c>
      <c r="F33" s="27">
        <f t="shared" si="1"/>
        <v>17342.02402881641</v>
      </c>
      <c r="G33" s="27">
        <f t="shared" si="0"/>
        <v>46.335244050440814</v>
      </c>
      <c r="H33" s="29">
        <v>107</v>
      </c>
      <c r="I33" s="29">
        <v>6</v>
      </c>
      <c r="J33" s="3" t="s">
        <v>22</v>
      </c>
      <c r="K33" s="30">
        <v>40.874026666699997</v>
      </c>
      <c r="L33" s="30">
        <v>72.094549999999998</v>
      </c>
      <c r="M33" s="15">
        <v>160</v>
      </c>
    </row>
    <row r="34" spans="1:13" ht="30" customHeight="1">
      <c r="A34" s="7" t="s">
        <v>13</v>
      </c>
      <c r="B34" s="30" t="s">
        <v>390</v>
      </c>
      <c r="C34" s="30" t="s">
        <v>152</v>
      </c>
      <c r="D34" s="27">
        <v>32789.669574111183</v>
      </c>
      <c r="E34" s="28">
        <v>16027.854698628109</v>
      </c>
      <c r="F34" s="27">
        <f t="shared" si="1"/>
        <v>16761.814875483076</v>
      </c>
      <c r="G34" s="27">
        <f t="shared" si="0"/>
        <v>51.119194225480179</v>
      </c>
      <c r="H34" s="29">
        <v>98</v>
      </c>
      <c r="I34" s="29">
        <v>3</v>
      </c>
      <c r="J34" s="3" t="s">
        <v>23</v>
      </c>
      <c r="K34" s="30">
        <v>40.863348333300003</v>
      </c>
      <c r="L34" s="30">
        <v>72.082953333299997</v>
      </c>
      <c r="M34" s="15">
        <v>160</v>
      </c>
    </row>
    <row r="35" spans="1:13" ht="30" customHeight="1">
      <c r="A35" s="7" t="s">
        <v>13</v>
      </c>
      <c r="B35" s="30" t="s">
        <v>391</v>
      </c>
      <c r="C35" s="30" t="s">
        <v>153</v>
      </c>
      <c r="D35" s="27">
        <v>31507.997004111188</v>
      </c>
      <c r="E35" s="28">
        <v>14906.531365294775</v>
      </c>
      <c r="F35" s="27">
        <f t="shared" si="1"/>
        <v>16601.465638816415</v>
      </c>
      <c r="G35" s="27">
        <f t="shared" si="0"/>
        <v>52.689689022917712</v>
      </c>
      <c r="H35" s="29">
        <v>84</v>
      </c>
      <c r="I35" s="29">
        <v>5</v>
      </c>
      <c r="J35" s="3" t="s">
        <v>23</v>
      </c>
      <c r="K35" s="30">
        <v>40.848415000000003</v>
      </c>
      <c r="L35" s="30">
        <v>72.071595000000002</v>
      </c>
      <c r="M35" s="15">
        <v>63</v>
      </c>
    </row>
    <row r="36" spans="1:13" ht="30" customHeight="1">
      <c r="A36" s="7" t="s">
        <v>13</v>
      </c>
      <c r="B36" s="30" t="s">
        <v>390</v>
      </c>
      <c r="C36" s="30" t="s">
        <v>154</v>
      </c>
      <c r="D36" s="27">
        <v>43974.44654411119</v>
      </c>
      <c r="E36" s="28">
        <v>25813.311365294776</v>
      </c>
      <c r="F36" s="27">
        <f t="shared" si="1"/>
        <v>18161.135178816414</v>
      </c>
      <c r="G36" s="27">
        <f t="shared" si="0"/>
        <v>41.299292216443938</v>
      </c>
      <c r="H36" s="29">
        <v>212</v>
      </c>
      <c r="I36" s="29">
        <v>8</v>
      </c>
      <c r="J36" s="3" t="s">
        <v>18</v>
      </c>
      <c r="K36" s="30">
        <v>40.8672316667</v>
      </c>
      <c r="L36" s="30">
        <v>72.104288333300005</v>
      </c>
      <c r="M36" s="15">
        <v>100</v>
      </c>
    </row>
    <row r="37" spans="1:13" ht="30" customHeight="1">
      <c r="A37" s="7" t="s">
        <v>13</v>
      </c>
      <c r="B37" s="30" t="s">
        <v>390</v>
      </c>
      <c r="C37" s="30" t="s">
        <v>155</v>
      </c>
      <c r="D37" s="27">
        <v>38762.050314111191</v>
      </c>
      <c r="E37" s="28">
        <v>21253.034698628111</v>
      </c>
      <c r="F37" s="27">
        <f t="shared" si="1"/>
        <v>17509.01561548308</v>
      </c>
      <c r="G37" s="27">
        <f t="shared" si="0"/>
        <v>45.170509489558611</v>
      </c>
      <c r="H37" s="29">
        <v>95</v>
      </c>
      <c r="I37" s="29">
        <v>4</v>
      </c>
      <c r="J37" s="3" t="s">
        <v>14</v>
      </c>
      <c r="K37" s="30">
        <v>40.875253333300002</v>
      </c>
      <c r="L37" s="30">
        <v>72.108715000000004</v>
      </c>
      <c r="M37" s="15">
        <v>100</v>
      </c>
    </row>
    <row r="38" spans="1:13" ht="30" customHeight="1">
      <c r="A38" s="7" t="s">
        <v>13</v>
      </c>
      <c r="B38" s="30" t="s">
        <v>390</v>
      </c>
      <c r="C38" s="30" t="s">
        <v>156</v>
      </c>
      <c r="D38" s="27">
        <v>31420.245084111186</v>
      </c>
      <c r="E38" s="28">
        <v>14829.758031961441</v>
      </c>
      <c r="F38" s="27">
        <f t="shared" si="1"/>
        <v>16590.487052149743</v>
      </c>
      <c r="G38" s="27">
        <f t="shared" si="0"/>
        <v>52.801902110366854</v>
      </c>
      <c r="H38" s="29">
        <v>103</v>
      </c>
      <c r="I38" s="29">
        <v>3</v>
      </c>
      <c r="J38" s="3" t="s">
        <v>23</v>
      </c>
      <c r="K38" s="30">
        <v>40.867996666700002</v>
      </c>
      <c r="L38" s="30">
        <v>72.122466666700006</v>
      </c>
      <c r="M38" s="15">
        <v>40</v>
      </c>
    </row>
    <row r="39" spans="1:13" ht="30" customHeight="1">
      <c r="A39" s="7" t="s">
        <v>13</v>
      </c>
      <c r="B39" s="30" t="s">
        <v>390</v>
      </c>
      <c r="C39" s="30" t="s">
        <v>157</v>
      </c>
      <c r="D39" s="27">
        <v>32899.809054111189</v>
      </c>
      <c r="E39" s="28">
        <v>16124.21469862811</v>
      </c>
      <c r="F39" s="27">
        <f t="shared" si="1"/>
        <v>16775.594355483081</v>
      </c>
      <c r="G39" s="27">
        <f t="shared" si="0"/>
        <v>50.989944433695086</v>
      </c>
      <c r="H39" s="29">
        <v>135</v>
      </c>
      <c r="I39" s="29">
        <v>4</v>
      </c>
      <c r="J39" s="3" t="s">
        <v>24</v>
      </c>
      <c r="K39" s="30">
        <v>40.856453333300003</v>
      </c>
      <c r="L39" s="30">
        <v>72.136276666699999</v>
      </c>
      <c r="M39" s="15">
        <v>100</v>
      </c>
    </row>
    <row r="40" spans="1:13" ht="30" customHeight="1">
      <c r="A40" s="7" t="s">
        <v>13</v>
      </c>
      <c r="B40" s="30" t="s">
        <v>390</v>
      </c>
      <c r="C40" s="30" t="s">
        <v>158</v>
      </c>
      <c r="D40" s="27">
        <v>37921.59860411119</v>
      </c>
      <c r="E40" s="28">
        <v>20517.731365294778</v>
      </c>
      <c r="F40" s="27">
        <f t="shared" si="1"/>
        <v>17403.867238816412</v>
      </c>
      <c r="G40" s="27">
        <f t="shared" si="0"/>
        <v>45.89433958337824</v>
      </c>
      <c r="H40" s="29">
        <v>167</v>
      </c>
      <c r="I40" s="29">
        <v>4</v>
      </c>
      <c r="J40" s="3" t="s">
        <v>24</v>
      </c>
      <c r="K40" s="30">
        <v>40.848101666700003</v>
      </c>
      <c r="L40" s="30">
        <v>72.161588333300003</v>
      </c>
      <c r="M40" s="15">
        <v>100</v>
      </c>
    </row>
    <row r="41" spans="1:13" ht="30" customHeight="1">
      <c r="A41" s="7" t="s">
        <v>13</v>
      </c>
      <c r="B41" s="30" t="s">
        <v>392</v>
      </c>
      <c r="C41" s="30" t="s">
        <v>159</v>
      </c>
      <c r="D41" s="27">
        <v>31388.736384111187</v>
      </c>
      <c r="E41" s="28">
        <v>14802.191365294775</v>
      </c>
      <c r="F41" s="27">
        <f t="shared" si="1"/>
        <v>16586.54501881641</v>
      </c>
      <c r="G41" s="27">
        <f t="shared" si="0"/>
        <v>52.842347063109024</v>
      </c>
      <c r="H41" s="29">
        <v>83</v>
      </c>
      <c r="I41" s="29">
        <v>5</v>
      </c>
      <c r="J41" s="3" t="s">
        <v>21</v>
      </c>
      <c r="K41" s="30">
        <v>40.823746666700004</v>
      </c>
      <c r="L41" s="30">
        <v>72.162056666699996</v>
      </c>
      <c r="M41" s="15">
        <v>160</v>
      </c>
    </row>
    <row r="42" spans="1:13" ht="30" customHeight="1">
      <c r="A42" s="7" t="s">
        <v>13</v>
      </c>
      <c r="B42" s="30" t="s">
        <v>391</v>
      </c>
      <c r="C42" s="30" t="s">
        <v>160</v>
      </c>
      <c r="D42" s="27">
        <v>35431.42451411119</v>
      </c>
      <c r="E42" s="28">
        <v>18339.101365294777</v>
      </c>
      <c r="F42" s="27">
        <f t="shared" si="1"/>
        <v>17092.323148816413</v>
      </c>
      <c r="G42" s="27">
        <f t="shared" si="0"/>
        <v>48.240575656248573</v>
      </c>
      <c r="H42" s="29">
        <v>95</v>
      </c>
      <c r="I42" s="29">
        <v>4</v>
      </c>
      <c r="J42" s="3" t="s">
        <v>19</v>
      </c>
      <c r="K42" s="30">
        <v>40.8202666667</v>
      </c>
      <c r="L42" s="30">
        <v>72.1321616667</v>
      </c>
      <c r="M42" s="20">
        <v>160</v>
      </c>
    </row>
    <row r="43" spans="1:13" ht="30" customHeight="1">
      <c r="A43" s="7" t="s">
        <v>13</v>
      </c>
      <c r="B43" s="30" t="s">
        <v>391</v>
      </c>
      <c r="C43" s="30" t="s">
        <v>161</v>
      </c>
      <c r="D43" s="27">
        <v>37592.323164111185</v>
      </c>
      <c r="E43" s="28">
        <v>20229.651365294776</v>
      </c>
      <c r="F43" s="27">
        <f t="shared" si="1"/>
        <v>17362.671798816409</v>
      </c>
      <c r="G43" s="27">
        <f t="shared" si="0"/>
        <v>46.186748616250156</v>
      </c>
      <c r="H43" s="29">
        <v>127</v>
      </c>
      <c r="I43" s="29">
        <v>4</v>
      </c>
      <c r="J43" s="3" t="s">
        <v>21</v>
      </c>
      <c r="K43" s="30">
        <v>40.829568333300003</v>
      </c>
      <c r="L43" s="30">
        <v>72.120596666699996</v>
      </c>
      <c r="M43" s="20">
        <v>160</v>
      </c>
    </row>
    <row r="44" spans="1:13" ht="30" customHeight="1">
      <c r="A44" s="7" t="s">
        <v>13</v>
      </c>
      <c r="B44" s="30" t="s">
        <v>391</v>
      </c>
      <c r="C44" s="30" t="s">
        <v>162</v>
      </c>
      <c r="D44" s="27">
        <v>39188.503614111185</v>
      </c>
      <c r="E44" s="28">
        <v>21626.13469862811</v>
      </c>
      <c r="F44" s="27">
        <f t="shared" si="1"/>
        <v>17562.368915483075</v>
      </c>
      <c r="G44" s="27">
        <f t="shared" si="0"/>
        <v>44.815104675645571</v>
      </c>
      <c r="H44" s="29">
        <v>162</v>
      </c>
      <c r="I44" s="29">
        <v>4</v>
      </c>
      <c r="J44" s="3" t="s">
        <v>21</v>
      </c>
      <c r="K44" s="30">
        <v>40.815874208499999</v>
      </c>
      <c r="L44" s="30">
        <v>72.111179034499997</v>
      </c>
      <c r="M44" s="20">
        <v>100</v>
      </c>
    </row>
    <row r="45" spans="1:13" ht="30" customHeight="1">
      <c r="A45" s="7" t="s">
        <v>13</v>
      </c>
      <c r="B45" s="30" t="s">
        <v>388</v>
      </c>
      <c r="C45" s="30" t="s">
        <v>163</v>
      </c>
      <c r="D45" s="27">
        <v>74065.97513411117</v>
      </c>
      <c r="E45" s="28">
        <v>52140.108031961441</v>
      </c>
      <c r="F45" s="27">
        <f t="shared" si="1"/>
        <v>21925.867102149728</v>
      </c>
      <c r="G45" s="27">
        <f t="shared" si="0"/>
        <v>29.603157269513552</v>
      </c>
      <c r="H45" s="29">
        <v>141</v>
      </c>
      <c r="I45" s="29">
        <v>3</v>
      </c>
      <c r="J45" s="3" t="s">
        <v>21</v>
      </c>
      <c r="K45" s="30">
        <v>40.875643333299998</v>
      </c>
      <c r="L45" s="30">
        <v>72.000879999999995</v>
      </c>
      <c r="M45" s="20">
        <v>160</v>
      </c>
    </row>
    <row r="46" spans="1:13" ht="30" customHeight="1">
      <c r="A46" s="7" t="s">
        <v>13</v>
      </c>
      <c r="B46" s="30" t="s">
        <v>388</v>
      </c>
      <c r="C46" s="30" t="s">
        <v>164</v>
      </c>
      <c r="D46" s="27">
        <v>33927.137454111187</v>
      </c>
      <c r="E46" s="28">
        <v>17023.014698628111</v>
      </c>
      <c r="F46" s="27">
        <f t="shared" si="1"/>
        <v>16904.122755483077</v>
      </c>
      <c r="G46" s="27">
        <f t="shared" si="0"/>
        <v>49.824783415185202</v>
      </c>
      <c r="H46" s="29">
        <v>80</v>
      </c>
      <c r="I46" s="29">
        <v>5</v>
      </c>
      <c r="J46" s="3" t="s">
        <v>20</v>
      </c>
      <c r="K46" s="30">
        <v>40.88138</v>
      </c>
      <c r="L46" s="30">
        <v>72.003778333300005</v>
      </c>
      <c r="M46" s="20">
        <v>63</v>
      </c>
    </row>
    <row r="47" spans="1:13" ht="30" customHeight="1">
      <c r="A47" s="7" t="s">
        <v>13</v>
      </c>
      <c r="B47" s="30" t="s">
        <v>389</v>
      </c>
      <c r="C47" s="30" t="s">
        <v>165</v>
      </c>
      <c r="D47" s="27">
        <v>36775.219134111183</v>
      </c>
      <c r="E47" s="28">
        <v>19514.774698628109</v>
      </c>
      <c r="F47" s="27">
        <f t="shared" si="1"/>
        <v>17260.444435483074</v>
      </c>
      <c r="G47" s="27">
        <f t="shared" si="0"/>
        <v>46.934987314522878</v>
      </c>
      <c r="H47" s="29">
        <v>114</v>
      </c>
      <c r="I47" s="29">
        <v>3</v>
      </c>
      <c r="J47" s="3" t="s">
        <v>20</v>
      </c>
      <c r="K47" s="30">
        <v>40.871155000000002</v>
      </c>
      <c r="L47" s="30">
        <v>72.043671666700007</v>
      </c>
      <c r="M47" s="20">
        <v>400</v>
      </c>
    </row>
    <row r="48" spans="1:13" ht="30" customHeight="1">
      <c r="A48" s="7" t="s">
        <v>13</v>
      </c>
      <c r="B48" s="30" t="s">
        <v>392</v>
      </c>
      <c r="C48" s="30" t="s">
        <v>166</v>
      </c>
      <c r="D48" s="27">
        <v>31368.813894111183</v>
      </c>
      <c r="E48" s="28">
        <v>14784.761365294775</v>
      </c>
      <c r="F48" s="27">
        <f t="shared" si="1"/>
        <v>16584.052528816406</v>
      </c>
      <c r="G48" s="27">
        <f t="shared" si="0"/>
        <v>52.867961743142935</v>
      </c>
      <c r="H48" s="29">
        <v>69</v>
      </c>
      <c r="I48" s="29">
        <v>3</v>
      </c>
      <c r="J48" s="3" t="s">
        <v>20</v>
      </c>
      <c r="K48" s="30">
        <v>40.820733333200003</v>
      </c>
      <c r="L48" s="30">
        <v>72.163296666700006</v>
      </c>
      <c r="M48" s="20">
        <v>160</v>
      </c>
    </row>
    <row r="49" spans="1:13" ht="30" customHeight="1">
      <c r="A49" s="7" t="s">
        <v>13</v>
      </c>
      <c r="B49" s="30" t="s">
        <v>392</v>
      </c>
      <c r="C49" s="30" t="s">
        <v>167</v>
      </c>
      <c r="D49" s="27">
        <v>35194.865424111187</v>
      </c>
      <c r="E49" s="28">
        <v>18132.138031961444</v>
      </c>
      <c r="F49" s="27">
        <f t="shared" si="1"/>
        <v>17062.727392149744</v>
      </c>
      <c r="G49" s="27">
        <f t="shared" si="0"/>
        <v>48.480729181764296</v>
      </c>
      <c r="H49" s="29">
        <v>94</v>
      </c>
      <c r="I49" s="29">
        <v>4</v>
      </c>
      <c r="J49" s="3" t="s">
        <v>25</v>
      </c>
      <c r="K49" s="30">
        <v>40.834948405699997</v>
      </c>
      <c r="L49" s="30">
        <v>72.194619056400001</v>
      </c>
      <c r="M49" s="20">
        <v>250</v>
      </c>
    </row>
    <row r="50" spans="1:13" ht="30" customHeight="1">
      <c r="A50" s="7" t="s">
        <v>13</v>
      </c>
      <c r="B50" s="30" t="s">
        <v>386</v>
      </c>
      <c r="C50" s="30" t="s">
        <v>168</v>
      </c>
      <c r="D50" s="27">
        <v>40952.855559111187</v>
      </c>
      <c r="E50" s="28">
        <v>23169.749698628115</v>
      </c>
      <c r="F50" s="27">
        <f t="shared" si="1"/>
        <v>17783.105860483072</v>
      </c>
      <c r="G50" s="27">
        <f t="shared" si="0"/>
        <v>43.42335990420743</v>
      </c>
      <c r="H50" s="29">
        <v>155</v>
      </c>
      <c r="I50" s="29">
        <v>3</v>
      </c>
      <c r="J50" s="3" t="s">
        <v>25</v>
      </c>
      <c r="K50" s="30">
        <v>40.878189999999996</v>
      </c>
      <c r="L50" s="30">
        <v>71.958991666700001</v>
      </c>
      <c r="M50" s="20">
        <v>160</v>
      </c>
    </row>
    <row r="51" spans="1:13" ht="30" customHeight="1">
      <c r="A51" s="7" t="s">
        <v>13</v>
      </c>
      <c r="B51" s="30" t="s">
        <v>386</v>
      </c>
      <c r="C51" s="30" t="s">
        <v>169</v>
      </c>
      <c r="D51" s="27">
        <v>36964.469454111189</v>
      </c>
      <c r="E51" s="28">
        <v>19680.348031961443</v>
      </c>
      <c r="F51" s="27">
        <f t="shared" si="1"/>
        <v>17284.121422149747</v>
      </c>
      <c r="G51" s="27">
        <f t="shared" si="0"/>
        <v>46.758743402517318</v>
      </c>
      <c r="H51" s="29">
        <v>110</v>
      </c>
      <c r="I51" s="29">
        <v>4</v>
      </c>
      <c r="J51" s="3" t="s">
        <v>22</v>
      </c>
      <c r="K51" s="30">
        <v>40.870921666699999</v>
      </c>
      <c r="L51" s="30">
        <v>71.95438</v>
      </c>
      <c r="M51" s="20">
        <v>250</v>
      </c>
    </row>
    <row r="52" spans="1:13" ht="30" customHeight="1">
      <c r="A52" s="7" t="s">
        <v>13</v>
      </c>
      <c r="B52" s="30" t="s">
        <v>390</v>
      </c>
      <c r="C52" s="30" t="s">
        <v>170</v>
      </c>
      <c r="D52" s="27">
        <v>33588.668484111186</v>
      </c>
      <c r="E52" s="28">
        <v>16726.891365294778</v>
      </c>
      <c r="F52" s="27">
        <f t="shared" si="1"/>
        <v>16861.777118816408</v>
      </c>
      <c r="G52" s="27">
        <f t="shared" si="0"/>
        <v>50.200790563617367</v>
      </c>
      <c r="H52" s="29">
        <v>72</v>
      </c>
      <c r="I52" s="29">
        <v>3</v>
      </c>
      <c r="J52" s="3" t="s">
        <v>22</v>
      </c>
      <c r="K52" s="30">
        <v>40.872001666700001</v>
      </c>
      <c r="L52" s="30">
        <v>72.092106666700005</v>
      </c>
      <c r="M52" s="20">
        <v>160</v>
      </c>
    </row>
    <row r="53" spans="1:13" ht="30" customHeight="1">
      <c r="A53" s="7" t="s">
        <v>13</v>
      </c>
      <c r="B53" s="30" t="s">
        <v>386</v>
      </c>
      <c r="C53" s="30" t="s">
        <v>171</v>
      </c>
      <c r="D53" s="27">
        <v>35761.199064111184</v>
      </c>
      <c r="E53" s="28">
        <v>18627.618031961443</v>
      </c>
      <c r="F53" s="27">
        <f t="shared" si="1"/>
        <v>17133.581032149741</v>
      </c>
      <c r="G53" s="27">
        <f t="shared" si="0"/>
        <v>47.911092134895625</v>
      </c>
      <c r="H53" s="29">
        <v>115</v>
      </c>
      <c r="I53" s="29">
        <v>3</v>
      </c>
      <c r="J53" s="3" t="s">
        <v>22</v>
      </c>
      <c r="K53" s="30">
        <v>40.872906666699997</v>
      </c>
      <c r="L53" s="30">
        <v>71.953943333300003</v>
      </c>
      <c r="M53" s="20">
        <v>40</v>
      </c>
    </row>
    <row r="54" spans="1:13" ht="30" customHeight="1">
      <c r="A54" s="7" t="s">
        <v>13</v>
      </c>
      <c r="B54" s="30" t="s">
        <v>384</v>
      </c>
      <c r="C54" s="30" t="s">
        <v>101</v>
      </c>
      <c r="D54" s="27">
        <v>34339.295634111186</v>
      </c>
      <c r="E54" s="28">
        <v>17383.608031961445</v>
      </c>
      <c r="F54" s="27">
        <f t="shared" si="1"/>
        <v>16955.687602149741</v>
      </c>
      <c r="G54" s="27">
        <f t="shared" si="0"/>
        <v>49.376923111103906</v>
      </c>
      <c r="H54" s="29">
        <v>73</v>
      </c>
      <c r="I54" s="29">
        <v>4</v>
      </c>
      <c r="J54" s="3" t="s">
        <v>17</v>
      </c>
      <c r="K54" s="30">
        <v>40.877846666700002</v>
      </c>
      <c r="L54" s="30">
        <v>71.933464999999998</v>
      </c>
      <c r="M54" s="20">
        <v>63</v>
      </c>
    </row>
    <row r="55" spans="1:13" ht="30" customHeight="1">
      <c r="A55" s="7" t="s">
        <v>13</v>
      </c>
      <c r="B55" s="30" t="s">
        <v>386</v>
      </c>
      <c r="C55" s="30" t="s">
        <v>172</v>
      </c>
      <c r="D55" s="27">
        <v>36149.739054111189</v>
      </c>
      <c r="E55" s="28">
        <v>18967.548031961443</v>
      </c>
      <c r="F55" s="27">
        <f t="shared" si="1"/>
        <v>17182.191022149746</v>
      </c>
      <c r="G55" s="27">
        <f t="shared" si="0"/>
        <v>47.530608717341963</v>
      </c>
      <c r="H55" s="29">
        <v>103</v>
      </c>
      <c r="I55" s="29">
        <v>4</v>
      </c>
      <c r="J55" s="3" t="s">
        <v>17</v>
      </c>
      <c r="K55" s="30">
        <v>40.873988333299998</v>
      </c>
      <c r="L55" s="30">
        <v>71.962540000000004</v>
      </c>
      <c r="M55" s="20">
        <v>100</v>
      </c>
    </row>
    <row r="56" spans="1:13" ht="30" customHeight="1">
      <c r="A56" s="7" t="s">
        <v>13</v>
      </c>
      <c r="B56" s="30" t="s">
        <v>386</v>
      </c>
      <c r="C56" s="30" t="s">
        <v>173</v>
      </c>
      <c r="D56" s="27">
        <v>31467.618624111186</v>
      </c>
      <c r="E56" s="28">
        <v>14871.204698628108</v>
      </c>
      <c r="F56" s="27">
        <f t="shared" si="1"/>
        <v>16596.413925483081</v>
      </c>
      <c r="G56" s="27">
        <f t="shared" si="0"/>
        <v>52.741245290059986</v>
      </c>
      <c r="H56" s="29">
        <v>33</v>
      </c>
      <c r="I56" s="29">
        <v>3</v>
      </c>
      <c r="J56" s="3" t="s">
        <v>27</v>
      </c>
      <c r="K56" s="30">
        <v>40.870921666500003</v>
      </c>
      <c r="L56" s="30">
        <v>71.95438</v>
      </c>
      <c r="M56" s="20">
        <v>160</v>
      </c>
    </row>
    <row r="57" spans="1:13" ht="30" customHeight="1">
      <c r="A57" s="7" t="s">
        <v>13</v>
      </c>
      <c r="B57" s="30" t="s">
        <v>386</v>
      </c>
      <c r="C57" s="30" t="s">
        <v>174</v>
      </c>
      <c r="D57" s="27">
        <v>38692.304454111189</v>
      </c>
      <c r="E57" s="28">
        <v>21192.014698628111</v>
      </c>
      <c r="F57" s="27">
        <f t="shared" si="1"/>
        <v>17500.289755483078</v>
      </c>
      <c r="G57" s="27">
        <f t="shared" si="0"/>
        <v>45.229380886936582</v>
      </c>
      <c r="H57" s="29">
        <v>69</v>
      </c>
      <c r="I57" s="29">
        <v>3</v>
      </c>
      <c r="J57" s="3" t="s">
        <v>28</v>
      </c>
      <c r="K57" s="30">
        <v>40.875286666699999</v>
      </c>
      <c r="L57" s="30">
        <v>71.9537066667</v>
      </c>
      <c r="M57" s="20">
        <v>100</v>
      </c>
    </row>
    <row r="58" spans="1:13" ht="30" customHeight="1">
      <c r="A58" s="7" t="s">
        <v>13</v>
      </c>
      <c r="B58" s="30" t="s">
        <v>384</v>
      </c>
      <c r="C58" s="30" t="s">
        <v>107</v>
      </c>
      <c r="D58" s="27">
        <v>35352.847074111189</v>
      </c>
      <c r="E58" s="28">
        <v>18270.354698628111</v>
      </c>
      <c r="F58" s="27">
        <f t="shared" si="1"/>
        <v>17082.492375483078</v>
      </c>
      <c r="G58" s="27">
        <f t="shared" si="0"/>
        <v>48.319990578616078</v>
      </c>
      <c r="H58" s="29">
        <v>85</v>
      </c>
      <c r="I58" s="29">
        <v>3</v>
      </c>
      <c r="J58" s="3" t="s">
        <v>25</v>
      </c>
      <c r="K58" s="30">
        <v>40.870680129199997</v>
      </c>
      <c r="L58" s="30">
        <v>71.958324657800006</v>
      </c>
      <c r="M58" s="20">
        <v>100</v>
      </c>
    </row>
    <row r="59" spans="1:13" ht="30" customHeight="1">
      <c r="A59" s="7" t="s">
        <v>13</v>
      </c>
      <c r="B59" s="30" t="s">
        <v>384</v>
      </c>
      <c r="C59" s="30" t="s">
        <v>113</v>
      </c>
      <c r="D59" s="27">
        <v>41197.017504111187</v>
      </c>
      <c r="E59" s="28">
        <v>23383.364698628113</v>
      </c>
      <c r="F59" s="27">
        <f t="shared" si="1"/>
        <v>17813.652805483074</v>
      </c>
      <c r="G59" s="27">
        <f t="shared" si="0"/>
        <v>43.240151556372716</v>
      </c>
      <c r="H59" s="29">
        <v>127</v>
      </c>
      <c r="I59" s="29">
        <v>4</v>
      </c>
      <c r="J59" s="3" t="s">
        <v>21</v>
      </c>
      <c r="K59" s="30">
        <v>40.867751666700002</v>
      </c>
      <c r="L59" s="30">
        <v>71.964714999999998</v>
      </c>
      <c r="M59" s="20">
        <v>100</v>
      </c>
    </row>
    <row r="60" spans="1:13" ht="30" customHeight="1">
      <c r="A60" s="7" t="s">
        <v>13</v>
      </c>
      <c r="B60" s="30" t="s">
        <v>384</v>
      </c>
      <c r="C60" s="30" t="s">
        <v>108</v>
      </c>
      <c r="D60" s="27">
        <v>38812.033704111185</v>
      </c>
      <c r="E60" s="28">
        <v>21296.764698628111</v>
      </c>
      <c r="F60" s="27">
        <f t="shared" si="1"/>
        <v>17515.269005483075</v>
      </c>
      <c r="G60" s="27">
        <f t="shared" si="0"/>
        <v>45.128449436618318</v>
      </c>
      <c r="H60" s="29">
        <v>72</v>
      </c>
      <c r="I60" s="29">
        <v>3</v>
      </c>
      <c r="J60" s="3" t="s">
        <v>21</v>
      </c>
      <c r="K60" s="30">
        <v>40.874960000000002</v>
      </c>
      <c r="L60" s="30">
        <v>71.946984999999998</v>
      </c>
      <c r="M60" s="20">
        <v>63</v>
      </c>
    </row>
    <row r="61" spans="1:13" ht="30" customHeight="1">
      <c r="A61" s="7" t="s">
        <v>13</v>
      </c>
      <c r="B61" s="30" t="s">
        <v>384</v>
      </c>
      <c r="C61" s="30" t="s">
        <v>93</v>
      </c>
      <c r="D61" s="27">
        <v>30633.057174111185</v>
      </c>
      <c r="E61" s="28">
        <v>14141.05469862811</v>
      </c>
      <c r="F61" s="27">
        <f t="shared" si="1"/>
        <v>16492.002475483074</v>
      </c>
      <c r="G61" s="27">
        <f t="shared" si="0"/>
        <v>53.83727253126046</v>
      </c>
      <c r="H61" s="29">
        <v>21</v>
      </c>
      <c r="I61" s="29">
        <v>4</v>
      </c>
      <c r="J61" s="3" t="s">
        <v>25</v>
      </c>
      <c r="K61" s="30">
        <v>40.879668882099999</v>
      </c>
      <c r="L61" s="30">
        <v>71.946328058800006</v>
      </c>
      <c r="M61" s="14">
        <v>100</v>
      </c>
    </row>
    <row r="62" spans="1:13" ht="30" customHeight="1">
      <c r="A62" s="7" t="s">
        <v>13</v>
      </c>
      <c r="B62" s="30" t="s">
        <v>384</v>
      </c>
      <c r="C62" s="30" t="s">
        <v>92</v>
      </c>
      <c r="D62" s="27">
        <v>35689.36532411119</v>
      </c>
      <c r="E62" s="28">
        <v>18564.771365294775</v>
      </c>
      <c r="F62" s="27">
        <f t="shared" si="1"/>
        <v>17124.593958816415</v>
      </c>
      <c r="G62" s="27">
        <f t="shared" si="0"/>
        <v>47.982343769075939</v>
      </c>
      <c r="H62" s="29">
        <v>52</v>
      </c>
      <c r="I62" s="29">
        <v>6</v>
      </c>
      <c r="J62" s="3" t="s">
        <v>17</v>
      </c>
      <c r="K62" s="30">
        <v>40.889975940799999</v>
      </c>
      <c r="L62" s="30">
        <v>71.955590816200001</v>
      </c>
      <c r="M62" s="14">
        <v>100</v>
      </c>
    </row>
    <row r="63" spans="1:13" ht="30" customHeight="1">
      <c r="A63" s="7" t="s">
        <v>13</v>
      </c>
      <c r="B63" s="30" t="s">
        <v>387</v>
      </c>
      <c r="C63" s="30" t="s">
        <v>175</v>
      </c>
      <c r="D63" s="27">
        <v>54028.529814111185</v>
      </c>
      <c r="E63" s="28">
        <v>34609.534698628107</v>
      </c>
      <c r="F63" s="27">
        <f t="shared" si="1"/>
        <v>19418.995115483078</v>
      </c>
      <c r="G63" s="27">
        <f t="shared" si="0"/>
        <v>35.94211277318751</v>
      </c>
      <c r="H63" s="29">
        <v>30</v>
      </c>
      <c r="I63" s="29">
        <v>4</v>
      </c>
      <c r="J63" s="3" t="s">
        <v>28</v>
      </c>
      <c r="K63" s="30">
        <v>40.879336666500002</v>
      </c>
      <c r="L63" s="30">
        <v>71.986581666700005</v>
      </c>
      <c r="M63" s="14">
        <v>100</v>
      </c>
    </row>
    <row r="64" spans="1:13" ht="30" customHeight="1">
      <c r="A64" s="7" t="s">
        <v>13</v>
      </c>
      <c r="B64" s="30" t="s">
        <v>387</v>
      </c>
      <c r="C64" s="30" t="s">
        <v>176</v>
      </c>
      <c r="D64" s="27">
        <v>54104.866974111188</v>
      </c>
      <c r="E64" s="28">
        <v>34676.321365294774</v>
      </c>
      <c r="F64" s="27">
        <f t="shared" si="1"/>
        <v>19428.545608816414</v>
      </c>
      <c r="G64" s="27">
        <f t="shared" si="0"/>
        <v>35.909053464844192</v>
      </c>
      <c r="H64" s="29">
        <v>148</v>
      </c>
      <c r="I64" s="29">
        <v>3</v>
      </c>
      <c r="J64" s="4" t="s">
        <v>29</v>
      </c>
      <c r="K64" s="30">
        <v>40.884120000000003</v>
      </c>
      <c r="L64" s="30">
        <v>71.971571666700001</v>
      </c>
      <c r="M64" s="14">
        <v>160</v>
      </c>
    </row>
    <row r="65" spans="1:13" ht="30" customHeight="1">
      <c r="A65" s="7" t="s">
        <v>13</v>
      </c>
      <c r="B65" s="30" t="s">
        <v>384</v>
      </c>
      <c r="C65" s="30" t="s">
        <v>111</v>
      </c>
      <c r="D65" s="27">
        <v>37684.944264111189</v>
      </c>
      <c r="E65" s="28">
        <v>20310.684698628113</v>
      </c>
      <c r="F65" s="27">
        <f t="shared" si="1"/>
        <v>17374.259565483077</v>
      </c>
      <c r="G65" s="27">
        <f t="shared" si="0"/>
        <v>46.103981058635256</v>
      </c>
      <c r="H65" s="29">
        <v>63</v>
      </c>
      <c r="I65" s="29">
        <v>3</v>
      </c>
      <c r="J65" s="4" t="s">
        <v>29</v>
      </c>
      <c r="K65" s="30">
        <v>40.883293333300003</v>
      </c>
      <c r="L65" s="30">
        <v>71.964291666700007</v>
      </c>
      <c r="M65" s="14">
        <v>100</v>
      </c>
    </row>
    <row r="66" spans="1:13" ht="30" customHeight="1">
      <c r="A66" s="7" t="s">
        <v>13</v>
      </c>
      <c r="B66" s="30" t="s">
        <v>388</v>
      </c>
      <c r="C66" s="30" t="s">
        <v>177</v>
      </c>
      <c r="D66" s="27">
        <v>46751.170734111191</v>
      </c>
      <c r="E66" s="28">
        <v>28242.641365294778</v>
      </c>
      <c r="F66" s="27">
        <f t="shared" si="1"/>
        <v>18508.529368816413</v>
      </c>
      <c r="G66" s="27">
        <f t="shared" si="0"/>
        <v>39.589445736194115</v>
      </c>
      <c r="H66" s="29">
        <v>89</v>
      </c>
      <c r="I66" s="29">
        <v>5</v>
      </c>
      <c r="J66" s="4" t="s">
        <v>29</v>
      </c>
      <c r="K66" s="30">
        <v>40.876348333300001</v>
      </c>
      <c r="L66" s="30">
        <v>71.981988333299995</v>
      </c>
      <c r="M66" s="14">
        <v>100</v>
      </c>
    </row>
    <row r="67" spans="1:13" ht="30" customHeight="1">
      <c r="A67" s="7" t="s">
        <v>13</v>
      </c>
      <c r="B67" s="30" t="s">
        <v>384</v>
      </c>
      <c r="C67" s="30" t="s">
        <v>110</v>
      </c>
      <c r="D67" s="27">
        <v>35705.687364111189</v>
      </c>
      <c r="E67" s="28">
        <v>18579.051365294777</v>
      </c>
      <c r="F67" s="27">
        <f t="shared" si="1"/>
        <v>17126.635998816411</v>
      </c>
      <c r="G67" s="27">
        <f t="shared" ref="G67:G130" si="2">+F67*100/D67</f>
        <v>47.966128824706182</v>
      </c>
      <c r="H67" s="29">
        <v>75</v>
      </c>
      <c r="I67" s="29">
        <v>5</v>
      </c>
      <c r="J67" s="4" t="s">
        <v>29</v>
      </c>
      <c r="K67" s="30">
        <v>40.883031666699999</v>
      </c>
      <c r="L67" s="30">
        <v>71.961638333300002</v>
      </c>
      <c r="M67" s="14">
        <v>250</v>
      </c>
    </row>
    <row r="68" spans="1:13" ht="30" customHeight="1">
      <c r="A68" s="7" t="s">
        <v>13</v>
      </c>
      <c r="B68" s="30" t="s">
        <v>384</v>
      </c>
      <c r="C68" s="30" t="s">
        <v>119</v>
      </c>
      <c r="D68" s="27">
        <v>42216.139164111191</v>
      </c>
      <c r="E68" s="28">
        <v>24274.984698628108</v>
      </c>
      <c r="F68" s="27">
        <f t="shared" si="1"/>
        <v>17941.154465483083</v>
      </c>
      <c r="G68" s="27">
        <f t="shared" si="2"/>
        <v>42.498330782307129</v>
      </c>
      <c r="H68" s="29">
        <v>78</v>
      </c>
      <c r="I68" s="29">
        <v>6</v>
      </c>
      <c r="J68" s="4" t="s">
        <v>28</v>
      </c>
      <c r="K68" s="30">
        <v>40.893335</v>
      </c>
      <c r="L68" s="30">
        <v>71.929253333299997</v>
      </c>
      <c r="M68" s="14">
        <v>160</v>
      </c>
    </row>
    <row r="69" spans="1:13" ht="30" customHeight="1">
      <c r="A69" s="7" t="s">
        <v>13</v>
      </c>
      <c r="B69" s="30" t="s">
        <v>384</v>
      </c>
      <c r="C69" s="30" t="s">
        <v>115</v>
      </c>
      <c r="D69" s="27">
        <v>39302.510244111189</v>
      </c>
      <c r="E69" s="28">
        <v>21725.878031961445</v>
      </c>
      <c r="F69" s="27">
        <f t="shared" ref="F69:F132" si="3">+D69-E69</f>
        <v>17576.632212149743</v>
      </c>
      <c r="G69" s="27">
        <f t="shared" si="2"/>
        <v>44.721398462794888</v>
      </c>
      <c r="H69" s="29">
        <v>62</v>
      </c>
      <c r="I69" s="29">
        <v>3</v>
      </c>
      <c r="J69" s="4" t="s">
        <v>28</v>
      </c>
      <c r="K69" s="30">
        <v>40.891123333300001</v>
      </c>
      <c r="L69" s="30">
        <v>71.940986666699999</v>
      </c>
      <c r="M69" s="14">
        <v>100</v>
      </c>
    </row>
    <row r="70" spans="1:13" ht="30" customHeight="1">
      <c r="A70" s="7" t="s">
        <v>13</v>
      </c>
      <c r="B70" s="30" t="s">
        <v>384</v>
      </c>
      <c r="C70" s="30" t="s">
        <v>105</v>
      </c>
      <c r="D70" s="27">
        <v>35010.118524111189</v>
      </c>
      <c r="E70" s="28">
        <v>17970.504698628109</v>
      </c>
      <c r="F70" s="27">
        <f t="shared" si="3"/>
        <v>17039.61382548308</v>
      </c>
      <c r="G70" s="27">
        <f t="shared" si="2"/>
        <v>48.670540243238634</v>
      </c>
      <c r="H70" s="29">
        <v>28</v>
      </c>
      <c r="I70" s="29">
        <v>4</v>
      </c>
      <c r="J70" s="6" t="s">
        <v>28</v>
      </c>
      <c r="K70" s="30">
        <v>40.880083115799998</v>
      </c>
      <c r="L70" s="30">
        <v>71.942641781600003</v>
      </c>
      <c r="M70" s="14">
        <v>250</v>
      </c>
    </row>
    <row r="71" spans="1:13" ht="30" customHeight="1">
      <c r="A71" s="7" t="s">
        <v>13</v>
      </c>
      <c r="B71" s="30" t="s">
        <v>384</v>
      </c>
      <c r="C71" s="30" t="s">
        <v>98</v>
      </c>
      <c r="D71" s="27">
        <v>37156.824924111184</v>
      </c>
      <c r="E71" s="28">
        <v>19848.638031961444</v>
      </c>
      <c r="F71" s="27">
        <f t="shared" si="3"/>
        <v>17308.186892149741</v>
      </c>
      <c r="G71" s="27">
        <f t="shared" si="2"/>
        <v>46.581447493158663</v>
      </c>
      <c r="H71" s="29">
        <v>138</v>
      </c>
      <c r="I71" s="29">
        <v>4</v>
      </c>
      <c r="J71" s="6" t="s">
        <v>29</v>
      </c>
      <c r="K71" s="30">
        <v>40.874026666600002</v>
      </c>
      <c r="L71" s="30">
        <v>72.094549999700007</v>
      </c>
      <c r="M71" s="19">
        <v>100</v>
      </c>
    </row>
    <row r="72" spans="1:13" ht="30" customHeight="1">
      <c r="A72" s="5" t="s">
        <v>30</v>
      </c>
      <c r="B72" s="30" t="s">
        <v>386</v>
      </c>
      <c r="C72" s="30" t="s">
        <v>178</v>
      </c>
      <c r="D72" s="27">
        <v>33237.995454111187</v>
      </c>
      <c r="E72" s="44">
        <v>15978.517698628111</v>
      </c>
      <c r="F72" s="27">
        <f t="shared" si="3"/>
        <v>17259.477755483076</v>
      </c>
      <c r="G72" s="27">
        <f t="shared" si="2"/>
        <v>51.926951429161058</v>
      </c>
      <c r="H72" s="29">
        <v>67</v>
      </c>
      <c r="I72" s="29">
        <v>4</v>
      </c>
      <c r="J72" s="6" t="s">
        <v>31</v>
      </c>
      <c r="K72" s="30">
        <v>40.875187246099998</v>
      </c>
      <c r="L72" s="30">
        <v>71.961364354899999</v>
      </c>
      <c r="M72" s="20">
        <v>60</v>
      </c>
    </row>
    <row r="73" spans="1:13" ht="30" customHeight="1">
      <c r="A73" s="5" t="s">
        <v>30</v>
      </c>
      <c r="B73" s="30" t="s">
        <v>384</v>
      </c>
      <c r="C73" s="30" t="s">
        <v>117</v>
      </c>
      <c r="D73" s="27">
        <v>31532.359574111189</v>
      </c>
      <c r="E73" s="44">
        <v>14495.245865294779</v>
      </c>
      <c r="F73" s="27">
        <f t="shared" si="3"/>
        <v>17037.113708816411</v>
      </c>
      <c r="G73" s="27">
        <f t="shared" si="2"/>
        <v>54.03057030595415</v>
      </c>
      <c r="H73" s="29">
        <v>30</v>
      </c>
      <c r="I73" s="29">
        <v>3</v>
      </c>
      <c r="J73" s="3" t="s">
        <v>32</v>
      </c>
      <c r="K73" s="30">
        <v>40.876370000000001</v>
      </c>
      <c r="L73" s="30">
        <v>71.934290000000004</v>
      </c>
      <c r="M73" s="20">
        <v>100</v>
      </c>
    </row>
    <row r="74" spans="1:13" ht="30" customHeight="1">
      <c r="A74" s="5" t="s">
        <v>30</v>
      </c>
      <c r="B74" s="30" t="s">
        <v>387</v>
      </c>
      <c r="C74" s="30" t="s">
        <v>179</v>
      </c>
      <c r="D74" s="27">
        <v>30131.870674111186</v>
      </c>
      <c r="E74" s="44">
        <v>13483.354698628109</v>
      </c>
      <c r="F74" s="27">
        <f t="shared" si="3"/>
        <v>16648.515975483075</v>
      </c>
      <c r="G74" s="27">
        <f t="shared" si="2"/>
        <v>55.252181836115504</v>
      </c>
      <c r="H74" s="29">
        <v>112</v>
      </c>
      <c r="I74" s="29">
        <v>4</v>
      </c>
      <c r="J74" s="3" t="s">
        <v>32</v>
      </c>
      <c r="K74" s="30">
        <v>40.871744999999997</v>
      </c>
      <c r="L74" s="30">
        <v>71.974869999999996</v>
      </c>
      <c r="M74" s="20">
        <v>160</v>
      </c>
    </row>
    <row r="75" spans="1:13" ht="30" customHeight="1">
      <c r="A75" s="5" t="s">
        <v>30</v>
      </c>
      <c r="B75" s="30" t="s">
        <v>387</v>
      </c>
      <c r="C75" s="30" t="s">
        <v>180</v>
      </c>
      <c r="D75" s="27">
        <v>28614.379234111188</v>
      </c>
      <c r="E75" s="44">
        <v>11937.203198628107</v>
      </c>
      <c r="F75" s="27">
        <f t="shared" si="3"/>
        <v>16677.17603548308</v>
      </c>
      <c r="G75" s="27">
        <f t="shared" si="2"/>
        <v>58.282501601859764</v>
      </c>
      <c r="H75" s="29">
        <v>14</v>
      </c>
      <c r="I75" s="29">
        <v>3</v>
      </c>
      <c r="J75" s="3" t="s">
        <v>32</v>
      </c>
      <c r="K75" s="30">
        <v>40.876070782500001</v>
      </c>
      <c r="L75" s="30">
        <v>71.971403360400004</v>
      </c>
      <c r="M75" s="20">
        <v>250</v>
      </c>
    </row>
    <row r="76" spans="1:13" ht="30" customHeight="1">
      <c r="A76" s="5" t="s">
        <v>30</v>
      </c>
      <c r="B76" s="30" t="s">
        <v>387</v>
      </c>
      <c r="C76" s="30" t="s">
        <v>181</v>
      </c>
      <c r="D76" s="27">
        <v>34364.351124111192</v>
      </c>
      <c r="E76" s="44">
        <v>16966.517531961446</v>
      </c>
      <c r="F76" s="27">
        <f t="shared" si="3"/>
        <v>17397.833592149746</v>
      </c>
      <c r="G76" s="27">
        <f t="shared" si="2"/>
        <v>50.627563224794422</v>
      </c>
      <c r="H76" s="29">
        <v>63</v>
      </c>
      <c r="I76" s="29">
        <v>3</v>
      </c>
      <c r="J76" s="3" t="s">
        <v>34</v>
      </c>
      <c r="K76" s="30">
        <v>40.882694999999998</v>
      </c>
      <c r="L76" s="30">
        <v>71.966549999999998</v>
      </c>
      <c r="M76" s="20">
        <v>250</v>
      </c>
    </row>
    <row r="77" spans="1:13" ht="30" customHeight="1">
      <c r="A77" s="5" t="s">
        <v>30</v>
      </c>
      <c r="B77" s="30" t="s">
        <v>384</v>
      </c>
      <c r="C77" s="30" t="s">
        <v>104</v>
      </c>
      <c r="D77" s="27">
        <v>32237.911524111187</v>
      </c>
      <c r="E77" s="44">
        <v>15089.47469862811</v>
      </c>
      <c r="F77" s="27">
        <f t="shared" si="3"/>
        <v>17148.436825483077</v>
      </c>
      <c r="G77" s="27">
        <f t="shared" si="2"/>
        <v>53.19338634159822</v>
      </c>
      <c r="H77" s="29">
        <v>98</v>
      </c>
      <c r="I77" s="29">
        <v>3</v>
      </c>
      <c r="J77" s="3" t="s">
        <v>34</v>
      </c>
      <c r="K77" s="30">
        <v>40.881264999999999</v>
      </c>
      <c r="L77" s="30">
        <v>71.952876666700007</v>
      </c>
      <c r="M77" s="20">
        <v>160</v>
      </c>
    </row>
    <row r="78" spans="1:13" ht="30" customHeight="1">
      <c r="A78" s="5" t="s">
        <v>30</v>
      </c>
      <c r="B78" s="30" t="s">
        <v>387</v>
      </c>
      <c r="C78" s="30" t="s">
        <v>182</v>
      </c>
      <c r="D78" s="27">
        <v>37727.454924111189</v>
      </c>
      <c r="E78" s="44">
        <v>19811.041365294779</v>
      </c>
      <c r="F78" s="27">
        <f t="shared" si="3"/>
        <v>17916.41355881641</v>
      </c>
      <c r="G78" s="27">
        <f t="shared" si="2"/>
        <v>47.489059611509155</v>
      </c>
      <c r="H78" s="29">
        <v>96</v>
      </c>
      <c r="I78" s="29">
        <v>3</v>
      </c>
      <c r="J78" s="3" t="s">
        <v>35</v>
      </c>
      <c r="K78" s="30">
        <v>40.879336666500002</v>
      </c>
      <c r="L78" s="30">
        <v>71.986581666700005</v>
      </c>
      <c r="M78" s="20">
        <v>100</v>
      </c>
    </row>
    <row r="79" spans="1:13" ht="30" customHeight="1">
      <c r="A79" s="5" t="s">
        <v>30</v>
      </c>
      <c r="B79" s="30" t="s">
        <v>387</v>
      </c>
      <c r="C79" s="30" t="s">
        <v>183</v>
      </c>
      <c r="D79" s="27">
        <v>48004.561554111191</v>
      </c>
      <c r="E79" s="44">
        <v>28662.951365294779</v>
      </c>
      <c r="F79" s="27">
        <f t="shared" si="3"/>
        <v>19341.610188816412</v>
      </c>
      <c r="G79" s="27">
        <f t="shared" si="2"/>
        <v>40.291192258915579</v>
      </c>
      <c r="H79" s="29">
        <v>107</v>
      </c>
      <c r="I79" s="29">
        <v>6</v>
      </c>
      <c r="J79" s="3" t="s">
        <v>36</v>
      </c>
      <c r="K79" s="30">
        <v>40.874789999999997</v>
      </c>
      <c r="L79" s="30">
        <v>71.973321666700002</v>
      </c>
      <c r="M79" s="20">
        <v>160</v>
      </c>
    </row>
    <row r="80" spans="1:13" ht="30" customHeight="1">
      <c r="A80" s="5" t="s">
        <v>30</v>
      </c>
      <c r="B80" s="30" t="s">
        <v>387</v>
      </c>
      <c r="C80" s="30" t="s">
        <v>184</v>
      </c>
      <c r="D80" s="27">
        <v>27316.037184111185</v>
      </c>
      <c r="E80" s="44">
        <v>10469.861365294775</v>
      </c>
      <c r="F80" s="27">
        <f t="shared" si="3"/>
        <v>16846.175818816409</v>
      </c>
      <c r="G80" s="27">
        <f t="shared" si="2"/>
        <v>61.671375336299732</v>
      </c>
      <c r="H80" s="29">
        <v>57</v>
      </c>
      <c r="I80" s="29">
        <v>5</v>
      </c>
      <c r="J80" s="3" t="s">
        <v>37</v>
      </c>
      <c r="K80" s="30">
        <v>40.870626666699998</v>
      </c>
      <c r="L80" s="30">
        <v>72.030681666700005</v>
      </c>
      <c r="M80" s="20">
        <v>160</v>
      </c>
    </row>
    <row r="81" spans="1:13" ht="30" customHeight="1">
      <c r="A81" s="5" t="s">
        <v>30</v>
      </c>
      <c r="B81" s="30" t="s">
        <v>387</v>
      </c>
      <c r="C81" s="30" t="s">
        <v>185</v>
      </c>
      <c r="D81" s="27">
        <v>31277.661024111185</v>
      </c>
      <c r="E81" s="44">
        <v>14271.771365294777</v>
      </c>
      <c r="F81" s="27">
        <f t="shared" si="3"/>
        <v>17005.889658816406</v>
      </c>
      <c r="G81" s="27">
        <f t="shared" si="2"/>
        <v>54.370720514257705</v>
      </c>
      <c r="H81" s="29">
        <v>95</v>
      </c>
      <c r="I81" s="29">
        <v>4</v>
      </c>
      <c r="J81" s="3" t="s">
        <v>38</v>
      </c>
      <c r="K81" s="30">
        <v>40.885669999999998</v>
      </c>
      <c r="L81" s="30">
        <v>71.975136666699996</v>
      </c>
      <c r="M81" s="20">
        <v>160</v>
      </c>
    </row>
    <row r="82" spans="1:13" ht="30" customHeight="1">
      <c r="A82" s="7" t="s">
        <v>13</v>
      </c>
      <c r="B82" s="30" t="s">
        <v>387</v>
      </c>
      <c r="C82" s="30" t="s">
        <v>186</v>
      </c>
      <c r="D82" s="27">
        <v>30459.298614111183</v>
      </c>
      <c r="E82" s="44">
        <v>13688.506198628107</v>
      </c>
      <c r="F82" s="27">
        <f t="shared" si="3"/>
        <v>16770.792415483076</v>
      </c>
      <c r="G82" s="27">
        <f t="shared" si="2"/>
        <v>55.059680224263289</v>
      </c>
      <c r="H82" s="29">
        <v>79</v>
      </c>
      <c r="I82" s="29">
        <v>6</v>
      </c>
      <c r="J82" s="3" t="s">
        <v>23</v>
      </c>
      <c r="K82" s="30">
        <v>40.875881666700003</v>
      </c>
      <c r="L82" s="30">
        <v>71.976506666700004</v>
      </c>
      <c r="M82" s="20">
        <v>63</v>
      </c>
    </row>
    <row r="83" spans="1:13" ht="30" customHeight="1">
      <c r="A83" s="5" t="s">
        <v>30</v>
      </c>
      <c r="B83" s="30" t="s">
        <v>389</v>
      </c>
      <c r="C83" s="30" t="s">
        <v>187</v>
      </c>
      <c r="D83" s="27">
        <v>35825.737204111188</v>
      </c>
      <c r="E83" s="44">
        <v>18386.758698628109</v>
      </c>
      <c r="F83" s="27">
        <f t="shared" si="3"/>
        <v>17438.978505483079</v>
      </c>
      <c r="G83" s="27">
        <f t="shared" si="2"/>
        <v>48.677235603352401</v>
      </c>
      <c r="H83" s="29">
        <v>155</v>
      </c>
      <c r="I83" s="29">
        <v>4</v>
      </c>
      <c r="J83" s="3" t="s">
        <v>39</v>
      </c>
      <c r="K83" s="30">
        <v>40.876424999999998</v>
      </c>
      <c r="L83" s="30">
        <v>72.024273333300002</v>
      </c>
      <c r="M83" s="20">
        <v>100</v>
      </c>
    </row>
    <row r="84" spans="1:13" ht="30" customHeight="1">
      <c r="A84" s="7" t="s">
        <v>13</v>
      </c>
      <c r="B84" s="30" t="s">
        <v>387</v>
      </c>
      <c r="C84" s="30" t="s">
        <v>188</v>
      </c>
      <c r="D84" s="27">
        <v>30208.662554111183</v>
      </c>
      <c r="E84" s="44">
        <v>13335.232365294776</v>
      </c>
      <c r="F84" s="27">
        <f t="shared" si="3"/>
        <v>16873.430188816405</v>
      </c>
      <c r="G84" s="27">
        <f t="shared" si="2"/>
        <v>55.856263608466342</v>
      </c>
      <c r="H84" s="29">
        <v>170</v>
      </c>
      <c r="I84" s="29">
        <v>4</v>
      </c>
      <c r="J84" s="3"/>
      <c r="K84" s="30">
        <v>40.870156999999999</v>
      </c>
      <c r="L84" s="30">
        <v>71.971063000000001</v>
      </c>
      <c r="M84" s="20">
        <v>100</v>
      </c>
    </row>
    <row r="85" spans="1:13" ht="30" customHeight="1">
      <c r="A85" s="7" t="s">
        <v>13</v>
      </c>
      <c r="B85" s="30" t="s">
        <v>388</v>
      </c>
      <c r="C85" s="30" t="s">
        <v>189</v>
      </c>
      <c r="D85" s="27">
        <v>31710.952974111187</v>
      </c>
      <c r="E85" s="44">
        <v>14647.007698628109</v>
      </c>
      <c r="F85" s="27">
        <f t="shared" si="3"/>
        <v>17063.945275483078</v>
      </c>
      <c r="G85" s="27">
        <f t="shared" si="2"/>
        <v>53.810887643187762</v>
      </c>
      <c r="H85" s="29">
        <v>76</v>
      </c>
      <c r="I85" s="29">
        <v>4</v>
      </c>
      <c r="J85" s="3"/>
      <c r="K85" s="30">
        <v>40.8745966667</v>
      </c>
      <c r="L85" s="30">
        <v>71.988754999999998</v>
      </c>
      <c r="M85" s="20">
        <v>160</v>
      </c>
    </row>
    <row r="86" spans="1:13" ht="30" customHeight="1">
      <c r="A86" s="7" t="s">
        <v>13</v>
      </c>
      <c r="B86" s="30" t="s">
        <v>389</v>
      </c>
      <c r="C86" s="30" t="s">
        <v>190</v>
      </c>
      <c r="D86" s="27">
        <v>32420.293834111184</v>
      </c>
      <c r="E86" s="44">
        <v>15485.47469862811</v>
      </c>
      <c r="F86" s="27">
        <f t="shared" si="3"/>
        <v>16934.819135483074</v>
      </c>
      <c r="G86" s="27">
        <f t="shared" si="2"/>
        <v>52.235242598773162</v>
      </c>
      <c r="H86" s="29">
        <v>58</v>
      </c>
      <c r="I86" s="29">
        <v>4</v>
      </c>
      <c r="J86" s="4"/>
      <c r="K86" s="30">
        <v>40.878901666700003</v>
      </c>
      <c r="L86" s="30">
        <v>72.031078333300002</v>
      </c>
      <c r="M86" s="20">
        <v>250</v>
      </c>
    </row>
    <row r="87" spans="1:13" ht="30" customHeight="1">
      <c r="A87" s="7" t="s">
        <v>13</v>
      </c>
      <c r="B87" s="30" t="s">
        <v>389</v>
      </c>
      <c r="C87" s="30" t="s">
        <v>191</v>
      </c>
      <c r="D87" s="27">
        <v>29310.024474111186</v>
      </c>
      <c r="E87" s="44">
        <v>12548.381198628109</v>
      </c>
      <c r="F87" s="27">
        <f t="shared" si="3"/>
        <v>16761.643275483075</v>
      </c>
      <c r="G87" s="27">
        <f t="shared" si="2"/>
        <v>57.187407981485023</v>
      </c>
      <c r="H87" s="29">
        <v>37</v>
      </c>
      <c r="I87" s="29">
        <v>3</v>
      </c>
      <c r="J87" s="4"/>
      <c r="K87" s="30">
        <v>40.877465000000001</v>
      </c>
      <c r="L87" s="30">
        <v>72.08811</v>
      </c>
      <c r="M87" s="20">
        <v>100</v>
      </c>
    </row>
    <row r="88" spans="1:13" ht="30" customHeight="1">
      <c r="A88" s="7" t="s">
        <v>13</v>
      </c>
      <c r="B88" s="30" t="s">
        <v>389</v>
      </c>
      <c r="C88" s="30" t="s">
        <v>192</v>
      </c>
      <c r="D88" s="27">
        <v>30899.540584111186</v>
      </c>
      <c r="E88" s="44">
        <v>13930.699365294775</v>
      </c>
      <c r="F88" s="27">
        <f t="shared" si="3"/>
        <v>16968.841218816411</v>
      </c>
      <c r="G88" s="27">
        <f t="shared" si="2"/>
        <v>54.916160234246135</v>
      </c>
      <c r="H88" s="29">
        <v>93</v>
      </c>
      <c r="I88" s="29">
        <v>5</v>
      </c>
      <c r="J88" s="4"/>
      <c r="K88" s="30">
        <v>40.875194999999998</v>
      </c>
      <c r="L88" s="30">
        <v>72.038955000000001</v>
      </c>
      <c r="M88" s="20">
        <v>100</v>
      </c>
    </row>
    <row r="89" spans="1:13" ht="30" customHeight="1">
      <c r="A89" s="7" t="s">
        <v>13</v>
      </c>
      <c r="B89" s="30" t="s">
        <v>389</v>
      </c>
      <c r="C89" s="30" t="s">
        <v>193</v>
      </c>
      <c r="D89" s="27">
        <v>27975.536934111184</v>
      </c>
      <c r="E89" s="44">
        <v>11371.23369862811</v>
      </c>
      <c r="F89" s="27">
        <f t="shared" si="3"/>
        <v>16604.303235483072</v>
      </c>
      <c r="G89" s="27">
        <f t="shared" si="2"/>
        <v>59.352938514066842</v>
      </c>
      <c r="H89" s="29">
        <v>75</v>
      </c>
      <c r="I89" s="29">
        <v>3</v>
      </c>
      <c r="J89" s="4" t="s">
        <v>14</v>
      </c>
      <c r="K89" s="30">
        <v>40.879893333299997</v>
      </c>
      <c r="L89" s="30">
        <v>72.067336666700001</v>
      </c>
      <c r="M89" s="20">
        <v>250</v>
      </c>
    </row>
    <row r="90" spans="1:13" ht="30" customHeight="1">
      <c r="A90" s="7" t="s">
        <v>13</v>
      </c>
      <c r="B90" s="30" t="s">
        <v>389</v>
      </c>
      <c r="C90" s="30" t="s">
        <v>194</v>
      </c>
      <c r="D90" s="27">
        <v>34799.520604111189</v>
      </c>
      <c r="E90" s="44">
        <v>17333.138531961446</v>
      </c>
      <c r="F90" s="27">
        <f t="shared" si="3"/>
        <v>17466.382072149743</v>
      </c>
      <c r="G90" s="27">
        <f t="shared" si="2"/>
        <v>50.19144450537712</v>
      </c>
      <c r="H90" s="29">
        <v>81</v>
      </c>
      <c r="I90" s="29">
        <v>3</v>
      </c>
      <c r="J90" s="4" t="s">
        <v>24</v>
      </c>
      <c r="K90" s="30">
        <v>40.878976666699998</v>
      </c>
      <c r="L90" s="30">
        <v>72.029004999999998</v>
      </c>
      <c r="M90" s="14">
        <v>250</v>
      </c>
    </row>
    <row r="91" spans="1:13" ht="30" customHeight="1">
      <c r="A91" s="7" t="s">
        <v>13</v>
      </c>
      <c r="B91" s="30" t="s">
        <v>384</v>
      </c>
      <c r="C91" s="30" t="s">
        <v>121</v>
      </c>
      <c r="D91" s="27">
        <v>32902.163704111183</v>
      </c>
      <c r="E91" s="44">
        <v>15569.934698628113</v>
      </c>
      <c r="F91" s="27">
        <f t="shared" si="3"/>
        <v>17332.22900548307</v>
      </c>
      <c r="G91" s="27">
        <f t="shared" si="2"/>
        <v>52.678082698000125</v>
      </c>
      <c r="H91" s="29">
        <v>127</v>
      </c>
      <c r="I91" s="29">
        <v>4</v>
      </c>
      <c r="J91" s="4" t="s">
        <v>23</v>
      </c>
      <c r="K91" s="30">
        <v>40.881158094900002</v>
      </c>
      <c r="L91" s="30">
        <v>71.960061555699994</v>
      </c>
      <c r="M91" s="14">
        <v>250</v>
      </c>
    </row>
    <row r="92" spans="1:13" ht="30" customHeight="1">
      <c r="A92" s="7" t="s">
        <v>13</v>
      </c>
      <c r="B92" s="30" t="s">
        <v>388</v>
      </c>
      <c r="C92" s="30" t="s">
        <v>195</v>
      </c>
      <c r="D92" s="27">
        <v>33547.278764111179</v>
      </c>
      <c r="E92" s="44">
        <v>16275.288031961445</v>
      </c>
      <c r="F92" s="27">
        <f t="shared" si="3"/>
        <v>17271.990732149734</v>
      </c>
      <c r="G92" s="27">
        <f t="shared" si="2"/>
        <v>51.485519447339733</v>
      </c>
      <c r="H92" s="29">
        <v>96</v>
      </c>
      <c r="I92" s="29">
        <v>5</v>
      </c>
      <c r="J92" s="4" t="s">
        <v>40</v>
      </c>
      <c r="K92" s="30">
        <v>40.880791666699999</v>
      </c>
      <c r="L92" s="30">
        <v>72.024038333299998</v>
      </c>
      <c r="M92" s="14">
        <v>160</v>
      </c>
    </row>
    <row r="93" spans="1:13" ht="30" customHeight="1">
      <c r="A93" s="7" t="s">
        <v>13</v>
      </c>
      <c r="B93" s="30" t="s">
        <v>389</v>
      </c>
      <c r="C93" s="30" t="s">
        <v>196</v>
      </c>
      <c r="D93" s="27">
        <v>32090.464144111189</v>
      </c>
      <c r="E93" s="44">
        <v>14739.68136529478</v>
      </c>
      <c r="F93" s="27">
        <f t="shared" si="3"/>
        <v>17350.782778816407</v>
      </c>
      <c r="G93" s="27">
        <f t="shared" si="2"/>
        <v>54.068344729754834</v>
      </c>
      <c r="H93" s="29">
        <v>97</v>
      </c>
      <c r="I93" s="29">
        <v>4</v>
      </c>
      <c r="J93" s="4" t="s">
        <v>23</v>
      </c>
      <c r="K93" s="30">
        <v>40.880018333300001</v>
      </c>
      <c r="L93" s="30">
        <v>72.078343333299998</v>
      </c>
      <c r="M93" s="14">
        <v>100</v>
      </c>
    </row>
    <row r="94" spans="1:13" ht="30" customHeight="1">
      <c r="A94" s="7" t="s">
        <v>13</v>
      </c>
      <c r="B94" s="30" t="s">
        <v>387</v>
      </c>
      <c r="C94" s="30" t="s">
        <v>197</v>
      </c>
      <c r="D94" s="27">
        <v>39203.493564111195</v>
      </c>
      <c r="E94" s="44">
        <v>21304.099865294775</v>
      </c>
      <c r="F94" s="27">
        <f t="shared" si="3"/>
        <v>17899.393698816421</v>
      </c>
      <c r="G94" s="27">
        <f t="shared" si="2"/>
        <v>45.657649539688997</v>
      </c>
      <c r="H94" s="29">
        <v>152</v>
      </c>
      <c r="I94" s="29">
        <v>4</v>
      </c>
      <c r="J94" s="3" t="s">
        <v>14</v>
      </c>
      <c r="K94" s="30">
        <v>40.878603333299999</v>
      </c>
      <c r="L94" s="30">
        <v>71.966620000000006</v>
      </c>
      <c r="M94" s="14">
        <v>100</v>
      </c>
    </row>
    <row r="95" spans="1:13" ht="30" customHeight="1">
      <c r="A95" s="7" t="s">
        <v>13</v>
      </c>
      <c r="B95" s="30" t="s">
        <v>390</v>
      </c>
      <c r="C95" s="30" t="s">
        <v>198</v>
      </c>
      <c r="D95" s="27">
        <v>31429.735404111183</v>
      </c>
      <c r="E95" s="44">
        <v>14479.831198628108</v>
      </c>
      <c r="F95" s="27">
        <f t="shared" si="3"/>
        <v>16949.904205483075</v>
      </c>
      <c r="G95" s="27">
        <f t="shared" si="2"/>
        <v>53.929516069886908</v>
      </c>
      <c r="H95" s="29">
        <v>99</v>
      </c>
      <c r="I95" s="29">
        <v>5</v>
      </c>
      <c r="J95" s="5" t="s">
        <v>40</v>
      </c>
      <c r="K95" s="30">
        <v>40.858133333300003</v>
      </c>
      <c r="L95" s="30">
        <v>72.060698333299996</v>
      </c>
      <c r="M95" s="14">
        <v>100</v>
      </c>
    </row>
    <row r="96" spans="1:13" ht="30" customHeight="1">
      <c r="A96" s="7" t="s">
        <v>13</v>
      </c>
      <c r="B96" s="30" t="s">
        <v>389</v>
      </c>
      <c r="C96" s="30" t="s">
        <v>199</v>
      </c>
      <c r="D96" s="27">
        <v>28536.152914111186</v>
      </c>
      <c r="E96" s="44">
        <v>11876.45719862811</v>
      </c>
      <c r="F96" s="27">
        <f t="shared" si="3"/>
        <v>16659.695715483074</v>
      </c>
      <c r="G96" s="27">
        <f t="shared" si="2"/>
        <v>58.381015007964933</v>
      </c>
      <c r="H96" s="29">
        <v>66</v>
      </c>
      <c r="I96" s="29">
        <v>5</v>
      </c>
      <c r="J96" s="5" t="s">
        <v>40</v>
      </c>
      <c r="K96" s="30">
        <v>40.879048333299998</v>
      </c>
      <c r="L96" s="30">
        <v>72.052588333299994</v>
      </c>
      <c r="M96" s="14">
        <v>100</v>
      </c>
    </row>
    <row r="97" spans="1:13" ht="30" customHeight="1">
      <c r="A97" s="7" t="s">
        <v>13</v>
      </c>
      <c r="B97" s="30" t="s">
        <v>388</v>
      </c>
      <c r="C97" s="30" t="s">
        <v>200</v>
      </c>
      <c r="D97" s="27">
        <v>29432.997224111183</v>
      </c>
      <c r="E97" s="44">
        <v>12422.808031961442</v>
      </c>
      <c r="F97" s="27">
        <f t="shared" si="3"/>
        <v>17010.189192149741</v>
      </c>
      <c r="G97" s="27">
        <f t="shared" si="2"/>
        <v>57.792922217976447</v>
      </c>
      <c r="H97" s="29">
        <v>60</v>
      </c>
      <c r="I97" s="29">
        <v>3</v>
      </c>
      <c r="J97" s="5"/>
      <c r="K97" s="30">
        <v>40.877659999999999</v>
      </c>
      <c r="L97" s="30">
        <v>72.015798333299998</v>
      </c>
      <c r="M97" s="14">
        <v>160</v>
      </c>
    </row>
    <row r="98" spans="1:13" ht="30" customHeight="1">
      <c r="A98" s="7" t="s">
        <v>13</v>
      </c>
      <c r="B98" s="30" t="s">
        <v>389</v>
      </c>
      <c r="C98" s="30" t="s">
        <v>201</v>
      </c>
      <c r="D98" s="27">
        <v>26776.370414111188</v>
      </c>
      <c r="E98" s="44">
        <v>10328.505365294775</v>
      </c>
      <c r="F98" s="27">
        <f t="shared" si="3"/>
        <v>16447.865048816413</v>
      </c>
      <c r="G98" s="27">
        <f t="shared" si="2"/>
        <v>61.426790839987646</v>
      </c>
      <c r="H98" s="29">
        <v>18</v>
      </c>
      <c r="I98" s="29">
        <v>3</v>
      </c>
      <c r="J98" s="5" t="s">
        <v>14</v>
      </c>
      <c r="K98" s="30">
        <v>40.877465000000001</v>
      </c>
      <c r="L98" s="30">
        <v>72.08811</v>
      </c>
      <c r="M98" s="14">
        <v>160</v>
      </c>
    </row>
    <row r="99" spans="1:13" ht="30" customHeight="1">
      <c r="A99" s="7" t="s">
        <v>13</v>
      </c>
      <c r="B99" s="30" t="s">
        <v>389</v>
      </c>
      <c r="C99" s="30" t="s">
        <v>202</v>
      </c>
      <c r="D99" s="27">
        <v>32428.921174111187</v>
      </c>
      <c r="E99" s="44">
        <v>15426.456365294776</v>
      </c>
      <c r="F99" s="27">
        <f t="shared" si="3"/>
        <v>17002.46480881641</v>
      </c>
      <c r="G99" s="27">
        <f t="shared" si="2"/>
        <v>52.429942758595068</v>
      </c>
      <c r="H99" s="29">
        <v>79</v>
      </c>
      <c r="I99" s="29">
        <v>4</v>
      </c>
      <c r="J99" s="5" t="s">
        <v>23</v>
      </c>
      <c r="K99" s="30">
        <v>40.875548333300003</v>
      </c>
      <c r="L99" s="30">
        <v>72.079404999999994</v>
      </c>
      <c r="M99" s="19">
        <v>160</v>
      </c>
    </row>
    <row r="100" spans="1:13" ht="30" customHeight="1">
      <c r="A100" s="7" t="s">
        <v>13</v>
      </c>
      <c r="B100" s="30" t="s">
        <v>389</v>
      </c>
      <c r="C100" s="30" t="s">
        <v>203</v>
      </c>
      <c r="D100" s="27">
        <v>27472.821334111184</v>
      </c>
      <c r="E100" s="44">
        <v>10809.344698628109</v>
      </c>
      <c r="F100" s="27">
        <f t="shared" si="3"/>
        <v>16663.476635483075</v>
      </c>
      <c r="G100" s="27">
        <f t="shared" si="2"/>
        <v>60.654406159563742</v>
      </c>
      <c r="H100" s="29">
        <v>43</v>
      </c>
      <c r="I100" s="29">
        <v>4</v>
      </c>
      <c r="J100" s="12" t="s">
        <v>15</v>
      </c>
      <c r="K100" s="30">
        <v>40.883151666700002</v>
      </c>
      <c r="L100" s="30">
        <v>72.085181666699995</v>
      </c>
      <c r="M100" s="20">
        <v>63</v>
      </c>
    </row>
    <row r="101" spans="1:13" ht="30" customHeight="1">
      <c r="A101" s="7" t="s">
        <v>13</v>
      </c>
      <c r="B101" s="30" t="s">
        <v>390</v>
      </c>
      <c r="C101" s="30" t="s">
        <v>204</v>
      </c>
      <c r="D101" s="27">
        <v>31010.157494111187</v>
      </c>
      <c r="E101" s="44">
        <v>14140.31469862811</v>
      </c>
      <c r="F101" s="27">
        <f t="shared" si="3"/>
        <v>16869.842795483077</v>
      </c>
      <c r="G101" s="27">
        <f t="shared" si="2"/>
        <v>54.401022628429573</v>
      </c>
      <c r="H101" s="29">
        <v>70</v>
      </c>
      <c r="I101" s="29">
        <v>4</v>
      </c>
      <c r="J101" s="12" t="s">
        <v>17</v>
      </c>
      <c r="K101" s="30">
        <v>40.858853333299997</v>
      </c>
      <c r="L101" s="30">
        <v>72.0770083333</v>
      </c>
      <c r="M101" s="20">
        <v>400</v>
      </c>
    </row>
    <row r="102" spans="1:13" ht="30" customHeight="1">
      <c r="A102" s="7" t="s">
        <v>13</v>
      </c>
      <c r="B102" s="30" t="s">
        <v>390</v>
      </c>
      <c r="C102" s="30" t="s">
        <v>205</v>
      </c>
      <c r="D102" s="27">
        <v>27042.902864111187</v>
      </c>
      <c r="E102" s="44">
        <v>10628.621365294775</v>
      </c>
      <c r="F102" s="27">
        <f t="shared" si="3"/>
        <v>16414.28149881641</v>
      </c>
      <c r="G102" s="27">
        <f t="shared" si="2"/>
        <v>60.697187655101587</v>
      </c>
      <c r="H102" s="29">
        <v>13</v>
      </c>
      <c r="I102" s="29">
        <v>3</v>
      </c>
      <c r="J102" s="12" t="s">
        <v>17</v>
      </c>
      <c r="K102" s="30">
        <v>40.874026666600002</v>
      </c>
      <c r="L102" s="30">
        <v>72.094549999700007</v>
      </c>
      <c r="M102" s="20">
        <v>320</v>
      </c>
    </row>
    <row r="103" spans="1:13" ht="30" customHeight="1">
      <c r="A103" s="7" t="s">
        <v>13</v>
      </c>
      <c r="B103" s="30" t="s">
        <v>387</v>
      </c>
      <c r="C103" s="30" t="s">
        <v>206</v>
      </c>
      <c r="D103" s="27">
        <v>37430.174904111191</v>
      </c>
      <c r="E103" s="44">
        <v>19656.471531961444</v>
      </c>
      <c r="F103" s="27">
        <f t="shared" si="3"/>
        <v>17773.703372149746</v>
      </c>
      <c r="G103" s="27">
        <f t="shared" si="2"/>
        <v>47.484959441633677</v>
      </c>
      <c r="H103" s="29">
        <v>152</v>
      </c>
      <c r="I103" s="29">
        <v>6</v>
      </c>
      <c r="J103" s="12" t="s">
        <v>17</v>
      </c>
      <c r="K103" s="30">
        <v>40.876869999999997</v>
      </c>
      <c r="L103" s="30">
        <v>71.973841666699997</v>
      </c>
      <c r="M103" s="20">
        <v>160</v>
      </c>
    </row>
    <row r="104" spans="1:13" ht="30" customHeight="1">
      <c r="A104" s="7" t="s">
        <v>13</v>
      </c>
      <c r="B104" s="30" t="s">
        <v>391</v>
      </c>
      <c r="C104" s="30" t="s">
        <v>207</v>
      </c>
      <c r="D104" s="27">
        <v>31805.989734111183</v>
      </c>
      <c r="E104" s="44">
        <v>14878.253865294777</v>
      </c>
      <c r="F104" s="27">
        <f t="shared" si="3"/>
        <v>16927.735868816406</v>
      </c>
      <c r="G104" s="27">
        <f t="shared" si="2"/>
        <v>53.221849124417602</v>
      </c>
      <c r="H104" s="29">
        <v>66</v>
      </c>
      <c r="I104" s="29">
        <v>3</v>
      </c>
      <c r="J104" s="12" t="s">
        <v>17</v>
      </c>
      <c r="K104" s="30">
        <v>40.849305000000001</v>
      </c>
      <c r="L104" s="30">
        <v>72.038023333300004</v>
      </c>
      <c r="M104" s="20">
        <v>100</v>
      </c>
    </row>
    <row r="105" spans="1:13" ht="30" customHeight="1">
      <c r="A105" s="7" t="s">
        <v>13</v>
      </c>
      <c r="B105" s="30" t="s">
        <v>391</v>
      </c>
      <c r="C105" s="30" t="s">
        <v>208</v>
      </c>
      <c r="D105" s="27">
        <v>33904.51480411119</v>
      </c>
      <c r="E105" s="44">
        <v>16566.775531961444</v>
      </c>
      <c r="F105" s="27">
        <f t="shared" si="3"/>
        <v>17337.739272149745</v>
      </c>
      <c r="G105" s="27">
        <f t="shared" si="2"/>
        <v>51.136963240209553</v>
      </c>
      <c r="H105" s="29">
        <v>114</v>
      </c>
      <c r="I105" s="29">
        <v>11</v>
      </c>
      <c r="J105" s="12" t="s">
        <v>17</v>
      </c>
      <c r="K105" s="30">
        <v>40.848043333299998</v>
      </c>
      <c r="L105" s="30">
        <v>72.060901666700005</v>
      </c>
      <c r="M105" s="20">
        <v>160</v>
      </c>
    </row>
    <row r="106" spans="1:13" ht="30" customHeight="1">
      <c r="A106" s="7" t="s">
        <v>13</v>
      </c>
      <c r="B106" s="30" t="s">
        <v>387</v>
      </c>
      <c r="C106" s="30" t="s">
        <v>209</v>
      </c>
      <c r="D106" s="27">
        <v>35955.227804111193</v>
      </c>
      <c r="E106" s="44">
        <v>18355.155031961443</v>
      </c>
      <c r="F106" s="27">
        <f t="shared" si="3"/>
        <v>17600.07277214975</v>
      </c>
      <c r="G106" s="27">
        <f t="shared" si="2"/>
        <v>48.949968744565489</v>
      </c>
      <c r="H106" s="29">
        <v>95</v>
      </c>
      <c r="I106" s="29">
        <v>3</v>
      </c>
      <c r="J106" s="12" t="s">
        <v>17</v>
      </c>
      <c r="K106" s="30">
        <v>40.8855233333</v>
      </c>
      <c r="L106" s="30">
        <v>71.964566666699994</v>
      </c>
      <c r="M106" s="20">
        <v>400</v>
      </c>
    </row>
    <row r="107" spans="1:13" ht="30" customHeight="1">
      <c r="A107" s="7" t="s">
        <v>13</v>
      </c>
      <c r="B107" s="30" t="s">
        <v>390</v>
      </c>
      <c r="C107" s="30" t="s">
        <v>210</v>
      </c>
      <c r="D107" s="27">
        <v>31327.479154111188</v>
      </c>
      <c r="E107" s="44">
        <v>14529.381365294774</v>
      </c>
      <c r="F107" s="27">
        <f t="shared" si="3"/>
        <v>16798.097788816413</v>
      </c>
      <c r="G107" s="27">
        <f t="shared" si="2"/>
        <v>53.620968690715593</v>
      </c>
      <c r="H107" s="29">
        <v>118</v>
      </c>
      <c r="I107" s="29">
        <v>4</v>
      </c>
      <c r="J107" s="12" t="s">
        <v>19</v>
      </c>
      <c r="K107" s="30">
        <v>40.867975000000001</v>
      </c>
      <c r="L107" s="30">
        <v>72.100838333300004</v>
      </c>
      <c r="M107" s="20">
        <v>160</v>
      </c>
    </row>
    <row r="108" spans="1:13" ht="30" customHeight="1">
      <c r="A108" s="7" t="s">
        <v>13</v>
      </c>
      <c r="B108" s="30" t="s">
        <v>390</v>
      </c>
      <c r="C108" s="30" t="s">
        <v>211</v>
      </c>
      <c r="D108" s="27">
        <v>32500.364694111184</v>
      </c>
      <c r="E108" s="44">
        <v>15468.445698628111</v>
      </c>
      <c r="F108" s="27">
        <f t="shared" si="3"/>
        <v>17031.918995483073</v>
      </c>
      <c r="G108" s="27">
        <f t="shared" si="2"/>
        <v>52.40531654270675</v>
      </c>
      <c r="H108" s="29">
        <v>80</v>
      </c>
      <c r="I108" s="29">
        <v>5</v>
      </c>
      <c r="J108" s="12" t="s">
        <v>21</v>
      </c>
      <c r="K108" s="30">
        <v>40.872354999999999</v>
      </c>
      <c r="L108" s="30">
        <v>72.101595000000003</v>
      </c>
      <c r="M108" s="20">
        <v>100</v>
      </c>
    </row>
    <row r="109" spans="1:13" ht="30" customHeight="1">
      <c r="A109" s="7" t="s">
        <v>13</v>
      </c>
      <c r="B109" s="30" t="s">
        <v>390</v>
      </c>
      <c r="C109" s="30" t="s">
        <v>212</v>
      </c>
      <c r="D109" s="27">
        <v>30771.565864111184</v>
      </c>
      <c r="E109" s="44">
        <v>14043.018031961443</v>
      </c>
      <c r="F109" s="27">
        <f t="shared" si="3"/>
        <v>16728.547832149743</v>
      </c>
      <c r="G109" s="27">
        <f t="shared" si="2"/>
        <v>54.363654764999183</v>
      </c>
      <c r="H109" s="29">
        <v>119</v>
      </c>
      <c r="I109" s="29">
        <v>4</v>
      </c>
      <c r="J109" s="12" t="s">
        <v>21</v>
      </c>
      <c r="K109" s="30">
        <v>40.874026666600002</v>
      </c>
      <c r="L109" s="30">
        <v>72.094549999700007</v>
      </c>
      <c r="M109" s="20">
        <v>100</v>
      </c>
    </row>
    <row r="110" spans="1:13" ht="30" customHeight="1">
      <c r="A110" s="7" t="s">
        <v>13</v>
      </c>
      <c r="B110" s="30" t="s">
        <v>387</v>
      </c>
      <c r="C110" s="30" t="s">
        <v>213</v>
      </c>
      <c r="D110" s="27">
        <v>29353.842834111187</v>
      </c>
      <c r="E110" s="44">
        <v>12580.947365294776</v>
      </c>
      <c r="F110" s="27">
        <f t="shared" si="3"/>
        <v>16772.895468816409</v>
      </c>
      <c r="G110" s="27">
        <f t="shared" si="2"/>
        <v>57.140373625374693</v>
      </c>
      <c r="H110" s="29">
        <v>30</v>
      </c>
      <c r="I110" s="29">
        <v>3</v>
      </c>
      <c r="J110" s="12" t="s">
        <v>21</v>
      </c>
      <c r="K110" s="30">
        <v>40.887851666700001</v>
      </c>
      <c r="L110" s="30">
        <v>71.969193333299998</v>
      </c>
      <c r="M110" s="20">
        <v>160</v>
      </c>
    </row>
    <row r="111" spans="1:13" ht="30" customHeight="1">
      <c r="A111" s="5" t="s">
        <v>30</v>
      </c>
      <c r="B111" s="30" t="s">
        <v>389</v>
      </c>
      <c r="C111" s="30" t="s">
        <v>214</v>
      </c>
      <c r="D111" s="27">
        <v>33076.479934111187</v>
      </c>
      <c r="E111" s="44">
        <v>15842.976698628112</v>
      </c>
      <c r="F111" s="27">
        <f t="shared" si="3"/>
        <v>17233.503235483076</v>
      </c>
      <c r="G111" s="27">
        <f t="shared" si="2"/>
        <v>52.101986879536327</v>
      </c>
      <c r="H111" s="29">
        <v>104</v>
      </c>
      <c r="I111" s="29">
        <v>5</v>
      </c>
      <c r="J111" s="12" t="s">
        <v>41</v>
      </c>
      <c r="K111" s="30">
        <v>40.877478333299997</v>
      </c>
      <c r="L111" s="30">
        <v>72.076426666700002</v>
      </c>
      <c r="M111" s="20">
        <v>250</v>
      </c>
    </row>
    <row r="112" spans="1:13" ht="30" customHeight="1">
      <c r="A112" s="5" t="s">
        <v>30</v>
      </c>
      <c r="B112" s="30" t="s">
        <v>390</v>
      </c>
      <c r="C112" s="30" t="s">
        <v>215</v>
      </c>
      <c r="D112" s="27">
        <v>31040.917904111186</v>
      </c>
      <c r="E112" s="44">
        <v>14049.901198628109</v>
      </c>
      <c r="F112" s="27">
        <f t="shared" si="3"/>
        <v>16991.016705483074</v>
      </c>
      <c r="G112" s="27">
        <f t="shared" si="2"/>
        <v>54.737481533149882</v>
      </c>
      <c r="H112" s="29">
        <v>92</v>
      </c>
      <c r="I112" s="29">
        <v>5</v>
      </c>
      <c r="J112" s="12" t="s">
        <v>37</v>
      </c>
      <c r="K112" s="30">
        <v>40.870533333300003</v>
      </c>
      <c r="L112" s="30">
        <v>72.120976666700003</v>
      </c>
      <c r="M112" s="20">
        <v>100</v>
      </c>
    </row>
    <row r="113" spans="1:13" ht="30" customHeight="1">
      <c r="A113" s="5" t="s">
        <v>30</v>
      </c>
      <c r="B113" s="30" t="s">
        <v>390</v>
      </c>
      <c r="C113" s="30" t="s">
        <v>216</v>
      </c>
      <c r="D113" s="27">
        <v>30498.101064111186</v>
      </c>
      <c r="E113" s="27">
        <v>13691.68019862811</v>
      </c>
      <c r="F113" s="27">
        <f t="shared" si="3"/>
        <v>16806.420865483076</v>
      </c>
      <c r="G113" s="27">
        <f t="shared" si="2"/>
        <v>55.106450169319324</v>
      </c>
      <c r="H113" s="29">
        <v>49</v>
      </c>
      <c r="I113" s="29">
        <v>5</v>
      </c>
      <c r="J113" s="12" t="s">
        <v>33</v>
      </c>
      <c r="K113" s="30">
        <v>40.859666666700001</v>
      </c>
      <c r="L113" s="30">
        <v>72.121076666700006</v>
      </c>
      <c r="M113" s="20">
        <v>63</v>
      </c>
    </row>
    <row r="114" spans="1:13" ht="30" customHeight="1">
      <c r="A114" s="5" t="s">
        <v>30</v>
      </c>
      <c r="B114" s="30" t="s">
        <v>390</v>
      </c>
      <c r="C114" s="30" t="s">
        <v>217</v>
      </c>
      <c r="D114" s="27">
        <v>26947.187354111185</v>
      </c>
      <c r="E114" s="27">
        <v>10470.258031961444</v>
      </c>
      <c r="F114" s="27">
        <f t="shared" si="3"/>
        <v>16476.929322149743</v>
      </c>
      <c r="G114" s="27">
        <f t="shared" si="2"/>
        <v>61.145265758639361</v>
      </c>
      <c r="H114" s="29">
        <v>39</v>
      </c>
      <c r="I114" s="29">
        <v>3</v>
      </c>
      <c r="J114" s="12" t="s">
        <v>17</v>
      </c>
      <c r="K114" s="30">
        <v>40.8576716667</v>
      </c>
      <c r="L114" s="30">
        <v>72.123549999999994</v>
      </c>
      <c r="M114" s="14">
        <v>40</v>
      </c>
    </row>
    <row r="115" spans="1:13" ht="30" customHeight="1">
      <c r="A115" s="5" t="s">
        <v>30</v>
      </c>
      <c r="B115" s="30" t="s">
        <v>388</v>
      </c>
      <c r="C115" s="30" t="s">
        <v>218</v>
      </c>
      <c r="D115" s="27">
        <v>41435.216804111187</v>
      </c>
      <c r="E115" s="27">
        <v>23263.024865294778</v>
      </c>
      <c r="F115" s="27">
        <f t="shared" si="3"/>
        <v>18172.19193881641</v>
      </c>
      <c r="G115" s="27">
        <f t="shared" si="2"/>
        <v>43.856876687111651</v>
      </c>
      <c r="H115" s="29">
        <v>106</v>
      </c>
      <c r="I115" s="29">
        <v>4</v>
      </c>
      <c r="J115" s="12" t="s">
        <v>34</v>
      </c>
      <c r="K115" s="30">
        <v>40.877068333300002</v>
      </c>
      <c r="L115" s="30">
        <v>71.983761666700005</v>
      </c>
      <c r="M115" s="14">
        <v>100</v>
      </c>
    </row>
    <row r="116" spans="1:13" ht="30" customHeight="1">
      <c r="A116" s="5" t="s">
        <v>30</v>
      </c>
      <c r="B116" s="30" t="s">
        <v>384</v>
      </c>
      <c r="C116" s="30" t="s">
        <v>94</v>
      </c>
      <c r="D116" s="27">
        <v>30466.647264111187</v>
      </c>
      <c r="E116" s="27">
        <v>13635.311031961444</v>
      </c>
      <c r="F116" s="27">
        <f t="shared" si="3"/>
        <v>16831.336232149741</v>
      </c>
      <c r="G116" s="27">
        <f t="shared" si="2"/>
        <v>55.245121283747423</v>
      </c>
      <c r="H116" s="29">
        <v>83</v>
      </c>
      <c r="I116" s="29">
        <v>5</v>
      </c>
      <c r="J116" s="12" t="s">
        <v>34</v>
      </c>
      <c r="K116" s="30">
        <v>40.865369999999999</v>
      </c>
      <c r="L116" s="30">
        <v>71.96087</v>
      </c>
      <c r="M116" s="19">
        <v>160</v>
      </c>
    </row>
    <row r="117" spans="1:13" ht="30" customHeight="1">
      <c r="A117" s="5" t="s">
        <v>30</v>
      </c>
      <c r="B117" s="30" t="s">
        <v>390</v>
      </c>
      <c r="C117" s="30" t="s">
        <v>219</v>
      </c>
      <c r="D117" s="27">
        <v>27174.186554111191</v>
      </c>
      <c r="E117" s="27">
        <v>10661.164031961442</v>
      </c>
      <c r="F117" s="27">
        <f t="shared" si="3"/>
        <v>16513.022522149749</v>
      </c>
      <c r="G117" s="27">
        <f t="shared" si="2"/>
        <v>60.767311246899091</v>
      </c>
      <c r="H117" s="29">
        <v>44</v>
      </c>
      <c r="I117" s="29">
        <v>4</v>
      </c>
      <c r="J117" s="12" t="s">
        <v>42</v>
      </c>
      <c r="K117" s="30">
        <v>40.858196666700003</v>
      </c>
      <c r="L117" s="30">
        <v>72.1313583333</v>
      </c>
      <c r="M117" s="14">
        <v>100</v>
      </c>
    </row>
    <row r="118" spans="1:13" ht="30" customHeight="1">
      <c r="A118" s="5" t="s">
        <v>30</v>
      </c>
      <c r="B118" s="30" t="s">
        <v>388</v>
      </c>
      <c r="C118" s="30" t="s">
        <v>220</v>
      </c>
      <c r="D118" s="27">
        <v>42367.79175611119</v>
      </c>
      <c r="E118" s="27">
        <v>24134.062531961445</v>
      </c>
      <c r="F118" s="27">
        <f t="shared" si="3"/>
        <v>18233.729224149745</v>
      </c>
      <c r="G118" s="27">
        <f t="shared" si="2"/>
        <v>43.036770311541403</v>
      </c>
      <c r="H118" s="29">
        <v>163</v>
      </c>
      <c r="I118" s="29">
        <v>4</v>
      </c>
      <c r="J118" s="12" t="s">
        <v>42</v>
      </c>
      <c r="K118" s="30">
        <v>40.881914999999999</v>
      </c>
      <c r="L118" s="30">
        <v>71.997399999999999</v>
      </c>
      <c r="M118" s="22">
        <v>160</v>
      </c>
    </row>
    <row r="119" spans="1:13" ht="30" customHeight="1">
      <c r="A119" s="5" t="s">
        <v>30</v>
      </c>
      <c r="B119" s="30" t="s">
        <v>388</v>
      </c>
      <c r="C119" s="30" t="s">
        <v>221</v>
      </c>
      <c r="D119" s="27">
        <v>38339.344594111186</v>
      </c>
      <c r="E119" s="27">
        <v>20608.970698628109</v>
      </c>
      <c r="F119" s="27">
        <f t="shared" si="3"/>
        <v>17730.373895483077</v>
      </c>
      <c r="G119" s="27">
        <f t="shared" si="2"/>
        <v>46.245897219136118</v>
      </c>
      <c r="H119" s="29">
        <v>133</v>
      </c>
      <c r="I119" s="29">
        <v>6</v>
      </c>
      <c r="J119" s="12" t="s">
        <v>22</v>
      </c>
      <c r="K119" s="30">
        <v>40.8827666667</v>
      </c>
      <c r="L119" s="30">
        <v>72.008274999999998</v>
      </c>
      <c r="M119" s="14">
        <v>250</v>
      </c>
    </row>
    <row r="120" spans="1:13" ht="30" customHeight="1">
      <c r="A120" s="5" t="s">
        <v>30</v>
      </c>
      <c r="B120" s="30" t="s">
        <v>390</v>
      </c>
      <c r="C120" s="30" t="s">
        <v>222</v>
      </c>
      <c r="D120" s="27">
        <v>28859.407654111186</v>
      </c>
      <c r="E120" s="27">
        <v>12147.729531961442</v>
      </c>
      <c r="F120" s="27">
        <f t="shared" si="3"/>
        <v>16711.678122149744</v>
      </c>
      <c r="G120" s="27">
        <f t="shared" si="2"/>
        <v>57.907211133521201</v>
      </c>
      <c r="H120" s="29">
        <v>81</v>
      </c>
      <c r="I120" s="29">
        <v>5</v>
      </c>
      <c r="J120" s="12" t="s">
        <v>22</v>
      </c>
      <c r="K120" s="30">
        <v>40.851415000000003</v>
      </c>
      <c r="L120" s="30">
        <v>72.131756666699999</v>
      </c>
      <c r="M120" s="14">
        <v>63</v>
      </c>
    </row>
    <row r="121" spans="1:13" ht="30" customHeight="1">
      <c r="A121" s="5" t="s">
        <v>30</v>
      </c>
      <c r="B121" s="30" t="s">
        <v>392</v>
      </c>
      <c r="C121" s="30" t="s">
        <v>223</v>
      </c>
      <c r="D121" s="27">
        <v>29034.435844111184</v>
      </c>
      <c r="E121" s="27">
        <v>12308.553531961445</v>
      </c>
      <c r="F121" s="27">
        <f t="shared" si="3"/>
        <v>16725.882312149741</v>
      </c>
      <c r="G121" s="27">
        <f t="shared" si="2"/>
        <v>57.607051164874328</v>
      </c>
      <c r="H121" s="29">
        <v>105</v>
      </c>
      <c r="I121" s="29">
        <v>5</v>
      </c>
      <c r="J121" s="12" t="s">
        <v>22</v>
      </c>
      <c r="K121" s="30">
        <v>40.833135628299999</v>
      </c>
      <c r="L121" s="30">
        <v>72.203557438199994</v>
      </c>
      <c r="M121" s="14">
        <v>100</v>
      </c>
    </row>
    <row r="122" spans="1:13" ht="30" customHeight="1">
      <c r="A122" s="5" t="s">
        <v>30</v>
      </c>
      <c r="B122" s="30" t="s">
        <v>392</v>
      </c>
      <c r="C122" s="30" t="s">
        <v>224</v>
      </c>
      <c r="D122" s="27">
        <v>28247.857034111188</v>
      </c>
      <c r="E122" s="27">
        <v>11613.971865294774</v>
      </c>
      <c r="F122" s="27">
        <f t="shared" si="3"/>
        <v>16633.885168816414</v>
      </c>
      <c r="G122" s="27">
        <f t="shared" si="2"/>
        <v>58.885476334469828</v>
      </c>
      <c r="H122" s="29">
        <v>83</v>
      </c>
      <c r="I122" s="29">
        <v>3</v>
      </c>
      <c r="J122" s="12" t="s">
        <v>43</v>
      </c>
      <c r="K122" s="30">
        <v>40.830279691100003</v>
      </c>
      <c r="L122" s="30">
        <v>72.204835088899998</v>
      </c>
      <c r="M122" s="14">
        <v>250</v>
      </c>
    </row>
    <row r="123" spans="1:13" ht="30" customHeight="1">
      <c r="A123" s="5" t="s">
        <v>30</v>
      </c>
      <c r="B123" s="30" t="s">
        <v>392</v>
      </c>
      <c r="C123" s="30" t="s">
        <v>225</v>
      </c>
      <c r="D123" s="27">
        <v>32836.494164111187</v>
      </c>
      <c r="E123" s="27">
        <v>15809.324198628108</v>
      </c>
      <c r="F123" s="27">
        <f t="shared" si="3"/>
        <v>17027.169965483081</v>
      </c>
      <c r="G123" s="27">
        <f t="shared" si="2"/>
        <v>51.854408940199875</v>
      </c>
      <c r="H123" s="29">
        <v>74</v>
      </c>
      <c r="I123" s="29">
        <v>4</v>
      </c>
      <c r="J123" s="12" t="s">
        <v>31</v>
      </c>
      <c r="K123" s="30">
        <v>40.838736666700001</v>
      </c>
      <c r="L123" s="30">
        <v>72.234039999999993</v>
      </c>
      <c r="M123" s="20">
        <v>180</v>
      </c>
    </row>
    <row r="124" spans="1:13" ht="30" customHeight="1">
      <c r="A124" s="5" t="s">
        <v>30</v>
      </c>
      <c r="B124" s="30" t="s">
        <v>388</v>
      </c>
      <c r="C124" s="30" t="s">
        <v>226</v>
      </c>
      <c r="D124" s="27">
        <v>33230.612934111188</v>
      </c>
      <c r="E124" s="27">
        <v>15970.773865294779</v>
      </c>
      <c r="F124" s="27">
        <f t="shared" si="3"/>
        <v>17259.839068816407</v>
      </c>
      <c r="G124" s="27">
        <f t="shared" si="2"/>
        <v>51.939574822284428</v>
      </c>
      <c r="H124" s="29">
        <v>86</v>
      </c>
      <c r="I124" s="29">
        <v>5</v>
      </c>
      <c r="J124" s="12" t="s">
        <v>31</v>
      </c>
      <c r="K124" s="30">
        <v>40.8765683333</v>
      </c>
      <c r="L124" s="30">
        <v>71.988531666699998</v>
      </c>
      <c r="M124" s="20">
        <v>400</v>
      </c>
    </row>
    <row r="125" spans="1:13" ht="30" customHeight="1">
      <c r="A125" s="5" t="s">
        <v>30</v>
      </c>
      <c r="B125" s="30" t="s">
        <v>390</v>
      </c>
      <c r="C125" s="30" t="s">
        <v>227</v>
      </c>
      <c r="D125" s="27">
        <v>29501.457734111187</v>
      </c>
      <c r="E125" s="27">
        <v>12908.842365294775</v>
      </c>
      <c r="F125" s="27">
        <f t="shared" si="3"/>
        <v>16592.615368816412</v>
      </c>
      <c r="G125" s="27">
        <f t="shared" si="2"/>
        <v>56.24337454223874</v>
      </c>
      <c r="H125" s="29">
        <v>93</v>
      </c>
      <c r="I125" s="29">
        <v>3</v>
      </c>
      <c r="J125" s="12" t="s">
        <v>44</v>
      </c>
      <c r="K125" s="30">
        <v>40.813206666600003</v>
      </c>
      <c r="L125" s="30">
        <v>72.109205000000003</v>
      </c>
      <c r="M125" s="14">
        <v>160</v>
      </c>
    </row>
    <row r="126" spans="1:13" ht="30" customHeight="1">
      <c r="A126" s="5" t="s">
        <v>30</v>
      </c>
      <c r="B126" s="30" t="s">
        <v>390</v>
      </c>
      <c r="C126" s="30" t="s">
        <v>228</v>
      </c>
      <c r="D126" s="27">
        <v>74302.138014111173</v>
      </c>
      <c r="E126" s="27">
        <v>51896.173198628101</v>
      </c>
      <c r="F126" s="27">
        <f t="shared" si="3"/>
        <v>22405.964815483072</v>
      </c>
      <c r="G126" s="27">
        <f t="shared" si="2"/>
        <v>30.155208738714645</v>
      </c>
      <c r="H126" s="29">
        <v>60</v>
      </c>
      <c r="I126" s="29">
        <v>5</v>
      </c>
      <c r="J126" s="12" t="s">
        <v>44</v>
      </c>
      <c r="K126" s="30">
        <v>40.849451666699998</v>
      </c>
      <c r="L126" s="30">
        <v>72.135064999999997</v>
      </c>
      <c r="M126" s="22">
        <v>160</v>
      </c>
    </row>
    <row r="127" spans="1:13" ht="30" customHeight="1">
      <c r="A127" s="5" t="s">
        <v>30</v>
      </c>
      <c r="B127" s="30" t="s">
        <v>390</v>
      </c>
      <c r="C127" s="30" t="s">
        <v>229</v>
      </c>
      <c r="D127" s="27">
        <v>27753.485854111183</v>
      </c>
      <c r="E127" s="27">
        <v>11268.643865294776</v>
      </c>
      <c r="F127" s="27">
        <f t="shared" si="3"/>
        <v>16484.841988816406</v>
      </c>
      <c r="G127" s="27">
        <f t="shared" si="2"/>
        <v>59.397374713470349</v>
      </c>
      <c r="H127" s="29">
        <v>38</v>
      </c>
      <c r="I127" s="29">
        <v>5</v>
      </c>
      <c r="J127" s="12" t="s">
        <v>44</v>
      </c>
      <c r="K127" s="30">
        <v>40.845351666699997</v>
      </c>
      <c r="L127" s="30">
        <v>72.155680000000004</v>
      </c>
      <c r="M127" s="14">
        <v>160</v>
      </c>
    </row>
    <row r="128" spans="1:13" ht="30" customHeight="1">
      <c r="A128" s="5" t="s">
        <v>30</v>
      </c>
      <c r="B128" s="30" t="s">
        <v>390</v>
      </c>
      <c r="C128" s="30" t="s">
        <v>230</v>
      </c>
      <c r="D128" s="27">
        <v>27023.69907411118</v>
      </c>
      <c r="E128" s="27">
        <v>10528.221698628109</v>
      </c>
      <c r="F128" s="27">
        <f t="shared" si="3"/>
        <v>16495.477375483071</v>
      </c>
      <c r="G128" s="27">
        <f t="shared" si="2"/>
        <v>61.040782500741393</v>
      </c>
      <c r="H128" s="29">
        <v>37</v>
      </c>
      <c r="I128" s="29">
        <v>4</v>
      </c>
      <c r="J128" s="12" t="s">
        <v>41</v>
      </c>
      <c r="K128" s="30">
        <v>40.847826666700001</v>
      </c>
      <c r="L128" s="30">
        <v>72.157156666700004</v>
      </c>
      <c r="M128" s="22">
        <v>160</v>
      </c>
    </row>
    <row r="129" spans="1:13" ht="30" customHeight="1">
      <c r="A129" s="5" t="s">
        <v>30</v>
      </c>
      <c r="B129" s="30" t="s">
        <v>390</v>
      </c>
      <c r="C129" s="30" t="s">
        <v>231</v>
      </c>
      <c r="D129" s="27">
        <v>31450.713604111184</v>
      </c>
      <c r="E129" s="27">
        <v>14637.198031961441</v>
      </c>
      <c r="F129" s="27">
        <f t="shared" si="3"/>
        <v>16813.515572149743</v>
      </c>
      <c r="G129" s="27">
        <f t="shared" si="2"/>
        <v>53.459885787621396</v>
      </c>
      <c r="H129" s="29">
        <v>155</v>
      </c>
      <c r="I129" s="29">
        <v>4</v>
      </c>
      <c r="J129" s="12" t="s">
        <v>41</v>
      </c>
      <c r="K129" s="30">
        <v>40.850563333300002</v>
      </c>
      <c r="L129" s="30">
        <v>72.157133333299996</v>
      </c>
      <c r="M129" s="14">
        <v>160</v>
      </c>
    </row>
    <row r="130" spans="1:13" ht="30" customHeight="1">
      <c r="A130" s="5" t="s">
        <v>30</v>
      </c>
      <c r="B130" s="30" t="s">
        <v>384</v>
      </c>
      <c r="C130" s="30" t="s">
        <v>96</v>
      </c>
      <c r="D130" s="27">
        <v>36301.102684111189</v>
      </c>
      <c r="E130" s="27">
        <v>18880.758031961446</v>
      </c>
      <c r="F130" s="27">
        <f t="shared" si="3"/>
        <v>17420.344652149743</v>
      </c>
      <c r="G130" s="27">
        <f t="shared" si="2"/>
        <v>47.988472426691708</v>
      </c>
      <c r="H130" s="29">
        <v>93</v>
      </c>
      <c r="I130" s="29">
        <v>4</v>
      </c>
      <c r="J130" s="12" t="s">
        <v>41</v>
      </c>
      <c r="K130" s="30">
        <v>40.876168333300001</v>
      </c>
      <c r="L130" s="30">
        <v>71.945710000000005</v>
      </c>
      <c r="M130" s="14">
        <v>250</v>
      </c>
    </row>
    <row r="131" spans="1:13" ht="30" customHeight="1">
      <c r="A131" s="5" t="s">
        <v>30</v>
      </c>
      <c r="B131" s="30" t="s">
        <v>392</v>
      </c>
      <c r="C131" s="30" t="s">
        <v>232</v>
      </c>
      <c r="D131" s="27">
        <v>58368.264724111192</v>
      </c>
      <c r="E131" s="27">
        <v>37957.058865294777</v>
      </c>
      <c r="F131" s="27">
        <f t="shared" si="3"/>
        <v>20411.205858816415</v>
      </c>
      <c r="G131" s="27">
        <f t="shared" ref="G131:G194" si="4">+F131*100/D131</f>
        <v>34.969697926251357</v>
      </c>
      <c r="H131" s="29">
        <v>48</v>
      </c>
      <c r="I131" s="29">
        <v>3</v>
      </c>
      <c r="J131" s="12" t="s">
        <v>41</v>
      </c>
      <c r="K131" s="30">
        <v>40.833511839099998</v>
      </c>
      <c r="L131" s="30">
        <v>72.151867640199995</v>
      </c>
      <c r="M131" s="14">
        <v>160</v>
      </c>
    </row>
    <row r="132" spans="1:13" ht="30" customHeight="1">
      <c r="A132" s="5" t="s">
        <v>30</v>
      </c>
      <c r="B132" s="30" t="s">
        <v>392</v>
      </c>
      <c r="C132" s="30" t="s">
        <v>233</v>
      </c>
      <c r="D132" s="27">
        <v>27358.140824111186</v>
      </c>
      <c r="E132" s="27">
        <v>10820.180531961441</v>
      </c>
      <c r="F132" s="27">
        <f t="shared" si="3"/>
        <v>16537.960292149743</v>
      </c>
      <c r="G132" s="27">
        <f t="shared" si="4"/>
        <v>60.449869011473773</v>
      </c>
      <c r="H132" s="29">
        <v>48</v>
      </c>
      <c r="I132" s="29">
        <v>3</v>
      </c>
      <c r="J132" s="12" t="s">
        <v>41</v>
      </c>
      <c r="K132" s="30">
        <v>40.829519256700003</v>
      </c>
      <c r="L132" s="30">
        <v>72.156100756300006</v>
      </c>
      <c r="M132" s="14">
        <v>160</v>
      </c>
    </row>
    <row r="133" spans="1:13" ht="30" customHeight="1">
      <c r="A133" s="5" t="s">
        <v>30</v>
      </c>
      <c r="B133" s="30" t="s">
        <v>388</v>
      </c>
      <c r="C133" s="30" t="s">
        <v>234</v>
      </c>
      <c r="D133" s="27">
        <v>32206.553764111184</v>
      </c>
      <c r="E133" s="27">
        <v>15078.039698628112</v>
      </c>
      <c r="F133" s="27">
        <f t="shared" ref="F133:F196" si="5">+D133-E133</f>
        <v>17128.514065483072</v>
      </c>
      <c r="G133" s="27">
        <f t="shared" si="4"/>
        <v>53.183318497646702</v>
      </c>
      <c r="H133" s="29">
        <v>111</v>
      </c>
      <c r="I133" s="29">
        <v>3</v>
      </c>
      <c r="J133" s="12" t="s">
        <v>43</v>
      </c>
      <c r="K133" s="30">
        <v>40.876078333300001</v>
      </c>
      <c r="L133" s="30">
        <v>71.987033333300005</v>
      </c>
      <c r="M133" s="14">
        <v>40</v>
      </c>
    </row>
    <row r="134" spans="1:13" ht="30" customHeight="1">
      <c r="A134" s="5" t="s">
        <v>30</v>
      </c>
      <c r="B134" s="30" t="s">
        <v>391</v>
      </c>
      <c r="C134" s="30" t="s">
        <v>235</v>
      </c>
      <c r="D134" s="27">
        <v>35093.035434111189</v>
      </c>
      <c r="E134" s="27">
        <v>17590.573031961449</v>
      </c>
      <c r="F134" s="27">
        <f t="shared" si="5"/>
        <v>17502.46240214974</v>
      </c>
      <c r="G134" s="27">
        <f t="shared" si="4"/>
        <v>49.874461372859663</v>
      </c>
      <c r="H134" s="29">
        <v>142</v>
      </c>
      <c r="I134" s="29">
        <v>5</v>
      </c>
      <c r="J134" s="12" t="s">
        <v>43</v>
      </c>
      <c r="K134" s="30">
        <v>40.846466666700003</v>
      </c>
      <c r="L134" s="30">
        <v>72.057214999999999</v>
      </c>
      <c r="M134" s="14">
        <v>160</v>
      </c>
    </row>
    <row r="135" spans="1:13" ht="30" customHeight="1">
      <c r="A135" s="5" t="s">
        <v>30</v>
      </c>
      <c r="B135" s="30" t="s">
        <v>389</v>
      </c>
      <c r="C135" s="30" t="s">
        <v>236</v>
      </c>
      <c r="D135" s="27">
        <v>31826.520604111189</v>
      </c>
      <c r="E135" s="27">
        <v>14734.012031961445</v>
      </c>
      <c r="F135" s="27">
        <f t="shared" si="5"/>
        <v>17092.508572149745</v>
      </c>
      <c r="G135" s="27">
        <f t="shared" si="4"/>
        <v>53.705237794488355</v>
      </c>
      <c r="H135" s="29">
        <v>62</v>
      </c>
      <c r="I135" s="29">
        <v>5</v>
      </c>
      <c r="J135" s="12"/>
      <c r="K135" s="30">
        <v>40.877453333299997</v>
      </c>
      <c r="L135" s="30">
        <v>72.071951666700002</v>
      </c>
      <c r="M135" s="14">
        <v>160</v>
      </c>
    </row>
    <row r="136" spans="1:13" ht="30" customHeight="1">
      <c r="A136" s="5" t="s">
        <v>30</v>
      </c>
      <c r="B136" s="30" t="s">
        <v>391</v>
      </c>
      <c r="C136" s="30" t="s">
        <v>237</v>
      </c>
      <c r="D136" s="27">
        <v>36405.542454111186</v>
      </c>
      <c r="E136" s="28">
        <v>19191.348031961443</v>
      </c>
      <c r="F136" s="27">
        <f t="shared" si="5"/>
        <v>17214.194422149743</v>
      </c>
      <c r="G136" s="27">
        <f t="shared" si="4"/>
        <v>47.284543126498008</v>
      </c>
      <c r="H136" s="29">
        <v>89</v>
      </c>
      <c r="I136" s="29">
        <v>6</v>
      </c>
      <c r="J136" s="12" t="s">
        <v>27</v>
      </c>
      <c r="K136" s="30">
        <v>40.849350000000001</v>
      </c>
      <c r="L136" s="30">
        <v>72.064971666700004</v>
      </c>
      <c r="M136" s="14">
        <v>100</v>
      </c>
    </row>
    <row r="137" spans="1:13" ht="30" customHeight="1">
      <c r="A137" s="5" t="s">
        <v>30</v>
      </c>
      <c r="B137" s="30" t="s">
        <v>391</v>
      </c>
      <c r="C137" s="30" t="s">
        <v>238</v>
      </c>
      <c r="D137" s="27">
        <v>32429.849364111185</v>
      </c>
      <c r="E137" s="28">
        <v>15713.051365294776</v>
      </c>
      <c r="F137" s="27">
        <f t="shared" si="5"/>
        <v>16716.797998816408</v>
      </c>
      <c r="G137" s="27">
        <f t="shared" si="4"/>
        <v>51.547565981962961</v>
      </c>
      <c r="H137" s="29">
        <v>38</v>
      </c>
      <c r="I137" s="29">
        <v>3</v>
      </c>
      <c r="J137" s="12" t="s">
        <v>27</v>
      </c>
      <c r="K137" s="30">
        <v>40.843751666700001</v>
      </c>
      <c r="L137" s="30">
        <v>72.084658333299998</v>
      </c>
      <c r="M137" s="14">
        <v>160</v>
      </c>
    </row>
    <row r="138" spans="1:13" ht="30" customHeight="1">
      <c r="A138" s="5" t="s">
        <v>30</v>
      </c>
      <c r="B138" s="30" t="s">
        <v>391</v>
      </c>
      <c r="C138" s="30" t="s">
        <v>239</v>
      </c>
      <c r="D138" s="27">
        <v>32350.658514111186</v>
      </c>
      <c r="E138" s="28">
        <v>15643.768031961443</v>
      </c>
      <c r="F138" s="27">
        <f t="shared" si="5"/>
        <v>16706.890482149742</v>
      </c>
      <c r="G138" s="27">
        <f t="shared" si="4"/>
        <v>51.643123353616694</v>
      </c>
      <c r="H138" s="29">
        <v>146</v>
      </c>
      <c r="I138" s="29">
        <v>4</v>
      </c>
      <c r="J138" s="12" t="s">
        <v>41</v>
      </c>
      <c r="K138" s="30">
        <v>40.822108333300001</v>
      </c>
      <c r="L138" s="30">
        <v>72.138861666699995</v>
      </c>
      <c r="M138" s="14">
        <v>400</v>
      </c>
    </row>
    <row r="139" spans="1:13" ht="30" customHeight="1">
      <c r="A139" s="5" t="s">
        <v>30</v>
      </c>
      <c r="B139" s="30" t="s">
        <v>391</v>
      </c>
      <c r="C139" s="30" t="s">
        <v>240</v>
      </c>
      <c r="D139" s="27">
        <v>35029.938144111184</v>
      </c>
      <c r="E139" s="28">
        <v>17987.844698628109</v>
      </c>
      <c r="F139" s="27">
        <f t="shared" si="5"/>
        <v>17042.093445483075</v>
      </c>
      <c r="G139" s="27">
        <f t="shared" si="4"/>
        <v>48.650081468522345</v>
      </c>
      <c r="H139" s="29">
        <v>52</v>
      </c>
      <c r="I139" s="29">
        <v>3</v>
      </c>
      <c r="J139" s="12" t="s">
        <v>42</v>
      </c>
      <c r="K139" s="30">
        <v>40.845888333300003</v>
      </c>
      <c r="L139" s="30">
        <v>72.078975</v>
      </c>
      <c r="M139" s="14">
        <v>40</v>
      </c>
    </row>
    <row r="140" spans="1:13" ht="30" customHeight="1">
      <c r="A140" s="5" t="s">
        <v>30</v>
      </c>
      <c r="B140" s="30" t="s">
        <v>391</v>
      </c>
      <c r="C140" s="30" t="s">
        <v>241</v>
      </c>
      <c r="D140" s="27">
        <v>36795.591204111188</v>
      </c>
      <c r="E140" s="28">
        <v>19532.598031961443</v>
      </c>
      <c r="F140" s="27">
        <f t="shared" si="5"/>
        <v>17262.993172149745</v>
      </c>
      <c r="G140" s="27">
        <f t="shared" si="4"/>
        <v>46.915928259962143</v>
      </c>
      <c r="H140" s="29">
        <v>136</v>
      </c>
      <c r="I140" s="29">
        <v>6</v>
      </c>
      <c r="J140" s="12" t="s">
        <v>27</v>
      </c>
      <c r="K140" s="30">
        <v>40.831020376700003</v>
      </c>
      <c r="L140" s="30">
        <v>72.119740415600006</v>
      </c>
      <c r="M140" s="14">
        <v>100</v>
      </c>
    </row>
    <row r="141" spans="1:13" ht="30" customHeight="1">
      <c r="A141" s="5" t="s">
        <v>30</v>
      </c>
      <c r="B141" s="30" t="s">
        <v>391</v>
      </c>
      <c r="C141" s="30" t="s">
        <v>242</v>
      </c>
      <c r="D141" s="27">
        <v>32281.968024111186</v>
      </c>
      <c r="E141" s="28">
        <v>15583.671365294775</v>
      </c>
      <c r="F141" s="27">
        <f t="shared" si="5"/>
        <v>16698.296658816413</v>
      </c>
      <c r="G141" s="27">
        <f t="shared" si="4"/>
        <v>51.726389934915261</v>
      </c>
      <c r="H141" s="29">
        <v>132</v>
      </c>
      <c r="I141" s="29">
        <v>4</v>
      </c>
      <c r="J141" s="12" t="s">
        <v>44</v>
      </c>
      <c r="K141" s="30">
        <v>40.8254529031</v>
      </c>
      <c r="L141" s="30">
        <v>72.125863367899996</v>
      </c>
      <c r="M141" s="14">
        <v>100</v>
      </c>
    </row>
    <row r="142" spans="1:13" ht="30" customHeight="1">
      <c r="A142" s="5" t="s">
        <v>30</v>
      </c>
      <c r="B142" s="30" t="s">
        <v>391</v>
      </c>
      <c r="C142" s="30" t="s">
        <v>243</v>
      </c>
      <c r="D142" s="27">
        <v>30330.615564111184</v>
      </c>
      <c r="E142" s="28">
        <v>13876.451365294773</v>
      </c>
      <c r="F142" s="27">
        <f t="shared" si="5"/>
        <v>16454.164198816412</v>
      </c>
      <c r="G142" s="27">
        <f t="shared" si="4"/>
        <v>54.249357926931971</v>
      </c>
      <c r="H142" s="29">
        <v>54</v>
      </c>
      <c r="I142" s="29">
        <v>3</v>
      </c>
      <c r="J142" s="12" t="s">
        <v>41</v>
      </c>
      <c r="K142" s="30">
        <v>40.8212983333</v>
      </c>
      <c r="L142" s="30">
        <v>72.128469999999993</v>
      </c>
      <c r="M142" s="14">
        <v>160</v>
      </c>
    </row>
    <row r="143" spans="1:13" ht="30" customHeight="1">
      <c r="A143" s="5" t="s">
        <v>30</v>
      </c>
      <c r="B143" s="30" t="s">
        <v>391</v>
      </c>
      <c r="C143" s="30" t="s">
        <v>244</v>
      </c>
      <c r="D143" s="27">
        <v>33458.496024111184</v>
      </c>
      <c r="E143" s="28">
        <v>16613.004698628109</v>
      </c>
      <c r="F143" s="27">
        <f t="shared" si="5"/>
        <v>16845.491325483075</v>
      </c>
      <c r="G143" s="27">
        <f t="shared" si="4"/>
        <v>50.347425399347642</v>
      </c>
      <c r="H143" s="29">
        <v>58</v>
      </c>
      <c r="I143" s="29">
        <v>3</v>
      </c>
      <c r="J143" s="12" t="s">
        <v>31</v>
      </c>
      <c r="K143" s="30">
        <v>40.817111666700001</v>
      </c>
      <c r="L143" s="30">
        <v>72.1181916667</v>
      </c>
      <c r="M143" s="14">
        <v>63</v>
      </c>
    </row>
    <row r="144" spans="1:13" ht="30" customHeight="1">
      <c r="A144" s="5" t="s">
        <v>30</v>
      </c>
      <c r="B144" s="30" t="s">
        <v>391</v>
      </c>
      <c r="C144" s="30" t="s">
        <v>245</v>
      </c>
      <c r="D144" s="27">
        <v>33163.045764111186</v>
      </c>
      <c r="E144" s="28">
        <v>16354.518031961443</v>
      </c>
      <c r="F144" s="27">
        <f t="shared" si="5"/>
        <v>16808.527732149741</v>
      </c>
      <c r="G144" s="27">
        <f t="shared" si="4"/>
        <v>50.684511464082142</v>
      </c>
      <c r="H144" s="29">
        <v>63</v>
      </c>
      <c r="I144" s="29">
        <v>6</v>
      </c>
      <c r="J144" s="12" t="s">
        <v>41</v>
      </c>
      <c r="K144" s="30">
        <v>40.820258333300004</v>
      </c>
      <c r="L144" s="30">
        <v>72.133414999999999</v>
      </c>
      <c r="M144" s="14">
        <v>100</v>
      </c>
    </row>
    <row r="145" spans="1:13" ht="30" customHeight="1">
      <c r="A145" s="5" t="s">
        <v>30</v>
      </c>
      <c r="B145" s="30" t="s">
        <v>391</v>
      </c>
      <c r="C145" s="30" t="s">
        <v>246</v>
      </c>
      <c r="D145" s="27">
        <v>32989.153554111188</v>
      </c>
      <c r="E145" s="28">
        <v>16202.381365294774</v>
      </c>
      <c r="F145" s="27">
        <f t="shared" si="5"/>
        <v>16786.772188816416</v>
      </c>
      <c r="G145" s="27">
        <f t="shared" si="4"/>
        <v>50.885731764173762</v>
      </c>
      <c r="H145" s="29">
        <v>33</v>
      </c>
      <c r="I145" s="29">
        <v>6</v>
      </c>
      <c r="J145" s="12" t="s">
        <v>22</v>
      </c>
      <c r="K145" s="30">
        <v>40.8469716667</v>
      </c>
      <c r="L145" s="30">
        <v>72.074391666699995</v>
      </c>
      <c r="M145" s="14">
        <v>160</v>
      </c>
    </row>
    <row r="146" spans="1:13" ht="30" customHeight="1">
      <c r="A146" s="5" t="s">
        <v>30</v>
      </c>
      <c r="B146" s="30" t="s">
        <v>392</v>
      </c>
      <c r="C146" s="30" t="s">
        <v>247</v>
      </c>
      <c r="D146" s="27">
        <v>32217.822864111185</v>
      </c>
      <c r="E146" s="28">
        <v>15527.551365294776</v>
      </c>
      <c r="F146" s="27">
        <f t="shared" si="5"/>
        <v>16690.271498816408</v>
      </c>
      <c r="G146" s="27">
        <f t="shared" si="4"/>
        <v>51.804467264013731</v>
      </c>
      <c r="H146" s="29">
        <v>28</v>
      </c>
      <c r="I146" s="29">
        <v>6</v>
      </c>
      <c r="J146" s="12" t="s">
        <v>31</v>
      </c>
      <c r="K146" s="30">
        <v>40.820270000000001</v>
      </c>
      <c r="L146" s="30">
        <v>72.169821666700003</v>
      </c>
      <c r="M146" s="14">
        <v>160</v>
      </c>
    </row>
    <row r="147" spans="1:13" ht="30" customHeight="1">
      <c r="A147" s="5" t="s">
        <v>45</v>
      </c>
      <c r="B147" s="30" t="s">
        <v>392</v>
      </c>
      <c r="C147" s="30" t="s">
        <v>248</v>
      </c>
      <c r="D147" s="27">
        <v>31101.851004111188</v>
      </c>
      <c r="E147" s="28">
        <v>14551.198031961443</v>
      </c>
      <c r="F147" s="27">
        <f t="shared" si="5"/>
        <v>16550.652972149743</v>
      </c>
      <c r="G147" s="27">
        <f t="shared" si="4"/>
        <v>53.214366469577648</v>
      </c>
      <c r="H147" s="29">
        <v>57</v>
      </c>
      <c r="I147" s="29">
        <v>3</v>
      </c>
      <c r="J147" s="12" t="s">
        <v>46</v>
      </c>
      <c r="K147" s="30">
        <v>40.834253333299998</v>
      </c>
      <c r="L147" s="30">
        <v>72.203491666700003</v>
      </c>
      <c r="M147" s="20">
        <v>100</v>
      </c>
    </row>
    <row r="148" spans="1:13" ht="30" customHeight="1">
      <c r="A148" s="5" t="s">
        <v>45</v>
      </c>
      <c r="B148" s="30" t="s">
        <v>392</v>
      </c>
      <c r="C148" s="30" t="s">
        <v>249</v>
      </c>
      <c r="D148" s="27">
        <v>41099.340534111187</v>
      </c>
      <c r="E148" s="28">
        <v>23297.908031961448</v>
      </c>
      <c r="F148" s="27">
        <f t="shared" si="5"/>
        <v>17801.432502149739</v>
      </c>
      <c r="G148" s="27">
        <f t="shared" si="4"/>
        <v>43.313182817070015</v>
      </c>
      <c r="H148" s="29">
        <v>98</v>
      </c>
      <c r="I148" s="29">
        <v>6</v>
      </c>
      <c r="J148" s="12" t="s">
        <v>46</v>
      </c>
      <c r="K148" s="30">
        <v>40.837441666700002</v>
      </c>
      <c r="L148" s="30">
        <v>72.2019633333</v>
      </c>
      <c r="M148" s="20">
        <v>100</v>
      </c>
    </row>
    <row r="149" spans="1:13" ht="30" customHeight="1">
      <c r="A149" s="5" t="s">
        <v>45</v>
      </c>
      <c r="B149" s="30" t="s">
        <v>392</v>
      </c>
      <c r="C149" s="30" t="s">
        <v>250</v>
      </c>
      <c r="D149" s="27">
        <v>39553.474944111185</v>
      </c>
      <c r="E149" s="28">
        <v>21945.444698628111</v>
      </c>
      <c r="F149" s="27">
        <f t="shared" si="5"/>
        <v>17608.030245483074</v>
      </c>
      <c r="G149" s="27">
        <f t="shared" si="4"/>
        <v>44.517024788247085</v>
      </c>
      <c r="H149" s="29">
        <v>114</v>
      </c>
      <c r="I149" s="29">
        <v>3</v>
      </c>
      <c r="J149" s="12" t="s">
        <v>47</v>
      </c>
      <c r="K149" s="30">
        <v>40.832535</v>
      </c>
      <c r="L149" s="30">
        <v>72.175714999999997</v>
      </c>
      <c r="M149" s="20">
        <v>160</v>
      </c>
    </row>
    <row r="150" spans="1:13" ht="30" customHeight="1">
      <c r="A150" s="5" t="s">
        <v>45</v>
      </c>
      <c r="B150" s="30" t="s">
        <v>385</v>
      </c>
      <c r="C150" s="30" t="s">
        <v>251</v>
      </c>
      <c r="D150" s="27">
        <v>35655.361074111184</v>
      </c>
      <c r="E150" s="28">
        <v>18535.021365294775</v>
      </c>
      <c r="F150" s="27">
        <f t="shared" si="5"/>
        <v>17120.339708816409</v>
      </c>
      <c r="G150" s="27">
        <f t="shared" si="4"/>
        <v>48.016172584064023</v>
      </c>
      <c r="H150" s="29">
        <v>65</v>
      </c>
      <c r="I150" s="29">
        <v>3</v>
      </c>
      <c r="J150" s="12" t="s">
        <v>47</v>
      </c>
      <c r="K150" s="30">
        <v>40.862508333299999</v>
      </c>
      <c r="L150" s="30">
        <v>72.001638333299994</v>
      </c>
      <c r="M150" s="20">
        <v>63</v>
      </c>
    </row>
    <row r="151" spans="1:13" ht="30" customHeight="1">
      <c r="A151" s="5" t="s">
        <v>45</v>
      </c>
      <c r="B151" s="30" t="s">
        <v>387</v>
      </c>
      <c r="C151" s="30" t="s">
        <v>252</v>
      </c>
      <c r="D151" s="27">
        <v>35858.365494111189</v>
      </c>
      <c r="E151" s="28">
        <v>18712.628031961445</v>
      </c>
      <c r="F151" s="27">
        <f t="shared" si="5"/>
        <v>17145.737462149744</v>
      </c>
      <c r="G151" s="27">
        <f t="shared" si="4"/>
        <v>47.815167328152448</v>
      </c>
      <c r="H151" s="29">
        <v>78</v>
      </c>
      <c r="I151" s="29">
        <v>3</v>
      </c>
      <c r="J151" s="12" t="s">
        <v>46</v>
      </c>
      <c r="K151" s="30">
        <v>40.881864999999998</v>
      </c>
      <c r="L151" s="30">
        <v>71.974893333300002</v>
      </c>
      <c r="M151" s="20">
        <v>250</v>
      </c>
    </row>
    <row r="152" spans="1:13" ht="30" customHeight="1">
      <c r="A152" s="5" t="s">
        <v>45</v>
      </c>
      <c r="B152" s="30" t="s">
        <v>387</v>
      </c>
      <c r="C152" s="30" t="s">
        <v>253</v>
      </c>
      <c r="D152" s="27">
        <v>34103.570934111187</v>
      </c>
      <c r="E152" s="28">
        <v>17177.374698628111</v>
      </c>
      <c r="F152" s="27">
        <f t="shared" si="5"/>
        <v>16926.196235483076</v>
      </c>
      <c r="G152" s="27">
        <f t="shared" si="4"/>
        <v>49.63174169703472</v>
      </c>
      <c r="H152" s="29">
        <v>50</v>
      </c>
      <c r="I152" s="29">
        <v>3</v>
      </c>
      <c r="J152" s="12" t="s">
        <v>47</v>
      </c>
      <c r="K152" s="30">
        <v>40.871471666700003</v>
      </c>
      <c r="L152" s="30">
        <v>71.970541666700001</v>
      </c>
      <c r="M152" s="20">
        <v>63</v>
      </c>
    </row>
    <row r="153" spans="1:13" ht="30" customHeight="1">
      <c r="A153" s="5" t="s">
        <v>45</v>
      </c>
      <c r="B153" s="30" t="s">
        <v>391</v>
      </c>
      <c r="C153" s="30" t="s">
        <v>254</v>
      </c>
      <c r="D153" s="27">
        <v>40460.430204111188</v>
      </c>
      <c r="E153" s="28">
        <v>22738.931365294779</v>
      </c>
      <c r="F153" s="27">
        <f t="shared" si="5"/>
        <v>17721.498838816409</v>
      </c>
      <c r="G153" s="27">
        <f t="shared" si="4"/>
        <v>43.799580848291932</v>
      </c>
      <c r="H153" s="29">
        <v>135</v>
      </c>
      <c r="I153" s="29">
        <v>6</v>
      </c>
      <c r="J153" s="12" t="s">
        <v>47</v>
      </c>
      <c r="K153" s="30">
        <v>40.847968333300003</v>
      </c>
      <c r="L153" s="30">
        <v>72.039503333300004</v>
      </c>
      <c r="M153" s="20">
        <v>100</v>
      </c>
    </row>
    <row r="154" spans="1:13" ht="30" customHeight="1">
      <c r="A154" s="5" t="s">
        <v>45</v>
      </c>
      <c r="B154" s="30" t="s">
        <v>391</v>
      </c>
      <c r="C154" s="30" t="s">
        <v>255</v>
      </c>
      <c r="D154" s="27">
        <v>33974.000454111185</v>
      </c>
      <c r="E154" s="28">
        <v>17064.014698628111</v>
      </c>
      <c r="F154" s="27">
        <f t="shared" si="5"/>
        <v>16909.985755483074</v>
      </c>
      <c r="G154" s="27">
        <f t="shared" si="4"/>
        <v>49.773313502845973</v>
      </c>
      <c r="H154" s="29">
        <v>89</v>
      </c>
      <c r="I154" s="29">
        <v>3</v>
      </c>
      <c r="J154" s="12" t="s">
        <v>47</v>
      </c>
      <c r="K154" s="30">
        <v>40.817636666699997</v>
      </c>
      <c r="L154" s="30">
        <v>72.128388333299995</v>
      </c>
      <c r="M154" s="20">
        <v>100</v>
      </c>
    </row>
    <row r="155" spans="1:13" ht="30" customHeight="1">
      <c r="A155" s="5" t="s">
        <v>45</v>
      </c>
      <c r="B155" s="30" t="s">
        <v>390</v>
      </c>
      <c r="C155" s="30" t="s">
        <v>256</v>
      </c>
      <c r="D155" s="27">
        <v>39962.69942411119</v>
      </c>
      <c r="E155" s="28">
        <v>22303.471365294779</v>
      </c>
      <c r="F155" s="27">
        <f t="shared" si="5"/>
        <v>17659.22805881641</v>
      </c>
      <c r="G155" s="27">
        <f t="shared" si="4"/>
        <v>44.189277284311409</v>
      </c>
      <c r="H155" s="29">
        <v>98</v>
      </c>
      <c r="I155" s="29">
        <v>3</v>
      </c>
      <c r="J155" s="12" t="s">
        <v>48</v>
      </c>
      <c r="K155" s="30">
        <v>40.863979999999998</v>
      </c>
      <c r="L155" s="30">
        <v>72.082644999999999</v>
      </c>
      <c r="M155" s="20">
        <v>160</v>
      </c>
    </row>
    <row r="156" spans="1:13" ht="30" customHeight="1">
      <c r="A156" s="5" t="s">
        <v>45</v>
      </c>
      <c r="B156" s="30" t="s">
        <v>388</v>
      </c>
      <c r="C156" s="30" t="s">
        <v>257</v>
      </c>
      <c r="D156" s="27">
        <v>57224.342574111179</v>
      </c>
      <c r="E156" s="28">
        <v>37405.521365294771</v>
      </c>
      <c r="F156" s="27">
        <f t="shared" si="5"/>
        <v>19818.821208816407</v>
      </c>
      <c r="G156" s="27">
        <f t="shared" si="4"/>
        <v>34.633549844891753</v>
      </c>
      <c r="H156" s="29">
        <v>114</v>
      </c>
      <c r="I156" s="29">
        <v>3</v>
      </c>
      <c r="J156" s="12" t="s">
        <v>48</v>
      </c>
      <c r="K156" s="30">
        <v>40.869881666700003</v>
      </c>
      <c r="L156" s="30">
        <v>71.981340000000003</v>
      </c>
      <c r="M156" s="20">
        <v>250</v>
      </c>
    </row>
    <row r="157" spans="1:13" ht="30" customHeight="1">
      <c r="A157" s="5" t="s">
        <v>45</v>
      </c>
      <c r="B157" s="30" t="s">
        <v>387</v>
      </c>
      <c r="C157" s="30" t="s">
        <v>258</v>
      </c>
      <c r="D157" s="27">
        <v>33301.375434111185</v>
      </c>
      <c r="E157" s="28">
        <v>16475.541365294779</v>
      </c>
      <c r="F157" s="27">
        <f t="shared" si="5"/>
        <v>16825.834068816406</v>
      </c>
      <c r="G157" s="27">
        <f t="shared" si="4"/>
        <v>50.525943296568492</v>
      </c>
      <c r="H157" s="29">
        <v>63</v>
      </c>
      <c r="I157" s="29">
        <v>3</v>
      </c>
      <c r="J157" s="12" t="s">
        <v>47</v>
      </c>
      <c r="K157" s="30">
        <v>40.883203333300003</v>
      </c>
      <c r="L157" s="30">
        <v>71.969184999999996</v>
      </c>
      <c r="M157" s="14">
        <v>100</v>
      </c>
    </row>
    <row r="158" spans="1:13" ht="30" customHeight="1">
      <c r="A158" s="5" t="s">
        <v>45</v>
      </c>
      <c r="B158" s="30" t="s">
        <v>389</v>
      </c>
      <c r="C158" s="30" t="s">
        <v>259</v>
      </c>
      <c r="D158" s="27">
        <v>32778.620574111184</v>
      </c>
      <c r="E158" s="28">
        <v>16018.188031961441</v>
      </c>
      <c r="F158" s="27">
        <f t="shared" si="5"/>
        <v>16760.432542149741</v>
      </c>
      <c r="G158" s="27">
        <f t="shared" si="4"/>
        <v>51.132208276596195</v>
      </c>
      <c r="H158" s="29">
        <v>29</v>
      </c>
      <c r="I158" s="29">
        <v>3</v>
      </c>
      <c r="J158" s="12" t="s">
        <v>49</v>
      </c>
      <c r="K158" s="30">
        <v>40.877465000000001</v>
      </c>
      <c r="L158" s="30">
        <v>72.08811</v>
      </c>
      <c r="M158" s="14">
        <v>250</v>
      </c>
    </row>
    <row r="159" spans="1:13" ht="30" customHeight="1">
      <c r="A159" s="5" t="s">
        <v>45</v>
      </c>
      <c r="B159" s="30" t="s">
        <v>387</v>
      </c>
      <c r="C159" s="30" t="s">
        <v>260</v>
      </c>
      <c r="D159" s="27">
        <v>32286.067584111188</v>
      </c>
      <c r="E159" s="28">
        <v>15587.258031961441</v>
      </c>
      <c r="F159" s="27">
        <f t="shared" si="5"/>
        <v>16698.809552149745</v>
      </c>
      <c r="G159" s="27">
        <f t="shared" si="4"/>
        <v>51.721410508251743</v>
      </c>
      <c r="H159" s="29">
        <v>47</v>
      </c>
      <c r="I159" s="29">
        <v>3</v>
      </c>
      <c r="J159" s="12" t="s">
        <v>20</v>
      </c>
      <c r="K159" s="30">
        <v>40.886789999999998</v>
      </c>
      <c r="L159" s="30">
        <v>71.967898333299999</v>
      </c>
      <c r="M159" s="14">
        <v>100</v>
      </c>
    </row>
    <row r="160" spans="1:13" ht="30" customHeight="1">
      <c r="A160" s="5" t="s">
        <v>45</v>
      </c>
      <c r="B160" s="30" t="s">
        <v>391</v>
      </c>
      <c r="C160" s="30" t="s">
        <v>261</v>
      </c>
      <c r="D160" s="27">
        <v>35656.477404111189</v>
      </c>
      <c r="E160" s="28">
        <v>18535.998031961444</v>
      </c>
      <c r="F160" s="27">
        <f t="shared" si="5"/>
        <v>17120.479372149744</v>
      </c>
      <c r="G160" s="27">
        <f t="shared" si="4"/>
        <v>48.015060989103077</v>
      </c>
      <c r="H160" s="29">
        <v>70</v>
      </c>
      <c r="I160" s="29">
        <v>4</v>
      </c>
      <c r="J160" s="12" t="s">
        <v>48</v>
      </c>
      <c r="K160" s="30">
        <v>40.813769904799997</v>
      </c>
      <c r="L160" s="30">
        <v>72.127671415400002</v>
      </c>
      <c r="M160" s="14">
        <v>100</v>
      </c>
    </row>
    <row r="161" spans="1:13" ht="30" customHeight="1">
      <c r="A161" s="5" t="s">
        <v>45</v>
      </c>
      <c r="B161" s="30" t="s">
        <v>387</v>
      </c>
      <c r="C161" s="30" t="s">
        <v>262</v>
      </c>
      <c r="D161" s="27">
        <v>32427.978654111183</v>
      </c>
      <c r="E161" s="28">
        <v>15711.41469862811</v>
      </c>
      <c r="F161" s="27">
        <f t="shared" si="5"/>
        <v>16716.56395548307</v>
      </c>
      <c r="G161" s="27">
        <f t="shared" si="4"/>
        <v>51.54981793280465</v>
      </c>
      <c r="H161" s="29">
        <v>142</v>
      </c>
      <c r="I161" s="29">
        <v>4</v>
      </c>
      <c r="J161" s="12" t="s">
        <v>29</v>
      </c>
      <c r="K161" s="30">
        <v>40.868474999999997</v>
      </c>
      <c r="L161" s="30">
        <v>71.973686666700004</v>
      </c>
      <c r="M161" s="14">
        <v>100</v>
      </c>
    </row>
    <row r="162" spans="1:13" ht="30" customHeight="1">
      <c r="A162" s="5" t="s">
        <v>45</v>
      </c>
      <c r="B162" s="30" t="s">
        <v>389</v>
      </c>
      <c r="C162" s="30" t="s">
        <v>263</v>
      </c>
      <c r="D162" s="27">
        <v>34596.325854111186</v>
      </c>
      <c r="E162" s="28">
        <v>17608.481365294778</v>
      </c>
      <c r="F162" s="27">
        <f t="shared" si="5"/>
        <v>16987.844488816409</v>
      </c>
      <c r="G162" s="27">
        <f t="shared" si="4"/>
        <v>49.103030652596573</v>
      </c>
      <c r="H162" s="29">
        <v>223</v>
      </c>
      <c r="I162" s="29">
        <v>5</v>
      </c>
      <c r="J162" s="12" t="s">
        <v>46</v>
      </c>
      <c r="K162" s="30">
        <v>40.877846666700002</v>
      </c>
      <c r="L162" s="30">
        <v>72.089301666699996</v>
      </c>
      <c r="M162" s="14">
        <v>100</v>
      </c>
    </row>
    <row r="163" spans="1:13" ht="30" customHeight="1">
      <c r="A163" s="5" t="s">
        <v>30</v>
      </c>
      <c r="B163" s="30" t="s">
        <v>392</v>
      </c>
      <c r="C163" s="30" t="s">
        <v>264</v>
      </c>
      <c r="D163" s="27">
        <v>38973.985374111187</v>
      </c>
      <c r="E163" s="28">
        <v>21438.454698628109</v>
      </c>
      <c r="F163" s="27">
        <f t="shared" si="5"/>
        <v>17535.530675483078</v>
      </c>
      <c r="G163" s="27">
        <f t="shared" si="4"/>
        <v>44.992911315482786</v>
      </c>
      <c r="H163" s="29">
        <v>81</v>
      </c>
      <c r="I163" s="29">
        <v>4</v>
      </c>
      <c r="J163" s="12" t="s">
        <v>36</v>
      </c>
      <c r="K163" s="30">
        <v>40.820733333299998</v>
      </c>
      <c r="L163" s="30">
        <v>72.163296666700006</v>
      </c>
      <c r="M163" s="20">
        <v>63</v>
      </c>
    </row>
    <row r="164" spans="1:13" ht="30" customHeight="1">
      <c r="A164" s="5" t="s">
        <v>30</v>
      </c>
      <c r="B164" s="30" t="s">
        <v>391</v>
      </c>
      <c r="C164" s="30" t="s">
        <v>265</v>
      </c>
      <c r="D164" s="27">
        <v>33813.588024111188</v>
      </c>
      <c r="E164" s="28">
        <v>16923.671365294776</v>
      </c>
      <c r="F164" s="27">
        <f t="shared" si="5"/>
        <v>16889.916658816412</v>
      </c>
      <c r="G164" s="27">
        <f t="shared" si="4"/>
        <v>49.950087067875948</v>
      </c>
      <c r="H164" s="29">
        <v>68</v>
      </c>
      <c r="I164" s="29">
        <v>4</v>
      </c>
      <c r="J164" s="12" t="s">
        <v>36</v>
      </c>
      <c r="K164" s="30">
        <v>40.852661666700001</v>
      </c>
      <c r="L164" s="30">
        <v>72.0707816667</v>
      </c>
      <c r="M164" s="20">
        <v>100</v>
      </c>
    </row>
    <row r="165" spans="1:13" ht="30" customHeight="1">
      <c r="A165" s="5" t="s">
        <v>30</v>
      </c>
      <c r="B165" s="30" t="s">
        <v>388</v>
      </c>
      <c r="C165" s="30" t="s">
        <v>266</v>
      </c>
      <c r="D165" s="27">
        <v>35439.353124111185</v>
      </c>
      <c r="E165" s="28">
        <v>18346.038031961445</v>
      </c>
      <c r="F165" s="27">
        <f t="shared" si="5"/>
        <v>17093.31509214974</v>
      </c>
      <c r="G165" s="27">
        <f t="shared" si="4"/>
        <v>48.232582102409459</v>
      </c>
      <c r="H165" s="29">
        <v>90</v>
      </c>
      <c r="I165" s="29">
        <v>3</v>
      </c>
      <c r="J165" s="12" t="s">
        <v>36</v>
      </c>
      <c r="K165" s="30">
        <v>40.877846666700002</v>
      </c>
      <c r="L165" s="30">
        <v>72.000298333299995</v>
      </c>
      <c r="M165" s="20">
        <v>100</v>
      </c>
    </row>
    <row r="166" spans="1:13" ht="30" customHeight="1">
      <c r="A166" s="5" t="s">
        <v>30</v>
      </c>
      <c r="B166" s="30" t="s">
        <v>385</v>
      </c>
      <c r="C166" s="30" t="s">
        <v>267</v>
      </c>
      <c r="D166" s="27">
        <v>41054.763534111189</v>
      </c>
      <c r="E166" s="28">
        <v>23258.908031961448</v>
      </c>
      <c r="F166" s="27">
        <f t="shared" si="5"/>
        <v>17795.855502149741</v>
      </c>
      <c r="G166" s="27">
        <f t="shared" si="4"/>
        <v>43.346627699764227</v>
      </c>
      <c r="H166" s="29">
        <v>109</v>
      </c>
      <c r="I166" s="29">
        <v>3</v>
      </c>
      <c r="J166" s="12" t="s">
        <v>36</v>
      </c>
      <c r="K166" s="30">
        <v>40.869096666700003</v>
      </c>
      <c r="L166" s="30">
        <v>71.993186666699998</v>
      </c>
      <c r="M166" s="20">
        <v>160</v>
      </c>
    </row>
    <row r="167" spans="1:13" ht="30" customHeight="1">
      <c r="A167" s="5" t="s">
        <v>30</v>
      </c>
      <c r="B167" s="30" t="s">
        <v>390</v>
      </c>
      <c r="C167" s="30" t="s">
        <v>268</v>
      </c>
      <c r="D167" s="27">
        <v>31126.608384111183</v>
      </c>
      <c r="E167" s="28">
        <v>14572.858031961443</v>
      </c>
      <c r="F167" s="27">
        <f t="shared" si="5"/>
        <v>16553.750352149742</v>
      </c>
      <c r="G167" s="27">
        <f t="shared" si="4"/>
        <v>53.181991908246999</v>
      </c>
      <c r="H167" s="29">
        <v>67</v>
      </c>
      <c r="I167" s="29">
        <v>3</v>
      </c>
      <c r="J167" s="12" t="s">
        <v>50</v>
      </c>
      <c r="K167" s="30">
        <v>40.859043333300001</v>
      </c>
      <c r="L167" s="30">
        <v>72.065916666700005</v>
      </c>
      <c r="M167" s="20">
        <v>250</v>
      </c>
    </row>
    <row r="168" spans="1:13" ht="30" customHeight="1">
      <c r="A168" s="5" t="s">
        <v>30</v>
      </c>
      <c r="B168" s="30" t="s">
        <v>389</v>
      </c>
      <c r="C168" s="30" t="s">
        <v>269</v>
      </c>
      <c r="D168" s="27">
        <v>38516.876814111187</v>
      </c>
      <c r="E168" s="28">
        <v>21038.534698628111</v>
      </c>
      <c r="F168" s="27">
        <f t="shared" si="5"/>
        <v>17478.342115483076</v>
      </c>
      <c r="G168" s="27">
        <f t="shared" si="4"/>
        <v>45.378399188066169</v>
      </c>
      <c r="H168" s="29">
        <v>132</v>
      </c>
      <c r="I168" s="29">
        <v>3</v>
      </c>
      <c r="J168" s="12" t="s">
        <v>50</v>
      </c>
      <c r="K168" s="30">
        <v>40.880443333300001</v>
      </c>
      <c r="L168" s="30">
        <v>72.033211666699998</v>
      </c>
      <c r="M168" s="20">
        <v>400</v>
      </c>
    </row>
    <row r="169" spans="1:13" ht="30" customHeight="1">
      <c r="A169" s="5" t="s">
        <v>30</v>
      </c>
      <c r="B169" s="30" t="s">
        <v>388</v>
      </c>
      <c r="C169" s="30" t="s">
        <v>270</v>
      </c>
      <c r="D169" s="27">
        <v>37790.256474111186</v>
      </c>
      <c r="E169" s="28">
        <v>20402.821365294778</v>
      </c>
      <c r="F169" s="27">
        <f t="shared" si="5"/>
        <v>17387.435108816408</v>
      </c>
      <c r="G169" s="27">
        <f t="shared" si="4"/>
        <v>46.010365451549518</v>
      </c>
      <c r="H169" s="29">
        <v>82</v>
      </c>
      <c r="I169" s="29">
        <v>4</v>
      </c>
      <c r="J169" s="12" t="s">
        <v>50</v>
      </c>
      <c r="K169" s="30">
        <v>40.874026666600002</v>
      </c>
      <c r="L169" s="30">
        <v>72.094549999700007</v>
      </c>
      <c r="M169" s="20">
        <v>160</v>
      </c>
    </row>
    <row r="170" spans="1:13" ht="30" customHeight="1">
      <c r="A170" s="5" t="s">
        <v>30</v>
      </c>
      <c r="B170" s="30" t="s">
        <v>388</v>
      </c>
      <c r="C170" s="30" t="s">
        <v>271</v>
      </c>
      <c r="D170" s="27">
        <v>34070.713494111187</v>
      </c>
      <c r="E170" s="28">
        <v>17148.628031961442</v>
      </c>
      <c r="F170" s="27">
        <f t="shared" si="5"/>
        <v>16922.085462149746</v>
      </c>
      <c r="G170" s="27">
        <f t="shared" si="4"/>
        <v>49.667540613948617</v>
      </c>
      <c r="H170" s="29">
        <v>52</v>
      </c>
      <c r="I170" s="29">
        <v>4</v>
      </c>
      <c r="J170" s="12" t="s">
        <v>37</v>
      </c>
      <c r="K170" s="30">
        <v>40.877225000000003</v>
      </c>
      <c r="L170" s="30">
        <v>71.997230000000002</v>
      </c>
      <c r="M170" s="23">
        <v>100</v>
      </c>
    </row>
    <row r="171" spans="1:13" ht="30" customHeight="1">
      <c r="A171" s="5" t="s">
        <v>30</v>
      </c>
      <c r="B171" s="30" t="s">
        <v>388</v>
      </c>
      <c r="C171" s="30" t="s">
        <v>272</v>
      </c>
      <c r="D171" s="27">
        <v>35873.41499411119</v>
      </c>
      <c r="E171" s="28">
        <v>18725.794698628109</v>
      </c>
      <c r="F171" s="27">
        <f t="shared" si="5"/>
        <v>17147.620295483081</v>
      </c>
      <c r="G171" s="27">
        <f t="shared" si="4"/>
        <v>47.800356610314218</v>
      </c>
      <c r="H171" s="29">
        <v>109</v>
      </c>
      <c r="I171" s="29">
        <v>5</v>
      </c>
      <c r="J171" s="12" t="s">
        <v>37</v>
      </c>
      <c r="K171" s="30">
        <v>40.878791666700003</v>
      </c>
      <c r="L171" s="30">
        <v>72.014080000000007</v>
      </c>
      <c r="M171" s="20">
        <v>100</v>
      </c>
    </row>
    <row r="172" spans="1:13" ht="30" customHeight="1">
      <c r="A172" s="5" t="s">
        <v>30</v>
      </c>
      <c r="B172" s="30" t="s">
        <v>384</v>
      </c>
      <c r="C172" s="30" t="s">
        <v>100</v>
      </c>
      <c r="D172" s="27">
        <v>36437.400150111185</v>
      </c>
      <c r="E172" s="28">
        <v>19219.220031961446</v>
      </c>
      <c r="F172" s="27">
        <f t="shared" si="5"/>
        <v>17218.180118149739</v>
      </c>
      <c r="G172" s="27">
        <f t="shared" si="4"/>
        <v>47.254140106637657</v>
      </c>
      <c r="H172" s="29">
        <v>81</v>
      </c>
      <c r="I172" s="29">
        <v>4</v>
      </c>
      <c r="J172" s="12" t="s">
        <v>37</v>
      </c>
      <c r="K172" s="30">
        <v>40.879103333300002</v>
      </c>
      <c r="L172" s="30">
        <v>71.946520000000007</v>
      </c>
      <c r="M172" s="20">
        <v>100</v>
      </c>
    </row>
    <row r="173" spans="1:13" ht="30" customHeight="1">
      <c r="A173" s="5" t="s">
        <v>13</v>
      </c>
      <c r="B173" s="30" t="s">
        <v>389</v>
      </c>
      <c r="C173" s="30" t="s">
        <v>273</v>
      </c>
      <c r="D173" s="27">
        <v>34637.572914111188</v>
      </c>
      <c r="E173" s="28">
        <v>17644.568031961444</v>
      </c>
      <c r="F173" s="27">
        <f t="shared" si="5"/>
        <v>16993.004882149744</v>
      </c>
      <c r="G173" s="27">
        <f t="shared" si="4"/>
        <v>49.059456112257998</v>
      </c>
      <c r="H173" s="29">
        <v>94</v>
      </c>
      <c r="I173" s="29">
        <v>5</v>
      </c>
      <c r="J173" s="12"/>
      <c r="K173" s="30">
        <v>40.867316666699999</v>
      </c>
      <c r="L173" s="30">
        <v>72.0448633333</v>
      </c>
      <c r="M173" s="14">
        <v>400</v>
      </c>
    </row>
    <row r="174" spans="1:13" ht="30" customHeight="1">
      <c r="A174" s="5" t="s">
        <v>13</v>
      </c>
      <c r="B174" s="30" t="s">
        <v>391</v>
      </c>
      <c r="C174" s="30" t="s">
        <v>274</v>
      </c>
      <c r="D174" s="27">
        <v>36062.863434111183</v>
      </c>
      <c r="E174" s="28">
        <v>18891.541365294775</v>
      </c>
      <c r="F174" s="27">
        <f t="shared" si="5"/>
        <v>17171.322068816407</v>
      </c>
      <c r="G174" s="27">
        <f t="shared" si="4"/>
        <v>47.614971285320557</v>
      </c>
      <c r="H174" s="29">
        <v>68</v>
      </c>
      <c r="I174" s="29">
        <v>8</v>
      </c>
      <c r="J174" s="12" t="s">
        <v>23</v>
      </c>
      <c r="K174" s="30">
        <v>40.821199999999997</v>
      </c>
      <c r="L174" s="30">
        <v>72.145963333300003</v>
      </c>
      <c r="M174" s="14">
        <v>100</v>
      </c>
    </row>
    <row r="175" spans="1:13" ht="30" customHeight="1">
      <c r="A175" s="5" t="s">
        <v>13</v>
      </c>
      <c r="B175" s="30" t="s">
        <v>391</v>
      </c>
      <c r="C175" s="30" t="s">
        <v>275</v>
      </c>
      <c r="D175" s="27">
        <v>38782.997694111189</v>
      </c>
      <c r="E175" s="28">
        <v>21271.361365294779</v>
      </c>
      <c r="F175" s="27">
        <f t="shared" si="5"/>
        <v>17511.63632881641</v>
      </c>
      <c r="G175" s="27">
        <f t="shared" si="4"/>
        <v>45.15286947887315</v>
      </c>
      <c r="H175" s="29">
        <v>145</v>
      </c>
      <c r="I175" s="29">
        <v>6</v>
      </c>
      <c r="J175" s="12" t="s">
        <v>40</v>
      </c>
      <c r="K175" s="30">
        <v>40.853495000000002</v>
      </c>
      <c r="L175" s="30">
        <v>72.061329999999998</v>
      </c>
      <c r="M175" s="20">
        <v>250</v>
      </c>
    </row>
    <row r="176" spans="1:13" ht="30" customHeight="1">
      <c r="A176" s="5" t="s">
        <v>13</v>
      </c>
      <c r="B176" s="30" t="s">
        <v>390</v>
      </c>
      <c r="C176" s="30" t="s">
        <v>276</v>
      </c>
      <c r="D176" s="27">
        <v>33811.153434111184</v>
      </c>
      <c r="E176" s="28">
        <v>16921.541365294775</v>
      </c>
      <c r="F176" s="27">
        <f t="shared" si="5"/>
        <v>16889.612068816408</v>
      </c>
      <c r="G176" s="27">
        <f t="shared" si="4"/>
        <v>49.952782893756364</v>
      </c>
      <c r="H176" s="29">
        <v>79</v>
      </c>
      <c r="I176" s="29">
        <v>3</v>
      </c>
      <c r="J176" s="12" t="s">
        <v>40</v>
      </c>
      <c r="K176" s="30">
        <v>40.8542466667</v>
      </c>
      <c r="L176" s="30">
        <v>72.141778333299996</v>
      </c>
      <c r="M176" s="21">
        <v>160</v>
      </c>
    </row>
    <row r="177" spans="1:13" ht="30" customHeight="1">
      <c r="A177" s="5" t="s">
        <v>13</v>
      </c>
      <c r="B177" s="30" t="s">
        <v>390</v>
      </c>
      <c r="C177" s="30" t="s">
        <v>277</v>
      </c>
      <c r="D177" s="27">
        <v>34352.417274111183</v>
      </c>
      <c r="E177" s="28">
        <v>17395.088031961444</v>
      </c>
      <c r="F177" s="27">
        <f t="shared" si="5"/>
        <v>16957.329242149739</v>
      </c>
      <c r="G177" s="27">
        <f t="shared" si="4"/>
        <v>49.362841359432352</v>
      </c>
      <c r="H177" s="29">
        <v>104</v>
      </c>
      <c r="I177" s="29">
        <v>4</v>
      </c>
      <c r="J177" s="12" t="s">
        <v>40</v>
      </c>
      <c r="K177" s="30">
        <v>40.870876666699999</v>
      </c>
      <c r="L177" s="30">
        <v>72.127028333300004</v>
      </c>
      <c r="M177" s="20">
        <v>100</v>
      </c>
    </row>
    <row r="178" spans="1:13" ht="30" customHeight="1">
      <c r="A178" s="5" t="s">
        <v>13</v>
      </c>
      <c r="B178" s="30" t="s">
        <v>385</v>
      </c>
      <c r="C178" s="30" t="s">
        <v>278</v>
      </c>
      <c r="D178" s="27">
        <v>34517.032134111185</v>
      </c>
      <c r="E178" s="28">
        <v>17539.108031961445</v>
      </c>
      <c r="F178" s="27">
        <f t="shared" si="5"/>
        <v>16977.92410214974</v>
      </c>
      <c r="G178" s="27">
        <f t="shared" si="4"/>
        <v>49.187091277675179</v>
      </c>
      <c r="H178" s="29">
        <v>102</v>
      </c>
      <c r="I178" s="29">
        <v>8</v>
      </c>
      <c r="J178" s="12" t="s">
        <v>18</v>
      </c>
      <c r="K178" s="30">
        <v>40.85586</v>
      </c>
      <c r="L178" s="30">
        <v>72.008968333300004</v>
      </c>
      <c r="M178" s="20">
        <v>100</v>
      </c>
    </row>
    <row r="179" spans="1:13" ht="30" customHeight="1">
      <c r="A179" s="5" t="s">
        <v>13</v>
      </c>
      <c r="B179" s="30" t="s">
        <v>391</v>
      </c>
      <c r="C179" s="30" t="s">
        <v>279</v>
      </c>
      <c r="D179" s="27">
        <v>35409.543684111188</v>
      </c>
      <c r="E179" s="28">
        <v>18319.958031961443</v>
      </c>
      <c r="F179" s="27">
        <f t="shared" si="5"/>
        <v>17089.585652149744</v>
      </c>
      <c r="G179" s="27">
        <f t="shared" si="4"/>
        <v>48.262654284974886</v>
      </c>
      <c r="H179" s="29">
        <v>62</v>
      </c>
      <c r="I179" s="29">
        <v>4</v>
      </c>
      <c r="J179" s="12" t="s">
        <v>23</v>
      </c>
      <c r="K179" s="30">
        <v>40.827616666700003</v>
      </c>
      <c r="L179" s="30">
        <v>72.112166666700006</v>
      </c>
      <c r="M179" s="20">
        <v>100</v>
      </c>
    </row>
    <row r="180" spans="1:13" ht="30" customHeight="1">
      <c r="A180" s="5" t="s">
        <v>13</v>
      </c>
      <c r="B180" s="30" t="s">
        <v>391</v>
      </c>
      <c r="C180" s="30" t="s">
        <v>280</v>
      </c>
      <c r="D180" s="27">
        <v>36174.378324111189</v>
      </c>
      <c r="E180" s="28">
        <v>18989.104698628111</v>
      </c>
      <c r="F180" s="27">
        <f t="shared" si="5"/>
        <v>17185.273625483078</v>
      </c>
      <c r="G180" s="27">
        <f t="shared" si="4"/>
        <v>47.506755946179268</v>
      </c>
      <c r="H180" s="29">
        <v>56</v>
      </c>
      <c r="I180" s="29">
        <v>8</v>
      </c>
      <c r="J180" s="12" t="s">
        <v>23</v>
      </c>
      <c r="K180" s="30">
        <v>40.813206666699998</v>
      </c>
      <c r="L180" s="30">
        <v>72.109205000000003</v>
      </c>
      <c r="M180" s="20">
        <v>160</v>
      </c>
    </row>
    <row r="181" spans="1:13" ht="30" customHeight="1">
      <c r="A181" s="5" t="s">
        <v>13</v>
      </c>
      <c r="B181" s="30" t="s">
        <v>387</v>
      </c>
      <c r="C181" s="30" t="s">
        <v>281</v>
      </c>
      <c r="D181" s="27">
        <v>30713.672964111189</v>
      </c>
      <c r="E181" s="28">
        <v>14211.584698628109</v>
      </c>
      <c r="F181" s="27">
        <f t="shared" si="5"/>
        <v>16502.088265483078</v>
      </c>
      <c r="G181" s="27">
        <f t="shared" si="4"/>
        <v>53.728801126344308</v>
      </c>
      <c r="H181" s="29">
        <v>13</v>
      </c>
      <c r="I181" s="29">
        <v>3</v>
      </c>
      <c r="J181" s="12" t="s">
        <v>23</v>
      </c>
      <c r="K181" s="30">
        <v>40.879336666699999</v>
      </c>
      <c r="L181" s="30">
        <v>71.986581666700005</v>
      </c>
      <c r="M181" s="20">
        <v>100</v>
      </c>
    </row>
    <row r="182" spans="1:13" ht="30" customHeight="1">
      <c r="A182" s="5" t="s">
        <v>13</v>
      </c>
      <c r="B182" s="30" t="s">
        <v>390</v>
      </c>
      <c r="C182" s="30" t="s">
        <v>282</v>
      </c>
      <c r="D182" s="27">
        <v>33555.757704111187</v>
      </c>
      <c r="E182" s="28">
        <v>16698.098031961443</v>
      </c>
      <c r="F182" s="27">
        <f t="shared" si="5"/>
        <v>16857.659672149744</v>
      </c>
      <c r="G182" s="27">
        <f t="shared" si="4"/>
        <v>50.237755978564522</v>
      </c>
      <c r="H182" s="29">
        <v>23</v>
      </c>
      <c r="I182" s="29">
        <v>3</v>
      </c>
      <c r="J182" s="12" t="s">
        <v>23</v>
      </c>
      <c r="K182" s="30">
        <v>40.851741666700001</v>
      </c>
      <c r="L182" s="30">
        <v>72.133139999999997</v>
      </c>
      <c r="M182" s="20">
        <v>100</v>
      </c>
    </row>
    <row r="183" spans="1:13" ht="30" customHeight="1">
      <c r="A183" s="5" t="s">
        <v>13</v>
      </c>
      <c r="B183" s="30" t="s">
        <v>389</v>
      </c>
      <c r="C183" s="30" t="s">
        <v>283</v>
      </c>
      <c r="D183" s="27">
        <v>34603.732494111187</v>
      </c>
      <c r="E183" s="28">
        <v>17614.961365294777</v>
      </c>
      <c r="F183" s="27">
        <f t="shared" si="5"/>
        <v>16988.77112881641</v>
      </c>
      <c r="G183" s="27">
        <f t="shared" si="4"/>
        <v>49.095198420307788</v>
      </c>
      <c r="H183" s="29">
        <v>79</v>
      </c>
      <c r="I183" s="29">
        <v>4</v>
      </c>
      <c r="J183" s="12" t="s">
        <v>23</v>
      </c>
      <c r="K183" s="30">
        <v>40.878543333300001</v>
      </c>
      <c r="L183" s="30">
        <v>72.055769999999995</v>
      </c>
      <c r="M183" s="20">
        <v>250</v>
      </c>
    </row>
    <row r="184" spans="1:13" ht="30" customHeight="1">
      <c r="A184" s="5" t="s">
        <v>13</v>
      </c>
      <c r="B184" s="30" t="s">
        <v>385</v>
      </c>
      <c r="C184" s="30" t="s">
        <v>284</v>
      </c>
      <c r="D184" s="27">
        <v>36360.854964111189</v>
      </c>
      <c r="E184" s="28">
        <v>19152.251365294778</v>
      </c>
      <c r="F184" s="27">
        <f t="shared" si="5"/>
        <v>17208.603598816411</v>
      </c>
      <c r="G184" s="27">
        <f t="shared" si="4"/>
        <v>47.327279888774918</v>
      </c>
      <c r="H184" s="29">
        <v>92</v>
      </c>
      <c r="I184" s="29">
        <v>3</v>
      </c>
      <c r="J184" s="12" t="s">
        <v>23</v>
      </c>
      <c r="K184" s="30">
        <v>40.863901666700002</v>
      </c>
      <c r="L184" s="30">
        <v>71.990183333299996</v>
      </c>
      <c r="M184" s="20">
        <v>100</v>
      </c>
    </row>
    <row r="185" spans="1:13" ht="30" customHeight="1">
      <c r="A185" s="5" t="s">
        <v>13</v>
      </c>
      <c r="B185" s="30" t="s">
        <v>384</v>
      </c>
      <c r="C185" s="30" t="s">
        <v>112</v>
      </c>
      <c r="D185" s="27">
        <v>33961.179804111191</v>
      </c>
      <c r="E185" s="28">
        <v>17052.798031961443</v>
      </c>
      <c r="F185" s="27">
        <f t="shared" si="5"/>
        <v>16908.381772149747</v>
      </c>
      <c r="G185" s="27">
        <f t="shared" si="4"/>
        <v>49.787380384538032</v>
      </c>
      <c r="H185" s="29">
        <v>89</v>
      </c>
      <c r="I185" s="29">
        <v>6</v>
      </c>
      <c r="J185" s="12" t="s">
        <v>19</v>
      </c>
      <c r="K185" s="30">
        <v>40.877413333299998</v>
      </c>
      <c r="L185" s="30">
        <v>71.930764999999994</v>
      </c>
      <c r="M185" s="20">
        <v>160</v>
      </c>
    </row>
    <row r="186" spans="1:13" ht="30" customHeight="1">
      <c r="A186" s="5" t="s">
        <v>13</v>
      </c>
      <c r="B186" s="30" t="s">
        <v>388</v>
      </c>
      <c r="C186" s="30" t="s">
        <v>285</v>
      </c>
      <c r="D186" s="27">
        <v>32210.027604111187</v>
      </c>
      <c r="E186" s="28">
        <v>15520.731365294776</v>
      </c>
      <c r="F186" s="27">
        <f t="shared" si="5"/>
        <v>16689.296238816409</v>
      </c>
      <c r="G186" s="27">
        <f t="shared" si="4"/>
        <v>51.813976827161241</v>
      </c>
      <c r="H186" s="29">
        <v>42</v>
      </c>
      <c r="I186" s="29">
        <v>3</v>
      </c>
      <c r="J186" s="12" t="s">
        <v>19</v>
      </c>
      <c r="K186" s="30">
        <v>40.874026666600002</v>
      </c>
      <c r="L186" s="30">
        <v>72.094549999700007</v>
      </c>
      <c r="M186" s="20">
        <v>160</v>
      </c>
    </row>
    <row r="187" spans="1:13" ht="30" customHeight="1">
      <c r="A187" s="5" t="s">
        <v>13</v>
      </c>
      <c r="B187" s="30" t="s">
        <v>387</v>
      </c>
      <c r="C187" s="30" t="s">
        <v>286</v>
      </c>
      <c r="D187" s="27">
        <v>41873.467764111185</v>
      </c>
      <c r="E187" s="28">
        <v>23975.184698628113</v>
      </c>
      <c r="F187" s="27">
        <f t="shared" si="5"/>
        <v>17898.283065483072</v>
      </c>
      <c r="G187" s="27">
        <f t="shared" si="4"/>
        <v>42.743732538013703</v>
      </c>
      <c r="H187" s="29">
        <v>49</v>
      </c>
      <c r="I187" s="29">
        <v>6</v>
      </c>
      <c r="J187" s="12" t="s">
        <v>19</v>
      </c>
      <c r="K187" s="30">
        <v>40.8828566667</v>
      </c>
      <c r="L187" s="30">
        <v>71.988209999999995</v>
      </c>
      <c r="M187" s="20">
        <v>160</v>
      </c>
    </row>
    <row r="188" spans="1:13" ht="30" customHeight="1">
      <c r="A188" s="5" t="s">
        <v>13</v>
      </c>
      <c r="B188" s="30" t="s">
        <v>390</v>
      </c>
      <c r="C188" s="30" t="s">
        <v>287</v>
      </c>
      <c r="D188" s="27">
        <v>33245.443491111189</v>
      </c>
      <c r="E188" s="28">
        <v>16426.607031961445</v>
      </c>
      <c r="F188" s="27">
        <f t="shared" si="5"/>
        <v>16818.836459149745</v>
      </c>
      <c r="G188" s="27">
        <f t="shared" si="4"/>
        <v>50.589899526070646</v>
      </c>
      <c r="H188" s="29">
        <v>67</v>
      </c>
      <c r="I188" s="29">
        <v>3</v>
      </c>
      <c r="J188" s="12" t="s">
        <v>19</v>
      </c>
      <c r="K188" s="30">
        <v>40.859856666699997</v>
      </c>
      <c r="L188" s="30">
        <v>72.077610000000007</v>
      </c>
      <c r="M188" s="20">
        <v>63</v>
      </c>
    </row>
    <row r="189" spans="1:13" ht="30" customHeight="1">
      <c r="A189" s="5" t="s">
        <v>13</v>
      </c>
      <c r="B189" s="30" t="s">
        <v>391</v>
      </c>
      <c r="C189" s="30" t="s">
        <v>288</v>
      </c>
      <c r="D189" s="27">
        <v>34442.142774111184</v>
      </c>
      <c r="E189" s="28">
        <v>17473.588031961444</v>
      </c>
      <c r="F189" s="27">
        <f t="shared" si="5"/>
        <v>16968.554742149739</v>
      </c>
      <c r="G189" s="27">
        <f t="shared" si="4"/>
        <v>49.266838168107064</v>
      </c>
      <c r="H189" s="29">
        <v>79</v>
      </c>
      <c r="I189" s="29">
        <v>3</v>
      </c>
      <c r="J189" s="12" t="s">
        <v>23</v>
      </c>
      <c r="K189" s="30">
        <v>40.848528333300003</v>
      </c>
      <c r="L189" s="30">
        <v>72.072953333300006</v>
      </c>
      <c r="M189" s="20">
        <v>100</v>
      </c>
    </row>
    <row r="190" spans="1:13" ht="30" customHeight="1">
      <c r="A190" s="5" t="s">
        <v>13</v>
      </c>
      <c r="B190" s="30" t="s">
        <v>390</v>
      </c>
      <c r="C190" s="30" t="s">
        <v>289</v>
      </c>
      <c r="D190" s="27">
        <v>32925.332244111181</v>
      </c>
      <c r="E190" s="28">
        <v>16146.544698628108</v>
      </c>
      <c r="F190" s="27">
        <f t="shared" si="5"/>
        <v>16778.787545483072</v>
      </c>
      <c r="G190" s="27">
        <f t="shared" si="4"/>
        <v>50.960116123001377</v>
      </c>
      <c r="H190" s="29">
        <v>51</v>
      </c>
      <c r="I190" s="29">
        <v>4</v>
      </c>
      <c r="J190" s="12" t="s">
        <v>19</v>
      </c>
      <c r="K190" s="30">
        <v>40.877876666699997</v>
      </c>
      <c r="L190" s="30">
        <v>72.082390000000004</v>
      </c>
      <c r="M190" s="20">
        <v>100</v>
      </c>
    </row>
    <row r="191" spans="1:13" ht="30" customHeight="1">
      <c r="A191" s="5" t="s">
        <v>13</v>
      </c>
      <c r="B191" s="30" t="s">
        <v>384</v>
      </c>
      <c r="C191" s="30" t="s">
        <v>97</v>
      </c>
      <c r="D191" s="27">
        <v>32571.055584111185</v>
      </c>
      <c r="E191" s="28">
        <v>15836.591365294777</v>
      </c>
      <c r="F191" s="27">
        <f t="shared" si="5"/>
        <v>16734.464218816407</v>
      </c>
      <c r="G191" s="27">
        <f t="shared" si="4"/>
        <v>51.378329374685094</v>
      </c>
      <c r="H191" s="29">
        <v>34</v>
      </c>
      <c r="I191" s="29">
        <v>3</v>
      </c>
      <c r="J191" s="12" t="s">
        <v>19</v>
      </c>
      <c r="K191" s="30">
        <v>40.864673333299997</v>
      </c>
      <c r="L191" s="30">
        <v>71.946511666700005</v>
      </c>
      <c r="M191" s="20">
        <v>100</v>
      </c>
    </row>
    <row r="192" spans="1:13" ht="30" customHeight="1">
      <c r="A192" s="5" t="s">
        <v>30</v>
      </c>
      <c r="B192" s="30" t="s">
        <v>385</v>
      </c>
      <c r="C192" s="30" t="s">
        <v>290</v>
      </c>
      <c r="D192" s="27">
        <v>40300.497834111193</v>
      </c>
      <c r="E192" s="28">
        <v>22599.008031961446</v>
      </c>
      <c r="F192" s="27">
        <f t="shared" si="5"/>
        <v>17701.489802149747</v>
      </c>
      <c r="G192" s="27">
        <f t="shared" si="4"/>
        <v>43.923749713996912</v>
      </c>
      <c r="H192" s="29">
        <v>76</v>
      </c>
      <c r="I192" s="29">
        <v>4</v>
      </c>
      <c r="J192" s="12" t="s">
        <v>33</v>
      </c>
      <c r="K192" s="30">
        <v>40.865333333300001</v>
      </c>
      <c r="L192" s="30">
        <v>71.986301666700001</v>
      </c>
      <c r="M192" s="20">
        <v>160</v>
      </c>
    </row>
    <row r="193" spans="1:13" ht="30" customHeight="1">
      <c r="A193" s="5" t="s">
        <v>30</v>
      </c>
      <c r="B193" s="30" t="s">
        <v>388</v>
      </c>
      <c r="C193" s="30" t="s">
        <v>291</v>
      </c>
      <c r="D193" s="27">
        <v>34688.352594111187</v>
      </c>
      <c r="E193" s="28">
        <v>17688.99469862811</v>
      </c>
      <c r="F193" s="27">
        <f t="shared" si="5"/>
        <v>16999.357895483077</v>
      </c>
      <c r="G193" s="27">
        <f t="shared" si="4"/>
        <v>49.005953365363752</v>
      </c>
      <c r="H193" s="29">
        <v>100</v>
      </c>
      <c r="I193" s="29">
        <v>3</v>
      </c>
      <c r="J193" s="12" t="s">
        <v>42</v>
      </c>
      <c r="K193" s="30">
        <v>40.872945000000001</v>
      </c>
      <c r="L193" s="30">
        <v>72.003528333299997</v>
      </c>
      <c r="M193" s="21">
        <v>250</v>
      </c>
    </row>
    <row r="194" spans="1:13" ht="30" customHeight="1">
      <c r="A194" s="5" t="s">
        <v>30</v>
      </c>
      <c r="B194" s="30" t="s">
        <v>384</v>
      </c>
      <c r="C194" s="30" t="s">
        <v>116</v>
      </c>
      <c r="D194" s="27">
        <v>45221.69957411119</v>
      </c>
      <c r="E194" s="28">
        <v>26904.521365294775</v>
      </c>
      <c r="F194" s="27">
        <f t="shared" si="5"/>
        <v>18317.178208816415</v>
      </c>
      <c r="G194" s="27">
        <f t="shared" si="4"/>
        <v>40.505284810884795</v>
      </c>
      <c r="H194" s="29">
        <v>100</v>
      </c>
      <c r="I194" s="29">
        <v>4</v>
      </c>
      <c r="J194" s="12" t="s">
        <v>42</v>
      </c>
      <c r="K194" s="30">
        <v>40.890994999999997</v>
      </c>
      <c r="L194" s="30">
        <v>71.932898333300002</v>
      </c>
      <c r="M194" s="20">
        <v>400</v>
      </c>
    </row>
    <row r="195" spans="1:13" ht="30" customHeight="1">
      <c r="A195" s="5" t="s">
        <v>30</v>
      </c>
      <c r="B195" s="30" t="s">
        <v>389</v>
      </c>
      <c r="C195" s="30" t="s">
        <v>292</v>
      </c>
      <c r="D195" s="27">
        <v>31679.290794111184</v>
      </c>
      <c r="E195" s="28">
        <v>15056.39469862811</v>
      </c>
      <c r="F195" s="27">
        <f t="shared" si="5"/>
        <v>16622.896095483076</v>
      </c>
      <c r="G195" s="27">
        <f t="shared" ref="G195:G258" si="6">+F195*100/D195</f>
        <v>52.472437604484135</v>
      </c>
      <c r="H195" s="29">
        <v>21</v>
      </c>
      <c r="I195" s="29">
        <v>3</v>
      </c>
      <c r="J195" s="12" t="s">
        <v>42</v>
      </c>
      <c r="K195" s="30">
        <v>40.87829</v>
      </c>
      <c r="L195" s="30">
        <v>72.038823333300002</v>
      </c>
      <c r="M195" s="20">
        <v>160</v>
      </c>
    </row>
    <row r="196" spans="1:13" ht="30" customHeight="1">
      <c r="A196" s="5" t="s">
        <v>30</v>
      </c>
      <c r="B196" s="30" t="s">
        <v>392</v>
      </c>
      <c r="C196" s="30" t="s">
        <v>293</v>
      </c>
      <c r="D196" s="27">
        <v>32624.414634111185</v>
      </c>
      <c r="E196" s="28">
        <v>15883.274698628107</v>
      </c>
      <c r="F196" s="27">
        <f t="shared" si="5"/>
        <v>16741.139935483079</v>
      </c>
      <c r="G196" s="27">
        <f t="shared" si="6"/>
        <v>51.314759584924502</v>
      </c>
      <c r="H196" s="29">
        <v>86</v>
      </c>
      <c r="I196" s="29">
        <v>4</v>
      </c>
      <c r="J196" s="12" t="s">
        <v>51</v>
      </c>
      <c r="K196" s="30">
        <v>40.838336666700002</v>
      </c>
      <c r="L196" s="30">
        <v>72.207795000000004</v>
      </c>
      <c r="M196" s="20">
        <v>100</v>
      </c>
    </row>
    <row r="197" spans="1:13" ht="30" customHeight="1">
      <c r="A197" s="5" t="s">
        <v>30</v>
      </c>
      <c r="B197" s="30" t="s">
        <v>392</v>
      </c>
      <c r="C197" s="30" t="s">
        <v>294</v>
      </c>
      <c r="D197" s="27">
        <v>33788.003874111186</v>
      </c>
      <c r="E197" s="28">
        <v>16901.288031961445</v>
      </c>
      <c r="F197" s="27">
        <f t="shared" ref="F197:F260" si="7">+D197-E197</f>
        <v>16886.715842149741</v>
      </c>
      <c r="G197" s="27">
        <f t="shared" si="6"/>
        <v>49.978435852757087</v>
      </c>
      <c r="H197" s="29">
        <v>73</v>
      </c>
      <c r="I197" s="29">
        <v>3</v>
      </c>
      <c r="J197" s="12" t="s">
        <v>51</v>
      </c>
      <c r="K197" s="30">
        <v>40.839168333300002</v>
      </c>
      <c r="L197" s="30">
        <v>72.209829999999997</v>
      </c>
      <c r="M197" s="20">
        <v>100</v>
      </c>
    </row>
    <row r="198" spans="1:13" ht="30" customHeight="1">
      <c r="A198" s="5" t="s">
        <v>30</v>
      </c>
      <c r="B198" s="30" t="s">
        <v>388</v>
      </c>
      <c r="C198" s="30" t="s">
        <v>295</v>
      </c>
      <c r="D198" s="27">
        <v>36562.282044111183</v>
      </c>
      <c r="E198" s="28">
        <v>19328.478031961444</v>
      </c>
      <c r="F198" s="27">
        <f t="shared" si="7"/>
        <v>17233.80401214974</v>
      </c>
      <c r="G198" s="27">
        <f t="shared" si="6"/>
        <v>47.135471443926079</v>
      </c>
      <c r="H198" s="29">
        <v>99</v>
      </c>
      <c r="I198" s="29">
        <v>4</v>
      </c>
      <c r="J198" s="12" t="s">
        <v>51</v>
      </c>
      <c r="K198" s="30">
        <v>40.875433333300002</v>
      </c>
      <c r="L198" s="30">
        <v>72.019919999999999</v>
      </c>
      <c r="M198" s="20">
        <v>160</v>
      </c>
    </row>
    <row r="199" spans="1:13" ht="30" customHeight="1">
      <c r="A199" s="5" t="s">
        <v>30</v>
      </c>
      <c r="B199" s="30" t="s">
        <v>388</v>
      </c>
      <c r="C199" s="30" t="s">
        <v>296</v>
      </c>
      <c r="D199" s="27">
        <v>31242.805764111188</v>
      </c>
      <c r="E199" s="28">
        <v>14674.518031961443</v>
      </c>
      <c r="F199" s="27">
        <f t="shared" si="7"/>
        <v>16568.287732149744</v>
      </c>
      <c r="G199" s="27">
        <f t="shared" si="6"/>
        <v>53.030729241295745</v>
      </c>
      <c r="H199" s="29">
        <v>20</v>
      </c>
      <c r="I199" s="29">
        <v>4</v>
      </c>
      <c r="J199" s="12" t="s">
        <v>51</v>
      </c>
      <c r="K199" s="30">
        <v>40.874026666600002</v>
      </c>
      <c r="L199" s="30">
        <v>72.094549999700007</v>
      </c>
      <c r="M199" s="20">
        <v>250</v>
      </c>
    </row>
    <row r="200" spans="1:13" ht="30" customHeight="1">
      <c r="A200" s="5" t="s">
        <v>30</v>
      </c>
      <c r="B200" s="30" t="s">
        <v>386</v>
      </c>
      <c r="C200" s="30" t="s">
        <v>297</v>
      </c>
      <c r="D200" s="27">
        <v>31935.802854111185</v>
      </c>
      <c r="E200" s="28">
        <v>15280.814698628108</v>
      </c>
      <c r="F200" s="27">
        <f t="shared" si="7"/>
        <v>16654.988155483079</v>
      </c>
      <c r="G200" s="27">
        <f t="shared" si="6"/>
        <v>52.15146220549466</v>
      </c>
      <c r="H200" s="29">
        <v>53</v>
      </c>
      <c r="I200" s="29">
        <v>3</v>
      </c>
      <c r="J200" s="12"/>
      <c r="K200" s="30">
        <v>40.872078333300003</v>
      </c>
      <c r="L200" s="30">
        <v>71.959788333299997</v>
      </c>
      <c r="M200" s="20">
        <v>63</v>
      </c>
    </row>
    <row r="201" spans="1:13" ht="30" customHeight="1">
      <c r="A201" s="5" t="s">
        <v>30</v>
      </c>
      <c r="B201" s="30" t="s">
        <v>387</v>
      </c>
      <c r="C201" s="30" t="s">
        <v>298</v>
      </c>
      <c r="D201" s="27">
        <v>32301.174234111182</v>
      </c>
      <c r="E201" s="28">
        <v>15600.474698628108</v>
      </c>
      <c r="F201" s="27">
        <f t="shared" si="7"/>
        <v>16700.699535483072</v>
      </c>
      <c r="G201" s="27">
        <f t="shared" si="6"/>
        <v>51.703072508882798</v>
      </c>
      <c r="H201" s="29">
        <v>46</v>
      </c>
      <c r="I201" s="29">
        <v>3</v>
      </c>
      <c r="J201" s="12" t="s">
        <v>52</v>
      </c>
      <c r="K201" s="30">
        <v>40.885644999999997</v>
      </c>
      <c r="L201" s="30">
        <v>71.975255000000004</v>
      </c>
      <c r="M201" s="20">
        <v>250</v>
      </c>
    </row>
    <row r="202" spans="1:13" ht="30" customHeight="1">
      <c r="A202" s="19" t="s">
        <v>30</v>
      </c>
      <c r="B202" s="30" t="s">
        <v>387</v>
      </c>
      <c r="C202" s="30" t="s">
        <v>299</v>
      </c>
      <c r="D202" s="27">
        <v>31584.993294111184</v>
      </c>
      <c r="E202" s="28">
        <v>14973.89469862811</v>
      </c>
      <c r="F202" s="27">
        <f t="shared" si="7"/>
        <v>16611.098595483076</v>
      </c>
      <c r="G202" s="27">
        <f t="shared" si="6"/>
        <v>52.591743302918815</v>
      </c>
      <c r="H202" s="29">
        <v>41</v>
      </c>
      <c r="I202" s="29">
        <v>4</v>
      </c>
      <c r="J202" s="13" t="s">
        <v>52</v>
      </c>
      <c r="K202" s="30">
        <v>40.883506666700001</v>
      </c>
      <c r="L202" s="30">
        <v>71.977718333300004</v>
      </c>
      <c r="M202" s="20">
        <v>250</v>
      </c>
    </row>
    <row r="203" spans="1:13" ht="30" customHeight="1">
      <c r="A203" s="19" t="s">
        <v>30</v>
      </c>
      <c r="B203" s="30" t="s">
        <v>389</v>
      </c>
      <c r="C203" s="30" t="s">
        <v>300</v>
      </c>
      <c r="D203" s="27">
        <v>30050.241474111186</v>
      </c>
      <c r="E203" s="28">
        <v>13631.154698628108</v>
      </c>
      <c r="F203" s="27">
        <f t="shared" si="7"/>
        <v>16419.086775483076</v>
      </c>
      <c r="G203" s="27">
        <f t="shared" si="6"/>
        <v>54.638784815184962</v>
      </c>
      <c r="H203" s="29">
        <v>23</v>
      </c>
      <c r="I203" s="29">
        <v>4</v>
      </c>
      <c r="J203" s="13" t="s">
        <v>52</v>
      </c>
      <c r="K203" s="30">
        <v>40.877465000000001</v>
      </c>
      <c r="L203" s="30">
        <v>72.08811</v>
      </c>
      <c r="M203" s="20">
        <v>250</v>
      </c>
    </row>
    <row r="204" spans="1:13" ht="30" customHeight="1">
      <c r="A204" s="19" t="s">
        <v>30</v>
      </c>
      <c r="B204" s="30" t="s">
        <v>390</v>
      </c>
      <c r="C204" s="30" t="s">
        <v>301</v>
      </c>
      <c r="D204" s="27">
        <v>38934.273744111189</v>
      </c>
      <c r="E204" s="28">
        <v>21403.711365294777</v>
      </c>
      <c r="F204" s="27">
        <f t="shared" si="7"/>
        <v>17530.562378816412</v>
      </c>
      <c r="G204" s="27">
        <f t="shared" si="6"/>
        <v>45.026041821231892</v>
      </c>
      <c r="H204" s="29">
        <v>86</v>
      </c>
      <c r="I204" s="29">
        <v>3</v>
      </c>
      <c r="J204" s="13" t="s">
        <v>53</v>
      </c>
      <c r="K204" s="30">
        <v>40.861406666699999</v>
      </c>
      <c r="L204" s="30">
        <v>72.060223333300002</v>
      </c>
      <c r="M204" s="20">
        <v>100</v>
      </c>
    </row>
    <row r="205" spans="1:13" ht="30" customHeight="1">
      <c r="A205" s="19" t="s">
        <v>30</v>
      </c>
      <c r="B205" s="30" t="s">
        <v>388</v>
      </c>
      <c r="C205" s="30" t="s">
        <v>302</v>
      </c>
      <c r="D205" s="27">
        <v>33350.436804111188</v>
      </c>
      <c r="E205" s="28">
        <v>16518.464698628111</v>
      </c>
      <c r="F205" s="27">
        <f t="shared" si="7"/>
        <v>16831.972105483077</v>
      </c>
      <c r="G205" s="27">
        <f t="shared" si="6"/>
        <v>50.470019941112618</v>
      </c>
      <c r="H205" s="29">
        <v>65</v>
      </c>
      <c r="I205" s="29">
        <v>3</v>
      </c>
      <c r="J205" s="13" t="s">
        <v>53</v>
      </c>
      <c r="K205" s="30">
        <v>40.876036666700003</v>
      </c>
      <c r="L205" s="30">
        <v>72.012455000000003</v>
      </c>
      <c r="M205" s="20">
        <v>63</v>
      </c>
    </row>
    <row r="206" spans="1:13" ht="30" customHeight="1">
      <c r="A206" s="19" t="s">
        <v>30</v>
      </c>
      <c r="B206" s="30" t="s">
        <v>387</v>
      </c>
      <c r="C206" s="30" t="s">
        <v>303</v>
      </c>
      <c r="D206" s="27">
        <v>52918.097694111188</v>
      </c>
      <c r="E206" s="28">
        <v>33638.028031961432</v>
      </c>
      <c r="F206" s="27">
        <f t="shared" si="7"/>
        <v>19280.069662149755</v>
      </c>
      <c r="G206" s="27">
        <f t="shared" si="6"/>
        <v>36.433792033864577</v>
      </c>
      <c r="H206" s="29">
        <v>136</v>
      </c>
      <c r="I206" s="29">
        <v>3</v>
      </c>
      <c r="J206" s="13" t="s">
        <v>53</v>
      </c>
      <c r="K206" s="30">
        <v>40.878603333299999</v>
      </c>
      <c r="L206" s="30">
        <v>71.971546666699993</v>
      </c>
      <c r="M206" s="20">
        <v>100</v>
      </c>
    </row>
    <row r="207" spans="1:13" ht="30" customHeight="1">
      <c r="A207" s="19" t="s">
        <v>30</v>
      </c>
      <c r="B207" s="30" t="s">
        <v>388</v>
      </c>
      <c r="C207" s="30" t="s">
        <v>304</v>
      </c>
      <c r="D207" s="27">
        <v>32248.005684111187</v>
      </c>
      <c r="E207" s="28">
        <v>15553.958031961442</v>
      </c>
      <c r="F207" s="27">
        <f t="shared" si="7"/>
        <v>16694.047652149748</v>
      </c>
      <c r="G207" s="27">
        <f t="shared" si="6"/>
        <v>51.767690119128886</v>
      </c>
      <c r="H207" s="29">
        <v>49</v>
      </c>
      <c r="I207" s="29">
        <v>3</v>
      </c>
      <c r="J207" s="13" t="s">
        <v>53</v>
      </c>
      <c r="K207" s="30">
        <v>40.877144999999999</v>
      </c>
      <c r="L207" s="30">
        <v>72.008285000000001</v>
      </c>
      <c r="M207" s="20">
        <v>160</v>
      </c>
    </row>
    <row r="208" spans="1:13" ht="30" customHeight="1">
      <c r="A208" s="19" t="s">
        <v>30</v>
      </c>
      <c r="B208" s="30" t="s">
        <v>389</v>
      </c>
      <c r="C208" s="30" t="s">
        <v>305</v>
      </c>
      <c r="D208" s="27">
        <v>35365.153374111185</v>
      </c>
      <c r="E208" s="28">
        <v>18281.121365294777</v>
      </c>
      <c r="F208" s="27">
        <f t="shared" si="7"/>
        <v>17084.032008816408</v>
      </c>
      <c r="G208" s="27">
        <f t="shared" si="6"/>
        <v>48.30752981075053</v>
      </c>
      <c r="H208" s="29">
        <v>115</v>
      </c>
      <c r="I208" s="29">
        <v>3</v>
      </c>
      <c r="J208" s="13" t="s">
        <v>53</v>
      </c>
      <c r="K208" s="30">
        <v>40.881168333300003</v>
      </c>
      <c r="L208" s="30">
        <v>72.049769999999995</v>
      </c>
      <c r="M208" s="20">
        <v>160</v>
      </c>
    </row>
    <row r="209" spans="1:13" ht="30" customHeight="1">
      <c r="A209" s="19" t="s">
        <v>30</v>
      </c>
      <c r="B209" s="30" t="s">
        <v>390</v>
      </c>
      <c r="C209" s="30" t="s">
        <v>306</v>
      </c>
      <c r="D209" s="27">
        <v>31285.313934111189</v>
      </c>
      <c r="E209" s="28">
        <v>14711.708031961442</v>
      </c>
      <c r="F209" s="27">
        <f t="shared" si="7"/>
        <v>16573.605902149749</v>
      </c>
      <c r="G209" s="27">
        <f t="shared" si="6"/>
        <v>52.975673944186049</v>
      </c>
      <c r="H209" s="29">
        <v>82</v>
      </c>
      <c r="I209" s="29">
        <v>10</v>
      </c>
      <c r="J209" s="13" t="s">
        <v>53</v>
      </c>
      <c r="K209" s="30">
        <v>40.850251666699997</v>
      </c>
      <c r="L209" s="30">
        <v>72.055284999999998</v>
      </c>
      <c r="M209" s="20">
        <v>250</v>
      </c>
    </row>
    <row r="210" spans="1:13" ht="30" customHeight="1">
      <c r="A210" s="19" t="s">
        <v>30</v>
      </c>
      <c r="B210" s="30" t="s">
        <v>389</v>
      </c>
      <c r="C210" s="30" t="s">
        <v>307</v>
      </c>
      <c r="D210" s="27">
        <v>37262.144754111192</v>
      </c>
      <c r="E210" s="28">
        <v>19940.781365294777</v>
      </c>
      <c r="F210" s="27">
        <f t="shared" si="7"/>
        <v>17321.363388816415</v>
      </c>
      <c r="G210" s="27">
        <f t="shared" si="6"/>
        <v>46.485148676004002</v>
      </c>
      <c r="H210" s="29">
        <v>53</v>
      </c>
      <c r="I210" s="29">
        <v>3</v>
      </c>
      <c r="J210" s="13" t="s">
        <v>53</v>
      </c>
      <c r="K210" s="30">
        <v>40.8797483333</v>
      </c>
      <c r="L210" s="30">
        <v>72.029821666700002</v>
      </c>
      <c r="M210" s="20">
        <v>40</v>
      </c>
    </row>
    <row r="211" spans="1:13" ht="30" customHeight="1">
      <c r="A211" s="19" t="s">
        <v>30</v>
      </c>
      <c r="B211" s="30" t="s">
        <v>387</v>
      </c>
      <c r="C211" s="30" t="s">
        <v>308</v>
      </c>
      <c r="D211" s="27">
        <v>35628.485334111188</v>
      </c>
      <c r="E211" s="28">
        <v>18511.508031961443</v>
      </c>
      <c r="F211" s="27">
        <f t="shared" si="7"/>
        <v>17116.977302149746</v>
      </c>
      <c r="G211" s="27">
        <f t="shared" si="6"/>
        <v>48.042955353372051</v>
      </c>
      <c r="H211" s="29">
        <v>46</v>
      </c>
      <c r="I211" s="29">
        <v>3</v>
      </c>
      <c r="J211" s="13" t="s">
        <v>49</v>
      </c>
      <c r="K211" s="30">
        <v>40.87462</v>
      </c>
      <c r="L211" s="30">
        <v>71.975811666699997</v>
      </c>
      <c r="M211" s="20">
        <v>250</v>
      </c>
    </row>
    <row r="212" spans="1:13" ht="30" customHeight="1">
      <c r="A212" s="19" t="s">
        <v>30</v>
      </c>
      <c r="B212" s="30" t="s">
        <v>392</v>
      </c>
      <c r="C212" s="30" t="s">
        <v>309</v>
      </c>
      <c r="D212" s="27">
        <v>30835.752984111183</v>
      </c>
      <c r="E212" s="28">
        <v>14318.391365294776</v>
      </c>
      <c r="F212" s="27">
        <f t="shared" si="7"/>
        <v>16517.361618816409</v>
      </c>
      <c r="G212" s="27">
        <f t="shared" si="6"/>
        <v>53.565617895977283</v>
      </c>
      <c r="H212" s="29">
        <v>58</v>
      </c>
      <c r="I212" s="29">
        <v>4</v>
      </c>
      <c r="J212" s="13" t="s">
        <v>49</v>
      </c>
      <c r="K212" s="30">
        <v>40.841295000000002</v>
      </c>
      <c r="L212" s="30">
        <v>72.169233333299999</v>
      </c>
      <c r="M212" s="20">
        <v>63</v>
      </c>
    </row>
    <row r="213" spans="1:13" ht="30" customHeight="1">
      <c r="A213" s="19" t="s">
        <v>30</v>
      </c>
      <c r="B213" s="30" t="s">
        <v>389</v>
      </c>
      <c r="C213" s="30" t="s">
        <v>310</v>
      </c>
      <c r="D213" s="27">
        <v>34293.872814111186</v>
      </c>
      <c r="E213" s="28">
        <v>17343.868031961443</v>
      </c>
      <c r="F213" s="27">
        <f t="shared" si="7"/>
        <v>16950.004782149743</v>
      </c>
      <c r="G213" s="27">
        <f t="shared" si="6"/>
        <v>49.425752740224731</v>
      </c>
      <c r="H213" s="29">
        <v>65</v>
      </c>
      <c r="I213" s="29">
        <v>4</v>
      </c>
      <c r="J213" s="13" t="s">
        <v>54</v>
      </c>
      <c r="K213" s="30">
        <v>40.8741466667</v>
      </c>
      <c r="L213" s="30">
        <v>72.027926666699997</v>
      </c>
      <c r="M213" s="20">
        <v>25</v>
      </c>
    </row>
    <row r="214" spans="1:13" ht="30" customHeight="1">
      <c r="A214" s="19" t="s">
        <v>30</v>
      </c>
      <c r="B214" s="30" t="s">
        <v>392</v>
      </c>
      <c r="C214" s="30" t="s">
        <v>311</v>
      </c>
      <c r="D214" s="27">
        <v>30836.282574111188</v>
      </c>
      <c r="E214" s="28">
        <v>14318.854698628109</v>
      </c>
      <c r="F214" s="27">
        <f t="shared" si="7"/>
        <v>16517.427875483081</v>
      </c>
      <c r="G214" s="27">
        <f t="shared" si="6"/>
        <v>53.564912812643634</v>
      </c>
      <c r="H214" s="29">
        <v>53</v>
      </c>
      <c r="I214" s="29">
        <v>3</v>
      </c>
      <c r="J214" s="13" t="s">
        <v>52</v>
      </c>
      <c r="K214" s="30">
        <v>40.822923333299997</v>
      </c>
      <c r="L214" s="30">
        <v>72.176041666700002</v>
      </c>
      <c r="M214" s="20">
        <v>100</v>
      </c>
    </row>
    <row r="215" spans="1:13" ht="30" customHeight="1">
      <c r="A215" s="19" t="s">
        <v>30</v>
      </c>
      <c r="B215" s="30" t="s">
        <v>388</v>
      </c>
      <c r="C215" s="30" t="s">
        <v>312</v>
      </c>
      <c r="D215" s="27">
        <v>32403.034584111185</v>
      </c>
      <c r="E215" s="28">
        <v>15689.591365294777</v>
      </c>
      <c r="F215" s="27">
        <f t="shared" si="7"/>
        <v>16713.443218816406</v>
      </c>
      <c r="G215" s="27">
        <f t="shared" si="6"/>
        <v>51.579870321811889</v>
      </c>
      <c r="H215" s="29">
        <v>71</v>
      </c>
      <c r="I215" s="29">
        <v>3</v>
      </c>
      <c r="J215" s="13" t="s">
        <v>42</v>
      </c>
      <c r="K215" s="30">
        <v>40.871153333300001</v>
      </c>
      <c r="L215" s="30">
        <v>72.022553333299996</v>
      </c>
      <c r="M215" s="20">
        <v>250</v>
      </c>
    </row>
    <row r="216" spans="1:13" ht="30" customHeight="1">
      <c r="A216" s="19" t="s">
        <v>30</v>
      </c>
      <c r="B216" s="30" t="s">
        <v>389</v>
      </c>
      <c r="C216" s="30" t="s">
        <v>313</v>
      </c>
      <c r="D216" s="27">
        <v>43020.85307411119</v>
      </c>
      <c r="E216" s="28">
        <v>24979.021365294775</v>
      </c>
      <c r="F216" s="27">
        <f t="shared" si="7"/>
        <v>18041.831708816415</v>
      </c>
      <c r="G216" s="27">
        <f t="shared" si="6"/>
        <v>41.937410394294368</v>
      </c>
      <c r="H216" s="29">
        <v>94</v>
      </c>
      <c r="I216" s="29">
        <v>6</v>
      </c>
      <c r="J216" s="13" t="s">
        <v>27</v>
      </c>
      <c r="K216" s="30">
        <v>40.879914999999997</v>
      </c>
      <c r="L216" s="30">
        <v>72.089108333300004</v>
      </c>
      <c r="M216" s="20">
        <v>40</v>
      </c>
    </row>
    <row r="217" spans="1:13" ht="30" customHeight="1">
      <c r="A217" s="19" t="s">
        <v>30</v>
      </c>
      <c r="B217" s="30" t="s">
        <v>388</v>
      </c>
      <c r="C217" s="30" t="s">
        <v>314</v>
      </c>
      <c r="D217" s="27">
        <v>31639.076244111187</v>
      </c>
      <c r="E217" s="28">
        <v>15021.211365294776</v>
      </c>
      <c r="F217" s="27">
        <f t="shared" si="7"/>
        <v>16617.864878816414</v>
      </c>
      <c r="G217" s="27">
        <f t="shared" si="6"/>
        <v>52.523230294719518</v>
      </c>
      <c r="H217" s="29">
        <v>49</v>
      </c>
      <c r="I217" s="29">
        <v>4</v>
      </c>
      <c r="J217" s="13" t="s">
        <v>32</v>
      </c>
      <c r="K217" s="30">
        <v>40.876891666699997</v>
      </c>
      <c r="L217" s="30">
        <v>71.987205000000003</v>
      </c>
      <c r="M217" s="19">
        <v>160</v>
      </c>
    </row>
    <row r="218" spans="1:13" ht="30" customHeight="1">
      <c r="A218" s="19" t="s">
        <v>30</v>
      </c>
      <c r="B218" s="30" t="s">
        <v>388</v>
      </c>
      <c r="C218" s="30" t="s">
        <v>315</v>
      </c>
      <c r="D218" s="27">
        <v>31864.948284111182</v>
      </c>
      <c r="E218" s="28">
        <v>15218.82469862811</v>
      </c>
      <c r="F218" s="27">
        <f t="shared" si="7"/>
        <v>16646.123585483074</v>
      </c>
      <c r="G218" s="27">
        <f t="shared" si="6"/>
        <v>52.239606469982341</v>
      </c>
      <c r="H218" s="29">
        <v>40</v>
      </c>
      <c r="I218" s="29">
        <v>4</v>
      </c>
      <c r="J218" s="13"/>
      <c r="K218" s="30">
        <v>40.8787183333</v>
      </c>
      <c r="L218" s="30">
        <v>71.984646666700002</v>
      </c>
      <c r="M218" s="20">
        <v>160</v>
      </c>
    </row>
    <row r="219" spans="1:13" ht="30" customHeight="1">
      <c r="A219" s="19" t="s">
        <v>30</v>
      </c>
      <c r="B219" s="30" t="s">
        <v>392</v>
      </c>
      <c r="C219" s="30" t="s">
        <v>316</v>
      </c>
      <c r="D219" s="27">
        <v>34078.146804111188</v>
      </c>
      <c r="E219" s="28">
        <v>17155.131365294776</v>
      </c>
      <c r="F219" s="27">
        <f t="shared" si="7"/>
        <v>16923.015438816412</v>
      </c>
      <c r="G219" s="27">
        <f t="shared" si="6"/>
        <v>49.659435814082528</v>
      </c>
      <c r="H219" s="29">
        <v>93</v>
      </c>
      <c r="I219" s="29">
        <v>3</v>
      </c>
      <c r="J219" s="13"/>
      <c r="K219" s="30">
        <v>40.835000000000001</v>
      </c>
      <c r="L219" s="30">
        <v>72.206898333300003</v>
      </c>
      <c r="M219" s="20">
        <v>63</v>
      </c>
    </row>
    <row r="220" spans="1:13" ht="30" customHeight="1">
      <c r="A220" s="19" t="s">
        <v>30</v>
      </c>
      <c r="B220" s="30" t="s">
        <v>387</v>
      </c>
      <c r="C220" s="30" t="s">
        <v>317</v>
      </c>
      <c r="D220" s="27">
        <v>31609.830684111184</v>
      </c>
      <c r="E220" s="28">
        <v>14995.624698628109</v>
      </c>
      <c r="F220" s="27">
        <f t="shared" si="7"/>
        <v>16614.205985483073</v>
      </c>
      <c r="G220" s="27">
        <f t="shared" si="6"/>
        <v>52.560249852379862</v>
      </c>
      <c r="H220" s="29">
        <v>77</v>
      </c>
      <c r="I220" s="29">
        <v>4</v>
      </c>
      <c r="J220" s="13"/>
      <c r="K220" s="30">
        <v>40.880708333299999</v>
      </c>
      <c r="L220" s="30">
        <v>71.964420000000004</v>
      </c>
      <c r="M220" s="20">
        <v>63</v>
      </c>
    </row>
    <row r="221" spans="1:13" ht="30" customHeight="1">
      <c r="A221" s="19" t="s">
        <v>13</v>
      </c>
      <c r="B221" s="30" t="s">
        <v>386</v>
      </c>
      <c r="C221" s="30" t="s">
        <v>318</v>
      </c>
      <c r="D221" s="27">
        <v>52510.633434111187</v>
      </c>
      <c r="E221" s="28">
        <v>33281.541365294768</v>
      </c>
      <c r="F221" s="27">
        <f t="shared" si="7"/>
        <v>19229.092068816419</v>
      </c>
      <c r="G221" s="27">
        <f t="shared" si="6"/>
        <v>36.619425078816697</v>
      </c>
      <c r="H221" s="29">
        <v>68</v>
      </c>
      <c r="I221" s="29">
        <v>4</v>
      </c>
      <c r="J221" s="13"/>
      <c r="K221" s="30">
        <v>40.874901666699998</v>
      </c>
      <c r="L221" s="30">
        <v>71.967150000000004</v>
      </c>
      <c r="M221" s="20">
        <v>160</v>
      </c>
    </row>
    <row r="222" spans="1:13" ht="30" customHeight="1">
      <c r="A222" s="19" t="s">
        <v>30</v>
      </c>
      <c r="B222" s="30" t="s">
        <v>386</v>
      </c>
      <c r="C222" s="30" t="s">
        <v>319</v>
      </c>
      <c r="D222" s="27">
        <v>32520.740724111187</v>
      </c>
      <c r="E222" s="28">
        <v>15792.571365294776</v>
      </c>
      <c r="F222" s="27">
        <f t="shared" si="7"/>
        <v>16728.169358816413</v>
      </c>
      <c r="G222" s="27">
        <f t="shared" si="6"/>
        <v>51.438463535407692</v>
      </c>
      <c r="H222" s="29">
        <v>122</v>
      </c>
      <c r="I222" s="29">
        <v>4</v>
      </c>
      <c r="J222" s="13"/>
      <c r="K222" s="30">
        <v>40.869693333299999</v>
      </c>
      <c r="L222" s="30">
        <v>71.966144999999997</v>
      </c>
      <c r="M222" s="19">
        <v>160</v>
      </c>
    </row>
    <row r="223" spans="1:13" ht="30" customHeight="1">
      <c r="A223" s="19" t="s">
        <v>30</v>
      </c>
      <c r="B223" s="30" t="s">
        <v>384</v>
      </c>
      <c r="C223" s="30" t="s">
        <v>90</v>
      </c>
      <c r="D223" s="27">
        <v>31410.392424111189</v>
      </c>
      <c r="E223" s="28">
        <v>14821.138031961442</v>
      </c>
      <c r="F223" s="27">
        <f t="shared" si="7"/>
        <v>16589.254392149749</v>
      </c>
      <c r="G223" s="27">
        <f t="shared" si="6"/>
        <v>52.814540385734041</v>
      </c>
      <c r="H223" s="29">
        <v>83</v>
      </c>
      <c r="I223" s="29">
        <v>3</v>
      </c>
      <c r="J223" s="13" t="s">
        <v>39</v>
      </c>
      <c r="K223" s="30">
        <v>40.8802053239</v>
      </c>
      <c r="L223" s="30">
        <v>71.948066717000003</v>
      </c>
      <c r="M223" s="20">
        <v>100</v>
      </c>
    </row>
    <row r="224" spans="1:13" ht="30" customHeight="1">
      <c r="A224" s="19" t="s">
        <v>13</v>
      </c>
      <c r="B224" s="30" t="s">
        <v>392</v>
      </c>
      <c r="C224" s="30" t="s">
        <v>320</v>
      </c>
      <c r="D224" s="27">
        <v>33083.222454111186</v>
      </c>
      <c r="E224" s="28">
        <v>16284.681365294777</v>
      </c>
      <c r="F224" s="27">
        <f t="shared" si="7"/>
        <v>16798.541088816412</v>
      </c>
      <c r="G224" s="27">
        <f t="shared" si="6"/>
        <v>50.776616794561647</v>
      </c>
      <c r="H224" s="29">
        <v>38</v>
      </c>
      <c r="I224" s="29">
        <v>3</v>
      </c>
      <c r="J224" s="13" t="s">
        <v>23</v>
      </c>
      <c r="K224" s="30">
        <v>40.837551666700001</v>
      </c>
      <c r="L224" s="30">
        <v>72.172751666699995</v>
      </c>
      <c r="M224" s="20">
        <v>100</v>
      </c>
    </row>
    <row r="225" spans="1:13" ht="30" customHeight="1">
      <c r="A225" s="16" t="s">
        <v>13</v>
      </c>
      <c r="B225" s="30" t="s">
        <v>385</v>
      </c>
      <c r="C225" s="30" t="s">
        <v>321</v>
      </c>
      <c r="D225" s="27">
        <v>34958.458734111184</v>
      </c>
      <c r="E225" s="28">
        <v>17925.308031961442</v>
      </c>
      <c r="F225" s="27">
        <f t="shared" si="7"/>
        <v>17033.150702149742</v>
      </c>
      <c r="G225" s="27">
        <f t="shared" si="6"/>
        <v>48.723975023330816</v>
      </c>
      <c r="H225" s="29">
        <v>84</v>
      </c>
      <c r="I225" s="29">
        <v>5</v>
      </c>
      <c r="J225" s="15" t="s">
        <v>55</v>
      </c>
      <c r="K225" s="30">
        <v>40.857341666700002</v>
      </c>
      <c r="L225" s="30">
        <v>72.001365000000007</v>
      </c>
      <c r="M225" s="15">
        <v>1000</v>
      </c>
    </row>
    <row r="226" spans="1:13" ht="30" customHeight="1">
      <c r="A226" s="16" t="s">
        <v>13</v>
      </c>
      <c r="B226" s="30" t="s">
        <v>387</v>
      </c>
      <c r="C226" s="30" t="s">
        <v>322</v>
      </c>
      <c r="D226" s="27">
        <v>32129.324184111189</v>
      </c>
      <c r="E226" s="28">
        <v>15450.124698628109</v>
      </c>
      <c r="F226" s="27">
        <f t="shared" si="7"/>
        <v>16679.199485483077</v>
      </c>
      <c r="G226" s="27">
        <f t="shared" si="6"/>
        <v>51.912699407886663</v>
      </c>
      <c r="H226" s="29">
        <v>46</v>
      </c>
      <c r="I226" s="29">
        <v>3</v>
      </c>
      <c r="J226" s="15" t="s">
        <v>55</v>
      </c>
      <c r="K226" s="30">
        <v>40.883535000000002</v>
      </c>
      <c r="L226" s="30">
        <v>71.979993333300001</v>
      </c>
      <c r="M226" s="15">
        <v>630</v>
      </c>
    </row>
    <row r="227" spans="1:13" ht="30" customHeight="1">
      <c r="A227" s="16" t="s">
        <v>13</v>
      </c>
      <c r="B227" s="30" t="s">
        <v>390</v>
      </c>
      <c r="C227" s="30" t="s">
        <v>323</v>
      </c>
      <c r="D227" s="27">
        <v>33505.473324111183</v>
      </c>
      <c r="E227" s="28">
        <v>16654.104698628111</v>
      </c>
      <c r="F227" s="27">
        <f t="shared" si="7"/>
        <v>16851.368625483072</v>
      </c>
      <c r="G227" s="27">
        <f t="shared" si="6"/>
        <v>50.294375675500469</v>
      </c>
      <c r="H227" s="29">
        <v>47</v>
      </c>
      <c r="I227" s="29">
        <v>6</v>
      </c>
      <c r="J227" s="15" t="s">
        <v>56</v>
      </c>
      <c r="K227" s="30">
        <v>40.874026666600002</v>
      </c>
      <c r="L227" s="30">
        <v>72.094549999700007</v>
      </c>
      <c r="M227" s="15">
        <v>400</v>
      </c>
    </row>
    <row r="228" spans="1:13" ht="30" customHeight="1">
      <c r="A228" s="16" t="s">
        <v>30</v>
      </c>
      <c r="B228" s="30" t="s">
        <v>391</v>
      </c>
      <c r="C228" s="30" t="s">
        <v>324</v>
      </c>
      <c r="D228" s="27">
        <v>31150.133229111183</v>
      </c>
      <c r="E228" s="28">
        <v>14593.439698628108</v>
      </c>
      <c r="F228" s="27">
        <f t="shared" si="7"/>
        <v>16556.693530483077</v>
      </c>
      <c r="G228" s="27">
        <f t="shared" si="6"/>
        <v>53.151276781731738</v>
      </c>
      <c r="H228" s="29">
        <v>70</v>
      </c>
      <c r="I228" s="29">
        <v>4</v>
      </c>
      <c r="J228" s="15" t="s">
        <v>57</v>
      </c>
      <c r="K228" s="30">
        <v>40.846710000000002</v>
      </c>
      <c r="L228" s="30">
        <v>72.065683333300001</v>
      </c>
      <c r="M228" s="15">
        <v>1000</v>
      </c>
    </row>
    <row r="229" spans="1:13" ht="30" customHeight="1">
      <c r="A229" s="16" t="s">
        <v>13</v>
      </c>
      <c r="B229" s="30" t="s">
        <v>392</v>
      </c>
      <c r="C229" s="30" t="s">
        <v>325</v>
      </c>
      <c r="D229" s="27">
        <v>42252.501804111183</v>
      </c>
      <c r="E229" s="28">
        <v>24306.798031961447</v>
      </c>
      <c r="F229" s="27">
        <f t="shared" si="7"/>
        <v>17945.703772149736</v>
      </c>
      <c r="G229" s="27">
        <f t="shared" si="6"/>
        <v>42.472523533277766</v>
      </c>
      <c r="H229" s="29">
        <v>121</v>
      </c>
      <c r="I229" s="29">
        <v>3</v>
      </c>
      <c r="J229" s="15" t="s">
        <v>58</v>
      </c>
      <c r="K229" s="30">
        <v>40.839961666699999</v>
      </c>
      <c r="L229" s="30">
        <v>72.232654999999994</v>
      </c>
      <c r="M229" s="15">
        <v>1000</v>
      </c>
    </row>
    <row r="230" spans="1:13" ht="30" customHeight="1">
      <c r="A230" s="16" t="s">
        <v>13</v>
      </c>
      <c r="B230" s="30" t="s">
        <v>387</v>
      </c>
      <c r="C230" s="30" t="s">
        <v>326</v>
      </c>
      <c r="D230" s="27">
        <v>42899.138814111189</v>
      </c>
      <c r="E230" s="28">
        <v>24872.534698628111</v>
      </c>
      <c r="F230" s="27">
        <f t="shared" si="7"/>
        <v>18026.604115483078</v>
      </c>
      <c r="G230" s="27">
        <f t="shared" si="6"/>
        <v>42.020899751846372</v>
      </c>
      <c r="H230" s="29">
        <v>97</v>
      </c>
      <c r="I230" s="29">
        <v>3</v>
      </c>
      <c r="J230" s="15" t="s">
        <v>55</v>
      </c>
      <c r="K230" s="30">
        <v>40.873249936800001</v>
      </c>
      <c r="L230" s="30">
        <v>71.969074951500005</v>
      </c>
      <c r="M230" s="15">
        <v>160</v>
      </c>
    </row>
    <row r="231" spans="1:13" ht="30" customHeight="1">
      <c r="A231" s="16" t="s">
        <v>13</v>
      </c>
      <c r="B231" s="30" t="s">
        <v>384</v>
      </c>
      <c r="C231" s="30" t="s">
        <v>118</v>
      </c>
      <c r="D231" s="27">
        <v>39658.836684111186</v>
      </c>
      <c r="E231" s="28">
        <v>22037.624698628115</v>
      </c>
      <c r="F231" s="27">
        <f t="shared" si="7"/>
        <v>17621.211985483071</v>
      </c>
      <c r="G231" s="27">
        <f t="shared" si="6"/>
        <v>44.431994124887652</v>
      </c>
      <c r="H231" s="29">
        <v>48</v>
      </c>
      <c r="I231" s="29">
        <v>4</v>
      </c>
      <c r="J231" s="15" t="s">
        <v>59</v>
      </c>
      <c r="K231" s="30">
        <v>40.895608333299997</v>
      </c>
      <c r="L231" s="30">
        <v>71.923013333300005</v>
      </c>
      <c r="M231" s="15">
        <v>100</v>
      </c>
    </row>
    <row r="232" spans="1:13" ht="30" customHeight="1">
      <c r="A232" s="16" t="s">
        <v>13</v>
      </c>
      <c r="B232" s="30" t="s">
        <v>386</v>
      </c>
      <c r="C232" s="30" t="s">
        <v>327</v>
      </c>
      <c r="D232" s="27">
        <v>32092.694844111189</v>
      </c>
      <c r="E232" s="28">
        <v>15418.078031961444</v>
      </c>
      <c r="F232" s="27">
        <f t="shared" si="7"/>
        <v>16674.616812149747</v>
      </c>
      <c r="G232" s="27">
        <f t="shared" si="6"/>
        <v>51.957671031198664</v>
      </c>
      <c r="H232" s="29">
        <v>63</v>
      </c>
      <c r="I232" s="29">
        <v>6</v>
      </c>
      <c r="J232" s="15" t="s">
        <v>55</v>
      </c>
      <c r="K232" s="30">
        <v>40.875115049900003</v>
      </c>
      <c r="L232" s="30">
        <v>72.008864803799995</v>
      </c>
      <c r="M232" s="15">
        <v>250</v>
      </c>
    </row>
    <row r="233" spans="1:13" ht="30" customHeight="1">
      <c r="A233" s="16" t="s">
        <v>13</v>
      </c>
      <c r="B233" s="30" t="s">
        <v>390</v>
      </c>
      <c r="C233" s="30" t="s">
        <v>328</v>
      </c>
      <c r="D233" s="27">
        <v>32821.685004111183</v>
      </c>
      <c r="E233" s="28">
        <v>16055.864698628107</v>
      </c>
      <c r="F233" s="27">
        <f t="shared" si="7"/>
        <v>16765.820305483074</v>
      </c>
      <c r="G233" s="27">
        <f t="shared" si="6"/>
        <v>51.081534367851674</v>
      </c>
      <c r="H233" s="29">
        <v>41</v>
      </c>
      <c r="I233" s="29">
        <v>3</v>
      </c>
      <c r="J233" s="15" t="s">
        <v>60</v>
      </c>
      <c r="K233" s="30">
        <v>40.874026666600002</v>
      </c>
      <c r="L233" s="30">
        <v>72.094549999700007</v>
      </c>
      <c r="M233" s="15">
        <v>160</v>
      </c>
    </row>
    <row r="234" spans="1:13" ht="30" customHeight="1">
      <c r="A234" s="16" t="s">
        <v>13</v>
      </c>
      <c r="B234" s="30" t="s">
        <v>391</v>
      </c>
      <c r="C234" s="30" t="s">
        <v>329</v>
      </c>
      <c r="D234" s="27">
        <v>35262.169074111189</v>
      </c>
      <c r="E234" s="28">
        <v>18191.021365294775</v>
      </c>
      <c r="F234" s="27">
        <f t="shared" si="7"/>
        <v>17071.147708816414</v>
      </c>
      <c r="G234" s="27">
        <f t="shared" si="6"/>
        <v>48.412074915010614</v>
      </c>
      <c r="H234" s="29">
        <v>97</v>
      </c>
      <c r="I234" s="29">
        <v>4</v>
      </c>
      <c r="J234" s="15" t="s">
        <v>61</v>
      </c>
      <c r="K234" s="30">
        <v>40.816318333300003</v>
      </c>
      <c r="L234" s="30">
        <v>72.106885000000005</v>
      </c>
      <c r="M234" s="15">
        <v>100</v>
      </c>
    </row>
    <row r="235" spans="1:13" ht="30" customHeight="1">
      <c r="A235" s="16" t="s">
        <v>13</v>
      </c>
      <c r="B235" s="30" t="s">
        <v>390</v>
      </c>
      <c r="C235" s="30" t="s">
        <v>330</v>
      </c>
      <c r="D235" s="27">
        <v>32218.508664111185</v>
      </c>
      <c r="E235" s="28">
        <v>15528.151365294774</v>
      </c>
      <c r="F235" s="27">
        <f t="shared" si="7"/>
        <v>16690.357298816409</v>
      </c>
      <c r="G235" s="27">
        <f t="shared" si="6"/>
        <v>51.803630865782807</v>
      </c>
      <c r="H235" s="29">
        <v>32</v>
      </c>
      <c r="I235" s="29">
        <v>3</v>
      </c>
      <c r="J235" s="15" t="s">
        <v>55</v>
      </c>
      <c r="K235" s="30">
        <v>40.872684479199997</v>
      </c>
      <c r="L235" s="30">
        <v>72.093719629500001</v>
      </c>
      <c r="M235" s="15">
        <v>100</v>
      </c>
    </row>
    <row r="236" spans="1:13" ht="30" customHeight="1">
      <c r="A236" s="16" t="s">
        <v>13</v>
      </c>
      <c r="B236" s="30" t="s">
        <v>384</v>
      </c>
      <c r="C236" s="30" t="s">
        <v>95</v>
      </c>
      <c r="D236" s="27">
        <v>32120.549754111184</v>
      </c>
      <c r="E236" s="28">
        <v>15442.448031961443</v>
      </c>
      <c r="F236" s="27">
        <f t="shared" si="7"/>
        <v>16678.101722149739</v>
      </c>
      <c r="G236" s="27">
        <f t="shared" si="6"/>
        <v>51.923462860454528</v>
      </c>
      <c r="H236" s="29">
        <v>45</v>
      </c>
      <c r="I236" s="29">
        <v>3</v>
      </c>
      <c r="J236" s="15" t="s">
        <v>62</v>
      </c>
      <c r="K236" s="30">
        <v>40.874026666600002</v>
      </c>
      <c r="L236" s="30">
        <v>72.094549999700007</v>
      </c>
      <c r="M236" s="15">
        <v>400</v>
      </c>
    </row>
    <row r="237" spans="1:13" ht="30" customHeight="1">
      <c r="A237" s="16" t="s">
        <v>13</v>
      </c>
      <c r="B237" s="30" t="s">
        <v>388</v>
      </c>
      <c r="C237" s="30" t="s">
        <v>331</v>
      </c>
      <c r="D237" s="27">
        <v>33375.777114111188</v>
      </c>
      <c r="E237" s="28">
        <v>16540.63469862811</v>
      </c>
      <c r="F237" s="27">
        <f t="shared" si="7"/>
        <v>16835.142415483078</v>
      </c>
      <c r="G237" s="27">
        <f t="shared" si="6"/>
        <v>50.441199789667898</v>
      </c>
      <c r="H237" s="29">
        <v>76</v>
      </c>
      <c r="I237" s="29">
        <v>4</v>
      </c>
      <c r="J237" s="15" t="s">
        <v>60</v>
      </c>
      <c r="K237" s="30">
        <v>40.869140000000002</v>
      </c>
      <c r="L237" s="30">
        <v>71.991384999999994</v>
      </c>
      <c r="M237" s="15">
        <v>100</v>
      </c>
    </row>
    <row r="238" spans="1:13" ht="30" customHeight="1">
      <c r="A238" s="16" t="s">
        <v>13</v>
      </c>
      <c r="B238" s="30" t="s">
        <v>392</v>
      </c>
      <c r="C238" s="30" t="s">
        <v>332</v>
      </c>
      <c r="D238" s="27">
        <v>32735.034174111184</v>
      </c>
      <c r="E238" s="28">
        <v>15980.05469862811</v>
      </c>
      <c r="F238" s="27">
        <f t="shared" si="7"/>
        <v>16754.979475483073</v>
      </c>
      <c r="G238" s="27">
        <f t="shared" si="6"/>
        <v>51.183632148867311</v>
      </c>
      <c r="H238" s="29">
        <v>49</v>
      </c>
      <c r="I238" s="29">
        <v>3</v>
      </c>
      <c r="J238" s="15" t="s">
        <v>63</v>
      </c>
      <c r="K238" s="30">
        <v>40.820733333200003</v>
      </c>
      <c r="L238" s="30">
        <v>72.163296666700006</v>
      </c>
      <c r="M238" s="15">
        <v>160</v>
      </c>
    </row>
    <row r="239" spans="1:13" ht="30" customHeight="1">
      <c r="A239" s="16" t="s">
        <v>30</v>
      </c>
      <c r="B239" s="30" t="s">
        <v>391</v>
      </c>
      <c r="C239" s="30" t="s">
        <v>333</v>
      </c>
      <c r="D239" s="27">
        <v>33744.150774111185</v>
      </c>
      <c r="E239" s="28">
        <v>16862.921365294776</v>
      </c>
      <c r="F239" s="27">
        <f t="shared" si="7"/>
        <v>16881.229408816409</v>
      </c>
      <c r="G239" s="27">
        <f t="shared" si="6"/>
        <v>50.02712772895692</v>
      </c>
      <c r="H239" s="29">
        <v>65</v>
      </c>
      <c r="I239" s="29">
        <v>3</v>
      </c>
      <c r="J239" s="15" t="s">
        <v>64</v>
      </c>
      <c r="K239" s="30">
        <v>40.813206666600003</v>
      </c>
      <c r="L239" s="30">
        <v>72.109205000000003</v>
      </c>
      <c r="M239" s="15">
        <v>630</v>
      </c>
    </row>
    <row r="240" spans="1:13" ht="30" customHeight="1">
      <c r="A240" s="16" t="s">
        <v>13</v>
      </c>
      <c r="B240" s="30" t="s">
        <v>386</v>
      </c>
      <c r="C240" s="30" t="s">
        <v>334</v>
      </c>
      <c r="D240" s="27">
        <v>35472.427734111188</v>
      </c>
      <c r="E240" s="28">
        <v>18374.97469862811</v>
      </c>
      <c r="F240" s="27">
        <f t="shared" si="7"/>
        <v>17097.453035483079</v>
      </c>
      <c r="G240" s="27">
        <f t="shared" si="6"/>
        <v>48.199275120495159</v>
      </c>
      <c r="H240" s="29">
        <v>98</v>
      </c>
      <c r="I240" s="29">
        <v>6</v>
      </c>
      <c r="J240" s="15" t="s">
        <v>65</v>
      </c>
      <c r="K240" s="30">
        <v>40.872072950000003</v>
      </c>
      <c r="L240" s="30">
        <v>71.967303771499999</v>
      </c>
      <c r="M240" s="15">
        <v>100</v>
      </c>
    </row>
    <row r="241" spans="1:14" ht="30" customHeight="1">
      <c r="A241" s="16" t="s">
        <v>30</v>
      </c>
      <c r="B241" s="30" t="s">
        <v>389</v>
      </c>
      <c r="C241" s="30" t="s">
        <v>335</v>
      </c>
      <c r="D241" s="27">
        <v>34846.044684111184</v>
      </c>
      <c r="E241" s="28">
        <v>17826.958031961443</v>
      </c>
      <c r="F241" s="27">
        <f t="shared" si="7"/>
        <v>17019.086652149741</v>
      </c>
      <c r="G241" s="27">
        <f t="shared" si="6"/>
        <v>48.840799024487183</v>
      </c>
      <c r="H241" s="29">
        <v>70</v>
      </c>
      <c r="I241" s="29">
        <v>4</v>
      </c>
      <c r="J241" s="15" t="s">
        <v>62</v>
      </c>
      <c r="K241" s="30">
        <v>40.875613333300002</v>
      </c>
      <c r="L241" s="30">
        <v>72.034936666700006</v>
      </c>
      <c r="M241" s="15">
        <v>400</v>
      </c>
    </row>
    <row r="242" spans="1:14" ht="30" customHeight="1">
      <c r="A242" s="16" t="s">
        <v>13</v>
      </c>
      <c r="B242" s="30" t="s">
        <v>391</v>
      </c>
      <c r="C242" s="30" t="s">
        <v>336</v>
      </c>
      <c r="D242" s="27">
        <v>30146.447784111188</v>
      </c>
      <c r="E242" s="28">
        <v>13715.32469862811</v>
      </c>
      <c r="F242" s="27">
        <f t="shared" si="7"/>
        <v>16431.123085483079</v>
      </c>
      <c r="G242" s="27">
        <f t="shared" si="6"/>
        <v>54.504342279899298</v>
      </c>
      <c r="H242" s="29">
        <v>20</v>
      </c>
      <c r="I242" s="29">
        <v>3</v>
      </c>
      <c r="J242" s="15" t="s">
        <v>66</v>
      </c>
      <c r="K242" s="30">
        <v>40.813206666600003</v>
      </c>
      <c r="L242" s="30">
        <v>72.109205000000003</v>
      </c>
      <c r="M242" s="15">
        <v>100</v>
      </c>
    </row>
    <row r="243" spans="1:14" ht="30" customHeight="1">
      <c r="A243" s="16" t="s">
        <v>13</v>
      </c>
      <c r="B243" s="30" t="s">
        <v>391</v>
      </c>
      <c r="C243" s="30" t="s">
        <v>337</v>
      </c>
      <c r="D243" s="27">
        <v>30641.458224111186</v>
      </c>
      <c r="E243" s="28">
        <v>14148.404698628108</v>
      </c>
      <c r="F243" s="27">
        <f t="shared" si="7"/>
        <v>16493.053525483076</v>
      </c>
      <c r="G243" s="27">
        <f t="shared" si="6"/>
        <v>53.825941979827192</v>
      </c>
      <c r="H243" s="29">
        <v>45</v>
      </c>
      <c r="I243" s="29">
        <v>3</v>
      </c>
      <c r="J243" s="15" t="s">
        <v>59</v>
      </c>
      <c r="K243" s="30">
        <v>40.813206666600003</v>
      </c>
      <c r="L243" s="30">
        <v>72.109205000000003</v>
      </c>
      <c r="M243" s="15">
        <v>100</v>
      </c>
    </row>
    <row r="244" spans="1:14" ht="30" customHeight="1">
      <c r="A244" s="16" t="s">
        <v>13</v>
      </c>
      <c r="B244" s="30" t="s">
        <v>391</v>
      </c>
      <c r="C244" s="30" t="s">
        <v>338</v>
      </c>
      <c r="D244" s="27">
        <v>30262.187964111188</v>
      </c>
      <c r="E244" s="28">
        <v>13816.584698628109</v>
      </c>
      <c r="F244" s="27">
        <f t="shared" si="7"/>
        <v>16445.603265483078</v>
      </c>
      <c r="G244" s="27">
        <f t="shared" si="6"/>
        <v>54.343735109260436</v>
      </c>
      <c r="H244" s="29">
        <v>24</v>
      </c>
      <c r="I244" s="29">
        <v>4</v>
      </c>
      <c r="J244" s="15" t="s">
        <v>66</v>
      </c>
      <c r="K244" s="30">
        <v>40.813206666600003</v>
      </c>
      <c r="L244" s="30">
        <v>72.109205000000003</v>
      </c>
      <c r="M244" s="15">
        <v>25</v>
      </c>
    </row>
    <row r="245" spans="1:14" ht="30" customHeight="1">
      <c r="A245" s="16" t="s">
        <v>13</v>
      </c>
      <c r="B245" s="30" t="s">
        <v>387</v>
      </c>
      <c r="C245" s="30" t="s">
        <v>339</v>
      </c>
      <c r="D245" s="27">
        <v>29861.711244111182</v>
      </c>
      <c r="E245" s="28">
        <v>13466.211365294776</v>
      </c>
      <c r="F245" s="27">
        <f t="shared" si="7"/>
        <v>16395.499878816408</v>
      </c>
      <c r="G245" s="27">
        <f t="shared" si="6"/>
        <v>54.904756612197332</v>
      </c>
      <c r="H245" s="29">
        <v>32</v>
      </c>
      <c r="I245" s="29">
        <v>6</v>
      </c>
      <c r="J245" s="15" t="s">
        <v>66</v>
      </c>
      <c r="K245" s="30">
        <v>40.887124999999997</v>
      </c>
      <c r="L245" s="30">
        <v>71.961399</v>
      </c>
      <c r="M245" s="15">
        <v>63</v>
      </c>
    </row>
    <row r="246" spans="1:14" ht="30" customHeight="1">
      <c r="A246" s="16" t="s">
        <v>13</v>
      </c>
      <c r="B246" s="30" t="s">
        <v>388</v>
      </c>
      <c r="C246" s="30" t="s">
        <v>340</v>
      </c>
      <c r="D246" s="27">
        <v>29889.177534111186</v>
      </c>
      <c r="E246" s="28">
        <v>13490.241365294774</v>
      </c>
      <c r="F246" s="27">
        <f t="shared" si="7"/>
        <v>16398.936168816414</v>
      </c>
      <c r="G246" s="27">
        <f t="shared" si="6"/>
        <v>54.865799335231081</v>
      </c>
      <c r="H246" s="29">
        <v>95</v>
      </c>
      <c r="I246" s="29">
        <v>3</v>
      </c>
      <c r="J246" s="15" t="s">
        <v>67</v>
      </c>
      <c r="K246" s="30">
        <v>40.890337000000002</v>
      </c>
      <c r="L246" s="30">
        <v>72.009943000000007</v>
      </c>
      <c r="M246" s="15">
        <v>160</v>
      </c>
      <c r="N246" s="32">
        <v>7</v>
      </c>
    </row>
    <row r="247" spans="1:14" ht="30" customHeight="1">
      <c r="A247" s="16" t="s">
        <v>13</v>
      </c>
      <c r="B247" s="30" t="s">
        <v>390</v>
      </c>
      <c r="C247" s="30" t="s">
        <v>341</v>
      </c>
      <c r="D247" s="27">
        <v>29963.716374111187</v>
      </c>
      <c r="E247" s="28">
        <v>13555.454698628108</v>
      </c>
      <c r="F247" s="27">
        <f t="shared" si="7"/>
        <v>16408.261675483081</v>
      </c>
      <c r="G247" s="27">
        <f t="shared" si="6"/>
        <v>54.760435823841625</v>
      </c>
      <c r="H247" s="29">
        <v>54</v>
      </c>
      <c r="I247" s="29">
        <v>3</v>
      </c>
      <c r="J247" s="15" t="s">
        <v>60</v>
      </c>
      <c r="K247" s="13"/>
      <c r="L247" s="13"/>
      <c r="M247" s="15">
        <v>63</v>
      </c>
    </row>
    <row r="248" spans="1:14" ht="30" customHeight="1">
      <c r="A248" s="16" t="s">
        <v>13</v>
      </c>
      <c r="B248" s="30" t="s">
        <v>384</v>
      </c>
      <c r="C248" s="30" t="s">
        <v>122</v>
      </c>
      <c r="D248" s="27">
        <v>29861.711244111182</v>
      </c>
      <c r="E248" s="28">
        <v>13466.211365294776</v>
      </c>
      <c r="F248" s="27">
        <f t="shared" si="7"/>
        <v>16395.499878816408</v>
      </c>
      <c r="G248" s="27">
        <f t="shared" si="6"/>
        <v>54.904756612197332</v>
      </c>
      <c r="H248" s="29">
        <v>15</v>
      </c>
      <c r="I248" s="29">
        <v>4</v>
      </c>
      <c r="J248" s="15" t="s">
        <v>75</v>
      </c>
      <c r="K248" s="13"/>
      <c r="L248" s="13"/>
      <c r="M248" s="15">
        <v>160</v>
      </c>
    </row>
    <row r="249" spans="1:14" ht="30" customHeight="1">
      <c r="A249" s="16" t="s">
        <v>13</v>
      </c>
      <c r="B249" s="30" t="s">
        <v>387</v>
      </c>
      <c r="C249" s="30" t="s">
        <v>342</v>
      </c>
      <c r="D249" s="27">
        <v>47262.95660411119</v>
      </c>
      <c r="E249" s="28">
        <v>28690.398031961446</v>
      </c>
      <c r="F249" s="27">
        <f t="shared" si="7"/>
        <v>18572.558572149745</v>
      </c>
      <c r="G249" s="27">
        <f t="shared" si="6"/>
        <v>39.296226699736771</v>
      </c>
      <c r="H249" s="29">
        <v>71</v>
      </c>
      <c r="I249" s="29">
        <v>4</v>
      </c>
      <c r="J249" s="15" t="s">
        <v>75</v>
      </c>
      <c r="K249" s="13"/>
      <c r="L249" s="13"/>
      <c r="M249" s="15">
        <v>63</v>
      </c>
    </row>
    <row r="250" spans="1:14" ht="30" customHeight="1">
      <c r="A250" s="16" t="s">
        <v>13</v>
      </c>
      <c r="B250" s="30" t="s">
        <v>388</v>
      </c>
      <c r="C250" s="30" t="s">
        <v>343</v>
      </c>
      <c r="D250" s="27">
        <v>36555.195444111188</v>
      </c>
      <c r="E250" s="28">
        <v>19322.278031961443</v>
      </c>
      <c r="F250" s="27">
        <f t="shared" si="7"/>
        <v>17232.917412149745</v>
      </c>
      <c r="G250" s="27">
        <f t="shared" si="6"/>
        <v>47.142183765634499</v>
      </c>
      <c r="H250" s="29">
        <v>34</v>
      </c>
      <c r="I250" s="29">
        <v>3</v>
      </c>
      <c r="J250" s="15" t="s">
        <v>75</v>
      </c>
      <c r="K250" s="13">
        <v>40.876370000000001</v>
      </c>
      <c r="L250" s="13">
        <v>71.934290000000004</v>
      </c>
      <c r="M250" s="15">
        <v>63</v>
      </c>
    </row>
    <row r="251" spans="1:14" ht="30" customHeight="1">
      <c r="A251" s="16" t="s">
        <v>13</v>
      </c>
      <c r="B251" s="30" t="s">
        <v>389</v>
      </c>
      <c r="C251" s="30" t="s">
        <v>344</v>
      </c>
      <c r="D251" s="27">
        <v>32408.757204111185</v>
      </c>
      <c r="E251" s="28">
        <v>15694.598031961441</v>
      </c>
      <c r="F251" s="27">
        <f t="shared" si="7"/>
        <v>16714.159172149746</v>
      </c>
      <c r="G251" s="27">
        <f t="shared" si="6"/>
        <v>51.572971672080918</v>
      </c>
      <c r="H251" s="29">
        <v>25</v>
      </c>
      <c r="I251" s="29">
        <v>3</v>
      </c>
      <c r="J251" s="15" t="s">
        <v>75</v>
      </c>
      <c r="K251" s="13"/>
      <c r="L251" s="13"/>
      <c r="M251" s="15">
        <v>160</v>
      </c>
    </row>
    <row r="252" spans="1:14" ht="30" customHeight="1">
      <c r="A252" s="16" t="s">
        <v>13</v>
      </c>
      <c r="B252" s="30" t="s">
        <v>389</v>
      </c>
      <c r="C252" s="30" t="s">
        <v>345</v>
      </c>
      <c r="D252" s="27">
        <v>32637.745824111189</v>
      </c>
      <c r="E252" s="28">
        <v>15894.938031961441</v>
      </c>
      <c r="F252" s="27">
        <f t="shared" si="7"/>
        <v>16742.807792149746</v>
      </c>
      <c r="G252" s="27">
        <f t="shared" si="6"/>
        <v>51.298909803326453</v>
      </c>
      <c r="H252" s="29">
        <v>54</v>
      </c>
      <c r="I252" s="29">
        <v>5</v>
      </c>
      <c r="J252" s="15" t="s">
        <v>75</v>
      </c>
      <c r="K252" s="13"/>
      <c r="L252" s="13"/>
      <c r="M252" s="15">
        <v>63</v>
      </c>
    </row>
    <row r="253" spans="1:14" ht="30" customHeight="1">
      <c r="A253" s="16" t="s">
        <v>13</v>
      </c>
      <c r="B253" s="30" t="s">
        <v>386</v>
      </c>
      <c r="C253" s="30" t="s">
        <v>346</v>
      </c>
      <c r="D253" s="27">
        <v>33660.045024111183</v>
      </c>
      <c r="E253" s="28">
        <v>16789.338031961444</v>
      </c>
      <c r="F253" s="27">
        <f t="shared" si="7"/>
        <v>16870.706992149739</v>
      </c>
      <c r="G253" s="27">
        <f t="shared" si="6"/>
        <v>50.120868763143378</v>
      </c>
      <c r="H253" s="29">
        <v>51</v>
      </c>
      <c r="I253" s="29">
        <v>3</v>
      </c>
      <c r="J253" s="15" t="s">
        <v>59</v>
      </c>
      <c r="K253" s="13"/>
      <c r="L253" s="13"/>
      <c r="M253" s="15">
        <v>250</v>
      </c>
    </row>
    <row r="254" spans="1:14" ht="30" customHeight="1">
      <c r="A254" s="16" t="s">
        <v>13</v>
      </c>
      <c r="B254" s="30" t="s">
        <v>388</v>
      </c>
      <c r="C254" s="30" t="s">
        <v>347</v>
      </c>
      <c r="D254" s="27">
        <v>36248.593314111189</v>
      </c>
      <c r="E254" s="28">
        <v>19054.034698628111</v>
      </c>
      <c r="F254" s="27">
        <f t="shared" si="7"/>
        <v>17194.558615483078</v>
      </c>
      <c r="G254" s="27">
        <f t="shared" si="6"/>
        <v>47.435105871513699</v>
      </c>
      <c r="H254" s="29">
        <v>80</v>
      </c>
      <c r="I254" s="29">
        <v>4</v>
      </c>
      <c r="J254" s="15" t="s">
        <v>72</v>
      </c>
      <c r="K254" s="13"/>
      <c r="L254" s="13"/>
      <c r="M254" s="15">
        <v>25</v>
      </c>
    </row>
    <row r="255" spans="1:14" ht="30" customHeight="1">
      <c r="A255" s="16" t="s">
        <v>13</v>
      </c>
      <c r="B255" s="30" t="s">
        <v>387</v>
      </c>
      <c r="C255" s="30" t="s">
        <v>348</v>
      </c>
      <c r="D255" s="27">
        <v>33766.606914111188</v>
      </c>
      <c r="E255" s="28">
        <v>16882.568031961444</v>
      </c>
      <c r="F255" s="27">
        <f t="shared" si="7"/>
        <v>16884.038882149744</v>
      </c>
      <c r="G255" s="27">
        <f t="shared" si="6"/>
        <v>50.002177965633386</v>
      </c>
      <c r="H255" s="29">
        <v>55</v>
      </c>
      <c r="I255" s="29">
        <v>3</v>
      </c>
      <c r="J255" s="15" t="s">
        <v>76</v>
      </c>
      <c r="K255" s="13"/>
      <c r="L255" s="13"/>
      <c r="M255" s="15">
        <v>630</v>
      </c>
    </row>
    <row r="256" spans="1:14" ht="30" customHeight="1">
      <c r="A256" s="16" t="s">
        <v>30</v>
      </c>
      <c r="B256" s="30" t="s">
        <v>388</v>
      </c>
      <c r="C256" s="30" t="s">
        <v>349</v>
      </c>
      <c r="D256" s="27">
        <v>32682.692394111182</v>
      </c>
      <c r="E256" s="28">
        <v>15934.261365294775</v>
      </c>
      <c r="F256" s="27">
        <f t="shared" si="7"/>
        <v>16748.431028816405</v>
      </c>
      <c r="G256" s="27">
        <f t="shared" si="6"/>
        <v>51.245567001799898</v>
      </c>
      <c r="H256" s="29">
        <v>54</v>
      </c>
      <c r="I256" s="29">
        <v>3</v>
      </c>
      <c r="J256" s="15" t="s">
        <v>76</v>
      </c>
      <c r="K256" s="13"/>
      <c r="L256" s="13"/>
      <c r="M256" s="15">
        <v>400</v>
      </c>
    </row>
    <row r="257" spans="1:13" ht="30" customHeight="1">
      <c r="A257" s="16" t="s">
        <v>13</v>
      </c>
      <c r="B257" s="30" t="s">
        <v>387</v>
      </c>
      <c r="C257" s="30" t="s">
        <v>350</v>
      </c>
      <c r="D257" s="27">
        <v>34989.864564111187</v>
      </c>
      <c r="E257" s="28">
        <v>17952.784698628111</v>
      </c>
      <c r="F257" s="27">
        <f t="shared" si="7"/>
        <v>17037.079865483076</v>
      </c>
      <c r="G257" s="27">
        <f t="shared" si="6"/>
        <v>48.691471309545641</v>
      </c>
      <c r="H257" s="29">
        <v>19</v>
      </c>
      <c r="I257" s="29">
        <v>4</v>
      </c>
      <c r="J257" s="15" t="s">
        <v>55</v>
      </c>
      <c r="K257" s="13"/>
      <c r="L257" s="13"/>
      <c r="M257" s="15">
        <v>160</v>
      </c>
    </row>
    <row r="258" spans="1:13" ht="30" customHeight="1">
      <c r="A258" s="16" t="s">
        <v>13</v>
      </c>
      <c r="B258" s="30" t="s">
        <v>384</v>
      </c>
      <c r="C258" s="30" t="s">
        <v>99</v>
      </c>
      <c r="D258" s="27">
        <v>31151.510544111188</v>
      </c>
      <c r="E258" s="28">
        <v>14594.64469862811</v>
      </c>
      <c r="F258" s="27">
        <f t="shared" si="7"/>
        <v>16556.86584548308</v>
      </c>
      <c r="G258" s="27">
        <f t="shared" si="6"/>
        <v>53.149479933045988</v>
      </c>
      <c r="H258" s="29">
        <v>36</v>
      </c>
      <c r="I258" s="29">
        <v>4</v>
      </c>
      <c r="J258" s="15" t="s">
        <v>75</v>
      </c>
      <c r="K258" s="13"/>
      <c r="L258" s="13"/>
      <c r="M258" s="15">
        <v>160</v>
      </c>
    </row>
    <row r="259" spans="1:13" ht="30" customHeight="1">
      <c r="A259" s="16" t="s">
        <v>13</v>
      </c>
      <c r="B259" s="30" t="s">
        <v>390</v>
      </c>
      <c r="C259" s="30" t="s">
        <v>351</v>
      </c>
      <c r="D259" s="27">
        <v>29864.222034111182</v>
      </c>
      <c r="E259" s="28">
        <v>13468.408031961442</v>
      </c>
      <c r="F259" s="27">
        <f t="shared" si="7"/>
        <v>16395.814002149738</v>
      </c>
      <c r="G259" s="27">
        <f t="shared" ref="G259:G293" si="8">+F259*100/D259</f>
        <v>54.901192414864489</v>
      </c>
      <c r="H259" s="29">
        <v>38</v>
      </c>
      <c r="I259" s="29">
        <v>5</v>
      </c>
      <c r="J259" s="15" t="s">
        <v>75</v>
      </c>
      <c r="K259" s="13">
        <v>40.865291666700003</v>
      </c>
      <c r="L259" s="13">
        <v>71.961494999999999</v>
      </c>
      <c r="M259" s="15">
        <v>100</v>
      </c>
    </row>
    <row r="260" spans="1:13" ht="30" customHeight="1">
      <c r="A260" s="16" t="s">
        <v>30</v>
      </c>
      <c r="B260" s="30" t="s">
        <v>388</v>
      </c>
      <c r="C260" s="30" t="s">
        <v>352</v>
      </c>
      <c r="D260" s="27">
        <v>31482.089004111185</v>
      </c>
      <c r="E260" s="28">
        <v>14883.864698628107</v>
      </c>
      <c r="F260" s="27">
        <f t="shared" si="7"/>
        <v>16598.224305483076</v>
      </c>
      <c r="G260" s="27">
        <f t="shared" si="8"/>
        <v>52.722753891317517</v>
      </c>
      <c r="H260" s="29">
        <v>35</v>
      </c>
      <c r="I260" s="29">
        <v>4</v>
      </c>
      <c r="J260" s="15" t="s">
        <v>68</v>
      </c>
      <c r="K260" s="13"/>
      <c r="L260" s="13"/>
      <c r="M260" s="15">
        <v>100</v>
      </c>
    </row>
    <row r="261" spans="1:13" ht="30" customHeight="1">
      <c r="A261" s="16" t="s">
        <v>13</v>
      </c>
      <c r="B261" s="30" t="s">
        <v>389</v>
      </c>
      <c r="C261" s="30" t="s">
        <v>353</v>
      </c>
      <c r="D261" s="27">
        <v>34646.564514111189</v>
      </c>
      <c r="E261" s="28">
        <v>17652.434698628109</v>
      </c>
      <c r="F261" s="27">
        <f t="shared" ref="F261:F324" si="9">+D261-E261</f>
        <v>16994.12981548308</v>
      </c>
      <c r="G261" s="27">
        <f t="shared" si="8"/>
        <v>49.049970909991799</v>
      </c>
      <c r="H261" s="29">
        <v>69</v>
      </c>
      <c r="I261" s="29">
        <v>0</v>
      </c>
      <c r="J261" s="15" t="s">
        <v>72</v>
      </c>
      <c r="K261" s="13"/>
      <c r="L261" s="13"/>
      <c r="M261" s="15">
        <v>250</v>
      </c>
    </row>
    <row r="262" spans="1:13" ht="30" customHeight="1">
      <c r="A262" s="16" t="s">
        <v>30</v>
      </c>
      <c r="B262" s="30" t="s">
        <v>390</v>
      </c>
      <c r="C262" s="30" t="s">
        <v>354</v>
      </c>
      <c r="D262" s="27">
        <v>29861.711244111182</v>
      </c>
      <c r="E262" s="28">
        <v>13466.211365294776</v>
      </c>
      <c r="F262" s="27">
        <f t="shared" si="9"/>
        <v>16395.499878816408</v>
      </c>
      <c r="G262" s="27">
        <f t="shared" si="8"/>
        <v>54.904756612197332</v>
      </c>
      <c r="H262" s="29">
        <v>50</v>
      </c>
      <c r="I262" s="29">
        <v>0</v>
      </c>
      <c r="J262" s="15" t="s">
        <v>72</v>
      </c>
      <c r="K262" s="13"/>
      <c r="L262" s="13"/>
      <c r="M262" s="15">
        <v>160</v>
      </c>
    </row>
    <row r="263" spans="1:13" ht="30" customHeight="1">
      <c r="A263" s="16" t="s">
        <v>30</v>
      </c>
      <c r="B263" s="30" t="s">
        <v>387</v>
      </c>
      <c r="C263" s="30" t="s">
        <v>355</v>
      </c>
      <c r="D263" s="27">
        <v>136858.0441141112</v>
      </c>
      <c r="E263" s="28">
        <v>107076.3013652948</v>
      </c>
      <c r="F263" s="27">
        <f t="shared" si="9"/>
        <v>29781.742748816396</v>
      </c>
      <c r="G263" s="27">
        <f t="shared" si="8"/>
        <v>21.761046595101568</v>
      </c>
      <c r="H263" s="29">
        <v>77</v>
      </c>
      <c r="I263" s="29">
        <v>4</v>
      </c>
      <c r="J263" s="15" t="s">
        <v>71</v>
      </c>
      <c r="K263" s="13"/>
      <c r="L263" s="13"/>
      <c r="M263" s="15">
        <v>160</v>
      </c>
    </row>
    <row r="264" spans="1:13" ht="30" customHeight="1">
      <c r="A264" s="16" t="s">
        <v>30</v>
      </c>
      <c r="B264" s="30" t="s">
        <v>384</v>
      </c>
      <c r="C264" s="30" t="s">
        <v>120</v>
      </c>
      <c r="D264" s="27">
        <v>33340.271724111182</v>
      </c>
      <c r="E264" s="28">
        <v>16509.571365294778</v>
      </c>
      <c r="F264" s="27">
        <f t="shared" si="9"/>
        <v>16830.700358816404</v>
      </c>
      <c r="G264" s="27">
        <f t="shared" si="8"/>
        <v>50.481593245818374</v>
      </c>
      <c r="H264" s="29">
        <v>28</v>
      </c>
      <c r="I264" s="29">
        <v>3</v>
      </c>
      <c r="J264" s="15" t="s">
        <v>71</v>
      </c>
      <c r="K264" s="13"/>
      <c r="L264" s="13"/>
      <c r="M264" s="15">
        <v>100</v>
      </c>
    </row>
    <row r="265" spans="1:13" ht="30" customHeight="1">
      <c r="A265" s="16" t="s">
        <v>30</v>
      </c>
      <c r="B265" s="30" t="s">
        <v>384</v>
      </c>
      <c r="C265" s="30" t="s">
        <v>103</v>
      </c>
      <c r="D265" s="27">
        <v>32506.777074111189</v>
      </c>
      <c r="E265" s="28">
        <v>15780.354698628109</v>
      </c>
      <c r="F265" s="27">
        <f t="shared" si="9"/>
        <v>16726.422375483082</v>
      </c>
      <c r="G265" s="27">
        <f t="shared" si="8"/>
        <v>51.455185290590428</v>
      </c>
      <c r="H265" s="29">
        <v>87</v>
      </c>
      <c r="I265" s="29">
        <v>0</v>
      </c>
      <c r="J265" s="15" t="s">
        <v>77</v>
      </c>
      <c r="K265" s="13">
        <v>40.858196666700003</v>
      </c>
      <c r="L265" s="13">
        <v>72.1313583333</v>
      </c>
      <c r="M265" s="15">
        <v>250</v>
      </c>
    </row>
    <row r="266" spans="1:13" ht="30" customHeight="1">
      <c r="A266" s="16" t="s">
        <v>13</v>
      </c>
      <c r="B266" s="30" t="s">
        <v>388</v>
      </c>
      <c r="C266" s="30" t="s">
        <v>356</v>
      </c>
      <c r="D266" s="27">
        <v>29864.728764111183</v>
      </c>
      <c r="E266" s="28">
        <v>13468.851365294775</v>
      </c>
      <c r="F266" s="27">
        <f t="shared" si="9"/>
        <v>16395.87739881641</v>
      </c>
      <c r="G266" s="27">
        <f t="shared" si="8"/>
        <v>54.900473157886303</v>
      </c>
      <c r="H266" s="29">
        <v>14</v>
      </c>
      <c r="I266" s="29">
        <v>4</v>
      </c>
      <c r="J266" s="15" t="s">
        <v>69</v>
      </c>
      <c r="K266" s="13"/>
      <c r="L266" s="13"/>
      <c r="M266" s="15">
        <v>160</v>
      </c>
    </row>
    <row r="267" spans="1:13" ht="30" customHeight="1">
      <c r="A267" s="16" t="s">
        <v>30</v>
      </c>
      <c r="B267" s="30" t="s">
        <v>392</v>
      </c>
      <c r="C267" s="30" t="s">
        <v>357</v>
      </c>
      <c r="D267" s="27">
        <v>32048.152134111187</v>
      </c>
      <c r="E267" s="28">
        <v>15379.108031961443</v>
      </c>
      <c r="F267" s="27">
        <f t="shared" si="9"/>
        <v>16669.044102149746</v>
      </c>
      <c r="G267" s="27">
        <f t="shared" si="8"/>
        <v>52.012496796680097</v>
      </c>
      <c r="H267" s="29">
        <v>42</v>
      </c>
      <c r="I267" s="29">
        <v>0</v>
      </c>
      <c r="J267" s="15" t="s">
        <v>73</v>
      </c>
      <c r="K267" s="13"/>
      <c r="L267" s="13"/>
      <c r="M267" s="15">
        <v>160</v>
      </c>
    </row>
    <row r="268" spans="1:13" ht="30" customHeight="1">
      <c r="A268" s="16" t="s">
        <v>30</v>
      </c>
      <c r="B268" s="30" t="s">
        <v>389</v>
      </c>
      <c r="C268" s="30" t="s">
        <v>358</v>
      </c>
      <c r="D268" s="27">
        <v>32070.242514111189</v>
      </c>
      <c r="E268" s="28">
        <v>15398.434698628107</v>
      </c>
      <c r="F268" s="27">
        <f t="shared" si="9"/>
        <v>16671.80781548308</v>
      </c>
      <c r="G268" s="27">
        <f t="shared" si="8"/>
        <v>51.985287632755934</v>
      </c>
      <c r="H268" s="29">
        <v>35</v>
      </c>
      <c r="I268" s="29">
        <v>0</v>
      </c>
      <c r="J268" s="15" t="s">
        <v>78</v>
      </c>
      <c r="K268" s="13"/>
      <c r="L268" s="13"/>
      <c r="M268" s="15">
        <v>250</v>
      </c>
    </row>
    <row r="269" spans="1:13" ht="30" customHeight="1">
      <c r="A269" s="16" t="s">
        <v>30</v>
      </c>
      <c r="B269" s="30" t="s">
        <v>391</v>
      </c>
      <c r="C269" s="30" t="s">
        <v>359</v>
      </c>
      <c r="D269" s="27">
        <v>31553.156934111183</v>
      </c>
      <c r="E269" s="28">
        <v>14946.041365294777</v>
      </c>
      <c r="F269" s="27">
        <f t="shared" si="9"/>
        <v>16607.115568816407</v>
      </c>
      <c r="G269" s="27">
        <f t="shared" si="8"/>
        <v>52.632183852459299</v>
      </c>
      <c r="H269" s="29">
        <v>22</v>
      </c>
      <c r="I269" s="29">
        <v>0</v>
      </c>
      <c r="J269" s="15" t="s">
        <v>79</v>
      </c>
      <c r="K269" s="13">
        <v>40.883151666700002</v>
      </c>
      <c r="L269" s="13">
        <v>72.085181666699995</v>
      </c>
      <c r="M269" s="15">
        <v>160</v>
      </c>
    </row>
    <row r="270" spans="1:13" ht="30" customHeight="1">
      <c r="A270" s="16" t="s">
        <v>30</v>
      </c>
      <c r="B270" s="30" t="s">
        <v>384</v>
      </c>
      <c r="C270" s="30" t="s">
        <v>102</v>
      </c>
      <c r="D270" s="27">
        <v>30709.241934111189</v>
      </c>
      <c r="E270" s="28">
        <v>14207.708031961442</v>
      </c>
      <c r="F270" s="27">
        <f t="shared" si="9"/>
        <v>16501.533902149749</v>
      </c>
      <c r="G270" s="27">
        <f t="shared" si="8"/>
        <v>53.734748443334865</v>
      </c>
      <c r="H270" s="29">
        <v>30</v>
      </c>
      <c r="I270" s="29">
        <v>0</v>
      </c>
      <c r="J270" s="15" t="s">
        <v>80</v>
      </c>
      <c r="K270" s="13"/>
      <c r="L270" s="13"/>
      <c r="M270" s="15">
        <v>63</v>
      </c>
    </row>
    <row r="271" spans="1:13" ht="30" customHeight="1">
      <c r="A271" s="16" t="s">
        <v>30</v>
      </c>
      <c r="B271" s="30" t="s">
        <v>392</v>
      </c>
      <c r="C271" s="30" t="s">
        <v>360</v>
      </c>
      <c r="D271" s="27">
        <v>34796.385144111184</v>
      </c>
      <c r="E271" s="28">
        <v>17783.511365294777</v>
      </c>
      <c r="F271" s="27">
        <f t="shared" si="9"/>
        <v>17012.873778816407</v>
      </c>
      <c r="G271" s="27">
        <f t="shared" si="8"/>
        <v>48.89264706191932</v>
      </c>
      <c r="H271" s="29">
        <v>75</v>
      </c>
      <c r="I271" s="29">
        <v>0</v>
      </c>
      <c r="J271" s="15" t="s">
        <v>75</v>
      </c>
      <c r="K271" s="13"/>
      <c r="L271" s="13"/>
      <c r="M271" s="15">
        <v>400</v>
      </c>
    </row>
    <row r="272" spans="1:13" ht="30" customHeight="1">
      <c r="A272" s="16" t="s">
        <v>13</v>
      </c>
      <c r="B272" s="30" t="s">
        <v>388</v>
      </c>
      <c r="C272" s="30" t="s">
        <v>361</v>
      </c>
      <c r="D272" s="27">
        <v>31369.069164111184</v>
      </c>
      <c r="E272" s="28">
        <v>14784.98469862811</v>
      </c>
      <c r="F272" s="27">
        <f t="shared" si="9"/>
        <v>16584.084465483073</v>
      </c>
      <c r="G272" s="27">
        <f t="shared" si="8"/>
        <v>52.867633332444051</v>
      </c>
      <c r="H272" s="29">
        <v>50</v>
      </c>
      <c r="I272" s="29">
        <v>0</v>
      </c>
      <c r="J272" s="15" t="s">
        <v>75</v>
      </c>
      <c r="K272" s="13"/>
      <c r="L272" s="13"/>
      <c r="M272" s="15">
        <v>400</v>
      </c>
    </row>
    <row r="273" spans="1:13" ht="30" customHeight="1">
      <c r="A273" s="16" t="s">
        <v>13</v>
      </c>
      <c r="B273" s="30" t="s">
        <v>387</v>
      </c>
      <c r="C273" s="30" t="s">
        <v>362</v>
      </c>
      <c r="D273" s="27">
        <v>41443.615944111189</v>
      </c>
      <c r="E273" s="28">
        <v>23599.111365294779</v>
      </c>
      <c r="F273" s="27">
        <f t="shared" si="9"/>
        <v>17844.50457881641</v>
      </c>
      <c r="G273" s="27">
        <f t="shared" si="8"/>
        <v>43.057306106881761</v>
      </c>
      <c r="H273" s="29">
        <v>51</v>
      </c>
      <c r="I273" s="29">
        <v>0</v>
      </c>
      <c r="J273" s="15" t="s">
        <v>68</v>
      </c>
      <c r="K273" s="13">
        <v>40.890700000000002</v>
      </c>
      <c r="L273" s="13">
        <v>71.955235000000002</v>
      </c>
      <c r="M273" s="15">
        <v>40</v>
      </c>
    </row>
    <row r="274" spans="1:13" ht="30" customHeight="1">
      <c r="A274" s="16" t="s">
        <v>13</v>
      </c>
      <c r="B274" s="30" t="s">
        <v>388</v>
      </c>
      <c r="C274" s="30" t="s">
        <v>363</v>
      </c>
      <c r="D274" s="27">
        <v>30245.545884111183</v>
      </c>
      <c r="E274" s="28">
        <v>13802.024698628107</v>
      </c>
      <c r="F274" s="27">
        <f t="shared" si="9"/>
        <v>16443.521185483078</v>
      </c>
      <c r="G274" s="27">
        <f t="shared" si="8"/>
        <v>54.366752871606501</v>
      </c>
      <c r="H274" s="29">
        <v>28</v>
      </c>
      <c r="I274" s="29">
        <v>4</v>
      </c>
      <c r="J274" s="15" t="s">
        <v>74</v>
      </c>
      <c r="K274" s="13">
        <v>40.883293333300003</v>
      </c>
      <c r="L274" s="13">
        <v>71.964291666700007</v>
      </c>
      <c r="M274" s="15">
        <v>63</v>
      </c>
    </row>
    <row r="275" spans="1:13" ht="30" customHeight="1">
      <c r="A275" s="16" t="s">
        <v>13</v>
      </c>
      <c r="B275" s="30" t="s">
        <v>389</v>
      </c>
      <c r="C275" s="30" t="s">
        <v>364</v>
      </c>
      <c r="D275" s="27">
        <v>33741.483774111184</v>
      </c>
      <c r="E275" s="28">
        <v>16860.588031961444</v>
      </c>
      <c r="F275" s="27">
        <f t="shared" si="9"/>
        <v>16880.89574214974</v>
      </c>
      <c r="G275" s="27">
        <f t="shared" si="8"/>
        <v>50.030093090043472</v>
      </c>
      <c r="H275" s="29">
        <v>72</v>
      </c>
      <c r="I275" s="29">
        <v>0</v>
      </c>
      <c r="J275" s="15" t="s">
        <v>76</v>
      </c>
      <c r="K275" s="13">
        <v>40.875286666699999</v>
      </c>
      <c r="L275" s="13">
        <v>71.9537066667</v>
      </c>
      <c r="M275" s="15">
        <v>25</v>
      </c>
    </row>
    <row r="276" spans="1:13" ht="30" customHeight="1">
      <c r="A276" s="16" t="s">
        <v>13</v>
      </c>
      <c r="B276" s="30" t="s">
        <v>386</v>
      </c>
      <c r="C276" s="30" t="s">
        <v>365</v>
      </c>
      <c r="D276" s="27">
        <v>32040.638814111182</v>
      </c>
      <c r="E276" s="28">
        <v>15372.534698628109</v>
      </c>
      <c r="F276" s="27">
        <f t="shared" si="9"/>
        <v>16668.104115483075</v>
      </c>
      <c r="G276" s="27">
        <f t="shared" si="8"/>
        <v>52.021759653999744</v>
      </c>
      <c r="H276" s="29">
        <v>40</v>
      </c>
      <c r="I276" s="29">
        <v>0</v>
      </c>
      <c r="J276" s="15" t="s">
        <v>81</v>
      </c>
      <c r="K276" s="13"/>
      <c r="L276" s="13"/>
      <c r="M276" s="15">
        <v>160</v>
      </c>
    </row>
    <row r="277" spans="1:13" ht="30" customHeight="1">
      <c r="A277" s="16" t="s">
        <v>13</v>
      </c>
      <c r="B277" s="30" t="s">
        <v>389</v>
      </c>
      <c r="C277" s="30" t="s">
        <v>366</v>
      </c>
      <c r="D277" s="27">
        <v>31761.506784111189</v>
      </c>
      <c r="E277" s="28">
        <v>15128.32469862811</v>
      </c>
      <c r="F277" s="27">
        <f t="shared" si="9"/>
        <v>16633.18208548308</v>
      </c>
      <c r="G277" s="27">
        <f t="shared" si="8"/>
        <v>52.368995584944642</v>
      </c>
      <c r="H277" s="29">
        <v>17</v>
      </c>
      <c r="I277" s="29">
        <v>0</v>
      </c>
      <c r="J277" s="15" t="s">
        <v>77</v>
      </c>
      <c r="K277" s="13"/>
      <c r="L277" s="13"/>
      <c r="M277" s="15">
        <v>60</v>
      </c>
    </row>
    <row r="278" spans="1:13" ht="30" customHeight="1">
      <c r="A278" s="16" t="s">
        <v>30</v>
      </c>
      <c r="B278" s="30" t="s">
        <v>384</v>
      </c>
      <c r="C278" s="30" t="s">
        <v>91</v>
      </c>
      <c r="D278" s="27">
        <v>30965.997834111186</v>
      </c>
      <c r="E278" s="28">
        <v>14432.341365294777</v>
      </c>
      <c r="F278" s="27">
        <f t="shared" si="9"/>
        <v>16533.656468816407</v>
      </c>
      <c r="G278" s="27">
        <f t="shared" si="8"/>
        <v>53.392939434373538</v>
      </c>
      <c r="H278" s="29">
        <v>19</v>
      </c>
      <c r="I278" s="29">
        <v>0</v>
      </c>
      <c r="J278" s="15" t="s">
        <v>82</v>
      </c>
      <c r="K278" s="13"/>
      <c r="L278" s="13"/>
      <c r="M278" s="15">
        <v>250</v>
      </c>
    </row>
    <row r="279" spans="1:13" ht="30" customHeight="1">
      <c r="A279" s="16" t="s">
        <v>30</v>
      </c>
      <c r="B279" s="30" t="s">
        <v>390</v>
      </c>
      <c r="C279" s="30" t="s">
        <v>367</v>
      </c>
      <c r="D279" s="27">
        <v>37811.173374111189</v>
      </c>
      <c r="E279" s="28">
        <v>20421.121365294777</v>
      </c>
      <c r="F279" s="27">
        <f t="shared" si="9"/>
        <v>17390.052008816412</v>
      </c>
      <c r="G279" s="27">
        <f t="shared" si="8"/>
        <v>45.991833780866344</v>
      </c>
      <c r="H279" s="29">
        <v>51</v>
      </c>
      <c r="I279" s="29">
        <v>0</v>
      </c>
      <c r="J279" s="15" t="s">
        <v>70</v>
      </c>
      <c r="K279" s="13">
        <v>40.870626666699998</v>
      </c>
      <c r="L279" s="13">
        <v>72.030681666700005</v>
      </c>
      <c r="M279" s="15">
        <v>40</v>
      </c>
    </row>
    <row r="280" spans="1:13" ht="30" customHeight="1">
      <c r="A280" s="16" t="s">
        <v>30</v>
      </c>
      <c r="B280" s="30" t="s">
        <v>384</v>
      </c>
      <c r="C280" s="30" t="s">
        <v>106</v>
      </c>
      <c r="D280" s="27">
        <v>31504.175574111185</v>
      </c>
      <c r="E280" s="28">
        <v>14903.188031961441</v>
      </c>
      <c r="F280" s="27">
        <f t="shared" si="9"/>
        <v>16600.987542149742</v>
      </c>
      <c r="G280" s="27">
        <f t="shared" si="8"/>
        <v>52.6945626718502</v>
      </c>
      <c r="H280" s="29">
        <v>45</v>
      </c>
      <c r="I280" s="29">
        <v>5</v>
      </c>
      <c r="J280" s="15" t="s">
        <v>59</v>
      </c>
      <c r="K280" s="13"/>
      <c r="L280" s="13"/>
      <c r="M280" s="15">
        <v>250</v>
      </c>
    </row>
    <row r="281" spans="1:13" ht="30" customHeight="1">
      <c r="A281" s="16" t="s">
        <v>13</v>
      </c>
      <c r="B281" s="30" t="s">
        <v>388</v>
      </c>
      <c r="C281" s="30" t="s">
        <v>368</v>
      </c>
      <c r="D281" s="27">
        <v>31121.201994111187</v>
      </c>
      <c r="E281" s="28">
        <v>14568.128031961443</v>
      </c>
      <c r="F281" s="27">
        <f t="shared" si="9"/>
        <v>16553.073962149741</v>
      </c>
      <c r="G281" s="27">
        <f t="shared" si="8"/>
        <v>53.189057303384189</v>
      </c>
      <c r="H281" s="29">
        <v>35</v>
      </c>
      <c r="I281" s="29">
        <v>0</v>
      </c>
      <c r="J281" s="15" t="s">
        <v>83</v>
      </c>
      <c r="K281" s="13"/>
      <c r="L281" s="13"/>
      <c r="M281" s="15">
        <v>63</v>
      </c>
    </row>
    <row r="282" spans="1:13" ht="30" customHeight="1">
      <c r="A282" s="16" t="s">
        <v>13</v>
      </c>
      <c r="B282" s="30" t="s">
        <v>389</v>
      </c>
      <c r="C282" s="30" t="s">
        <v>369</v>
      </c>
      <c r="D282" s="27">
        <v>35544.109074111191</v>
      </c>
      <c r="E282" s="28">
        <v>18437.688031961443</v>
      </c>
      <c r="F282" s="27">
        <f t="shared" si="9"/>
        <v>17106.421042149748</v>
      </c>
      <c r="G282" s="27">
        <f t="shared" si="8"/>
        <v>48.12730291391474</v>
      </c>
      <c r="H282" s="29">
        <v>71</v>
      </c>
      <c r="I282" s="29">
        <v>3</v>
      </c>
      <c r="J282" s="15" t="s">
        <v>55</v>
      </c>
      <c r="K282" s="13"/>
      <c r="L282" s="13"/>
      <c r="M282" s="15">
        <v>400</v>
      </c>
    </row>
    <row r="283" spans="1:13" ht="30" customHeight="1">
      <c r="A283" s="16" t="s">
        <v>13</v>
      </c>
      <c r="B283" s="30" t="s">
        <v>390</v>
      </c>
      <c r="C283" s="30" t="s">
        <v>370</v>
      </c>
      <c r="D283" s="27">
        <v>32808.022344111188</v>
      </c>
      <c r="E283" s="28">
        <v>16043.911365294776</v>
      </c>
      <c r="F283" s="27">
        <f t="shared" si="9"/>
        <v>16764.11097881641</v>
      </c>
      <c r="G283" s="27">
        <f t="shared" si="8"/>
        <v>51.097596810267511</v>
      </c>
      <c r="H283" s="29">
        <v>49</v>
      </c>
      <c r="I283" s="29">
        <v>5</v>
      </c>
      <c r="J283" s="15" t="s">
        <v>56</v>
      </c>
      <c r="K283" s="13"/>
      <c r="L283" s="13"/>
      <c r="M283" s="15">
        <v>25</v>
      </c>
    </row>
    <row r="284" spans="1:13" ht="30" customHeight="1">
      <c r="A284" s="16" t="s">
        <v>13</v>
      </c>
      <c r="B284" s="30" t="s">
        <v>391</v>
      </c>
      <c r="C284" s="30" t="s">
        <v>371</v>
      </c>
      <c r="D284" s="27">
        <v>31171.177764111184</v>
      </c>
      <c r="E284" s="28">
        <v>14611.851365294775</v>
      </c>
      <c r="F284" s="27">
        <f t="shared" si="9"/>
        <v>16559.326398816411</v>
      </c>
      <c r="G284" s="27">
        <f t="shared" si="8"/>
        <v>53.123839349701854</v>
      </c>
      <c r="H284" s="29">
        <v>41</v>
      </c>
      <c r="I284" s="29">
        <v>3</v>
      </c>
      <c r="J284" s="15" t="s">
        <v>75</v>
      </c>
      <c r="K284" s="13"/>
      <c r="L284" s="13"/>
      <c r="M284" s="15">
        <v>25</v>
      </c>
    </row>
    <row r="285" spans="1:13" ht="30" customHeight="1">
      <c r="A285" s="16" t="s">
        <v>13</v>
      </c>
      <c r="B285" s="30" t="s">
        <v>388</v>
      </c>
      <c r="C285" s="30" t="s">
        <v>372</v>
      </c>
      <c r="D285" s="27">
        <v>31465.904124111185</v>
      </c>
      <c r="E285" s="28">
        <v>14869.704698628108</v>
      </c>
      <c r="F285" s="27">
        <f t="shared" si="9"/>
        <v>16596.199425483079</v>
      </c>
      <c r="G285" s="27">
        <f t="shared" si="8"/>
        <v>52.743437341010683</v>
      </c>
      <c r="H285" s="29">
        <v>24</v>
      </c>
      <c r="I285" s="29">
        <v>4</v>
      </c>
      <c r="J285" s="15" t="s">
        <v>55</v>
      </c>
      <c r="K285" s="13">
        <v>40.882366666700001</v>
      </c>
      <c r="L285" s="13">
        <v>72.011693333300002</v>
      </c>
      <c r="M285" s="15">
        <v>63</v>
      </c>
    </row>
    <row r="286" spans="1:13" ht="30" customHeight="1">
      <c r="A286" s="16" t="s">
        <v>30</v>
      </c>
      <c r="B286" s="30" t="s">
        <v>392</v>
      </c>
      <c r="C286" s="30" t="s">
        <v>373</v>
      </c>
      <c r="D286" s="27">
        <v>37748.567454111188</v>
      </c>
      <c r="E286" s="28">
        <v>20366.348031961443</v>
      </c>
      <c r="F286" s="27">
        <f t="shared" si="9"/>
        <v>17382.219422149745</v>
      </c>
      <c r="G286" s="27">
        <f t="shared" si="8"/>
        <v>46.047361779437942</v>
      </c>
      <c r="H286" s="29">
        <v>166</v>
      </c>
      <c r="I286" s="29">
        <v>5</v>
      </c>
      <c r="J286" s="15" t="s">
        <v>84</v>
      </c>
      <c r="K286" s="13"/>
      <c r="L286" s="13"/>
      <c r="M286" s="15">
        <v>100</v>
      </c>
    </row>
    <row r="287" spans="1:13" ht="30" customHeight="1">
      <c r="A287" s="16" t="s">
        <v>13</v>
      </c>
      <c r="B287" s="30" t="s">
        <v>388</v>
      </c>
      <c r="C287" s="30" t="s">
        <v>26</v>
      </c>
      <c r="D287" s="27">
        <v>31129.054404111186</v>
      </c>
      <c r="E287" s="28">
        <v>14574.998031961442</v>
      </c>
      <c r="F287" s="27">
        <f t="shared" si="9"/>
        <v>16554.056372149746</v>
      </c>
      <c r="G287" s="27">
        <f t="shared" si="8"/>
        <v>53.178796108767976</v>
      </c>
      <c r="H287" s="29">
        <v>30</v>
      </c>
      <c r="I287" s="29">
        <v>0</v>
      </c>
      <c r="J287" s="15" t="s">
        <v>85</v>
      </c>
      <c r="K287" s="13"/>
      <c r="L287" s="13"/>
      <c r="M287" s="15">
        <v>100</v>
      </c>
    </row>
    <row r="288" spans="1:13" ht="30" customHeight="1">
      <c r="A288" s="16" t="s">
        <v>13</v>
      </c>
      <c r="B288" s="30" t="s">
        <v>390</v>
      </c>
      <c r="C288" s="30" t="s">
        <v>374</v>
      </c>
      <c r="D288" s="27">
        <v>32884.950054111185</v>
      </c>
      <c r="E288" s="28">
        <v>16111.21469862811</v>
      </c>
      <c r="F288" s="27">
        <f t="shared" si="9"/>
        <v>16773.735355483077</v>
      </c>
      <c r="G288" s="27">
        <f t="shared" si="8"/>
        <v>51.007331097910765</v>
      </c>
      <c r="H288" s="29">
        <v>42</v>
      </c>
      <c r="I288" s="29">
        <v>0</v>
      </c>
      <c r="J288" s="15" t="s">
        <v>81</v>
      </c>
      <c r="K288" s="13"/>
      <c r="L288" s="13"/>
      <c r="M288" s="15">
        <v>100</v>
      </c>
    </row>
    <row r="289" spans="1:13" ht="30" customHeight="1">
      <c r="A289" s="16" t="s">
        <v>13</v>
      </c>
      <c r="B289" s="30" t="s">
        <v>390</v>
      </c>
      <c r="C289" s="30" t="s">
        <v>375</v>
      </c>
      <c r="D289" s="27">
        <v>32315.309334111189</v>
      </c>
      <c r="E289" s="28">
        <v>15612.841365294777</v>
      </c>
      <c r="F289" s="27">
        <f t="shared" si="9"/>
        <v>16702.467968816411</v>
      </c>
      <c r="G289" s="27">
        <f t="shared" si="8"/>
        <v>51.685929403082412</v>
      </c>
      <c r="H289" s="29">
        <v>49</v>
      </c>
      <c r="I289" s="29">
        <v>4</v>
      </c>
      <c r="J289" s="15" t="s">
        <v>65</v>
      </c>
      <c r="K289" s="13"/>
      <c r="L289" s="13"/>
      <c r="M289" s="15">
        <v>63</v>
      </c>
    </row>
    <row r="290" spans="1:13" ht="30" customHeight="1">
      <c r="A290" s="16" t="s">
        <v>13</v>
      </c>
      <c r="B290" s="30" t="s">
        <v>390</v>
      </c>
      <c r="C290" s="30" t="s">
        <v>376</v>
      </c>
      <c r="D290" s="27">
        <v>33154.831404111188</v>
      </c>
      <c r="E290" s="28">
        <v>16347.331365294775</v>
      </c>
      <c r="F290" s="27">
        <f t="shared" si="9"/>
        <v>16807.500038816412</v>
      </c>
      <c r="G290" s="27">
        <f t="shared" si="8"/>
        <v>50.69396925581195</v>
      </c>
      <c r="H290" s="29">
        <v>62</v>
      </c>
      <c r="I290" s="29">
        <v>0</v>
      </c>
      <c r="J290" s="15" t="s">
        <v>60</v>
      </c>
      <c r="K290" s="13"/>
      <c r="L290" s="13"/>
      <c r="M290" s="15">
        <v>160</v>
      </c>
    </row>
    <row r="291" spans="1:13" ht="30" customHeight="1">
      <c r="A291" s="16" t="s">
        <v>13</v>
      </c>
      <c r="B291" s="30" t="s">
        <v>389</v>
      </c>
      <c r="C291" s="30" t="s">
        <v>377</v>
      </c>
      <c r="D291" s="27">
        <v>36189.785964111186</v>
      </c>
      <c r="E291" s="28">
        <v>19002.58469862811</v>
      </c>
      <c r="F291" s="27">
        <f t="shared" si="9"/>
        <v>17187.201265483076</v>
      </c>
      <c r="G291" s="27">
        <f t="shared" si="8"/>
        <v>47.491856631943996</v>
      </c>
      <c r="H291" s="29">
        <v>97</v>
      </c>
      <c r="I291" s="29">
        <v>0</v>
      </c>
      <c r="J291" s="15" t="s">
        <v>60</v>
      </c>
      <c r="K291" s="13">
        <v>40.881914999999999</v>
      </c>
      <c r="L291" s="13">
        <v>71.997399999999999</v>
      </c>
      <c r="M291" s="15">
        <v>100</v>
      </c>
    </row>
    <row r="292" spans="1:13" ht="30" customHeight="1">
      <c r="A292" s="16" t="s">
        <v>13</v>
      </c>
      <c r="B292" s="30" t="s">
        <v>392</v>
      </c>
      <c r="C292" s="30" t="s">
        <v>378</v>
      </c>
      <c r="D292" s="27">
        <v>31483.182474111185</v>
      </c>
      <c r="E292" s="28">
        <v>14884.821365294776</v>
      </c>
      <c r="F292" s="27">
        <f t="shared" si="9"/>
        <v>16598.361108816411</v>
      </c>
      <c r="G292" s="27">
        <f t="shared" si="8"/>
        <v>52.721357259436353</v>
      </c>
      <c r="H292" s="29">
        <v>32</v>
      </c>
      <c r="I292" s="29">
        <v>0</v>
      </c>
      <c r="J292" s="15" t="s">
        <v>55</v>
      </c>
      <c r="K292" s="13"/>
      <c r="L292" s="13"/>
      <c r="M292" s="15">
        <v>160</v>
      </c>
    </row>
    <row r="293" spans="1:13" ht="30" customHeight="1">
      <c r="A293" s="16" t="s">
        <v>30</v>
      </c>
      <c r="B293" s="30" t="s">
        <v>391</v>
      </c>
      <c r="C293" s="30" t="s">
        <v>379</v>
      </c>
      <c r="D293" s="27">
        <v>33314.268474111188</v>
      </c>
      <c r="E293" s="28">
        <v>16486.821365294778</v>
      </c>
      <c r="F293" s="27">
        <f t="shared" si="9"/>
        <v>16827.44710881641</v>
      </c>
      <c r="G293" s="27">
        <f t="shared" si="8"/>
        <v>50.511231011700488</v>
      </c>
      <c r="H293" s="29">
        <v>29</v>
      </c>
      <c r="I293" s="29">
        <v>0</v>
      </c>
      <c r="J293" s="15" t="s">
        <v>75</v>
      </c>
      <c r="K293" s="13">
        <v>40.837551666700001</v>
      </c>
      <c r="L293" s="13">
        <v>72.172751666699995</v>
      </c>
      <c r="M293" s="15">
        <v>100</v>
      </c>
    </row>
    <row r="294" spans="1:13" ht="30" customHeight="1">
      <c r="A294" s="16" t="s">
        <v>30</v>
      </c>
      <c r="B294" s="30" t="s">
        <v>388</v>
      </c>
      <c r="C294" s="30" t="s">
        <v>380</v>
      </c>
      <c r="D294" s="27">
        <v>30868.827594111186</v>
      </c>
      <c r="E294" s="28">
        <v>14347.328031961441</v>
      </c>
      <c r="F294" s="27">
        <f t="shared" si="9"/>
        <v>16521.499562149744</v>
      </c>
      <c r="G294" s="27">
        <f t="shared" ref="G294:G355" si="10">+F294*100/D294</f>
        <v>53.521629584991217</v>
      </c>
      <c r="H294" s="29">
        <v>27</v>
      </c>
      <c r="I294" s="29">
        <v>0</v>
      </c>
      <c r="J294" s="15" t="s">
        <v>86</v>
      </c>
      <c r="K294" s="13">
        <v>40.883151666700002</v>
      </c>
      <c r="L294" s="13">
        <v>72.085181666699995</v>
      </c>
      <c r="M294" s="15">
        <v>63</v>
      </c>
    </row>
    <row r="295" spans="1:13" ht="30" customHeight="1">
      <c r="A295" s="16" t="s">
        <v>13</v>
      </c>
      <c r="B295" s="30" t="s">
        <v>390</v>
      </c>
      <c r="C295" s="30" t="s">
        <v>381</v>
      </c>
      <c r="D295" s="27">
        <v>30663.567654111182</v>
      </c>
      <c r="E295" s="28">
        <v>14167.748031961442</v>
      </c>
      <c r="F295" s="27">
        <f t="shared" si="9"/>
        <v>16495.819622149742</v>
      </c>
      <c r="G295" s="27">
        <f t="shared" si="10"/>
        <v>53.796152516317143</v>
      </c>
      <c r="H295" s="29">
        <v>15</v>
      </c>
      <c r="I295" s="29">
        <v>0</v>
      </c>
      <c r="J295" s="15" t="s">
        <v>70</v>
      </c>
      <c r="K295" s="13">
        <v>40.883535000000002</v>
      </c>
      <c r="L295" s="13">
        <v>71.979993333300001</v>
      </c>
      <c r="M295" s="15">
        <v>100</v>
      </c>
    </row>
    <row r="296" spans="1:13" ht="30" customHeight="1">
      <c r="A296" s="16" t="s">
        <v>30</v>
      </c>
      <c r="B296" s="30" t="s">
        <v>385</v>
      </c>
      <c r="C296" s="30" t="s">
        <v>382</v>
      </c>
      <c r="D296" s="27">
        <v>36010.235904111185</v>
      </c>
      <c r="E296" s="28">
        <v>18845.498031961444</v>
      </c>
      <c r="F296" s="27">
        <f t="shared" si="9"/>
        <v>17164.737872149741</v>
      </c>
      <c r="G296" s="27">
        <f t="shared" si="10"/>
        <v>47.666274438902228</v>
      </c>
      <c r="H296" s="29">
        <v>137</v>
      </c>
      <c r="I296" s="29">
        <v>13</v>
      </c>
      <c r="J296" s="15" t="s">
        <v>56</v>
      </c>
      <c r="K296" s="13">
        <v>40.858853333299997</v>
      </c>
      <c r="L296" s="13">
        <v>72.0770083333</v>
      </c>
      <c r="M296" s="15">
        <v>100</v>
      </c>
    </row>
    <row r="297" spans="1:13" ht="30" customHeight="1">
      <c r="A297" s="16" t="s">
        <v>45</v>
      </c>
      <c r="B297" s="30" t="s">
        <v>385</v>
      </c>
      <c r="C297" s="30" t="s">
        <v>383</v>
      </c>
      <c r="D297" s="27">
        <v>30249.6980022024</v>
      </c>
      <c r="E297" s="28">
        <v>13805.752238042523</v>
      </c>
      <c r="F297" s="27">
        <f t="shared" si="9"/>
        <v>16443.945764159878</v>
      </c>
      <c r="G297" s="27">
        <f t="shared" si="10"/>
        <v>54.360693990937165</v>
      </c>
      <c r="H297" s="29">
        <v>3</v>
      </c>
      <c r="I297" s="29">
        <v>3</v>
      </c>
      <c r="J297" s="15" t="s">
        <v>87</v>
      </c>
      <c r="K297" s="13">
        <v>40.833135628299999</v>
      </c>
      <c r="L297" s="13">
        <v>72.203557438199994</v>
      </c>
      <c r="M297" s="15">
        <v>630</v>
      </c>
    </row>
    <row r="298" spans="1:13" ht="30" customHeight="1">
      <c r="A298" s="16" t="s">
        <v>30</v>
      </c>
      <c r="B298" s="30" t="s">
        <v>384</v>
      </c>
      <c r="C298" s="30" t="s">
        <v>114</v>
      </c>
      <c r="D298" s="27">
        <v>30174.447474111184</v>
      </c>
      <c r="E298" s="28">
        <v>13739.821365294776</v>
      </c>
      <c r="F298" s="27">
        <f t="shared" si="9"/>
        <v>16434.62610881641</v>
      </c>
      <c r="G298" s="27">
        <f t="shared" si="10"/>
        <v>54.465375456888985</v>
      </c>
      <c r="H298" s="29">
        <v>20</v>
      </c>
      <c r="I298" s="29">
        <v>0</v>
      </c>
      <c r="J298" s="15" t="s">
        <v>88</v>
      </c>
      <c r="K298" s="13">
        <v>40.8940533333</v>
      </c>
      <c r="L298" s="13">
        <v>71.926556666699994</v>
      </c>
      <c r="M298" s="15">
        <v>40</v>
      </c>
    </row>
    <row r="299" spans="1:13" ht="30" customHeight="1">
      <c r="A299" s="16" t="s">
        <v>13</v>
      </c>
      <c r="B299" s="30" t="s">
        <v>388</v>
      </c>
      <c r="C299" s="30" t="s">
        <v>402</v>
      </c>
      <c r="D299" s="44">
        <v>3529.4969999999998</v>
      </c>
      <c r="E299" s="44">
        <v>3529.4969999999998</v>
      </c>
      <c r="F299" s="27">
        <f t="shared" si="9"/>
        <v>0</v>
      </c>
      <c r="G299" s="27">
        <f t="shared" si="10"/>
        <v>0</v>
      </c>
      <c r="H299" s="29">
        <v>1</v>
      </c>
      <c r="I299" s="35"/>
      <c r="J299" s="12"/>
      <c r="K299" s="13"/>
      <c r="L299" s="13"/>
      <c r="M299" s="36"/>
    </row>
    <row r="300" spans="1:13" ht="30" customHeight="1">
      <c r="A300" s="16" t="s">
        <v>13</v>
      </c>
      <c r="B300" s="30" t="s">
        <v>387</v>
      </c>
      <c r="C300" s="30" t="s">
        <v>404</v>
      </c>
      <c r="D300" s="44">
        <v>3457.7754999999997</v>
      </c>
      <c r="E300" s="44">
        <v>3457.7754999999997</v>
      </c>
      <c r="F300" s="27">
        <f t="shared" si="9"/>
        <v>0</v>
      </c>
      <c r="G300" s="27">
        <f t="shared" si="10"/>
        <v>0</v>
      </c>
      <c r="H300" s="29">
        <v>1</v>
      </c>
      <c r="I300" s="12"/>
      <c r="J300" s="12"/>
      <c r="K300" s="13"/>
      <c r="L300" s="13"/>
      <c r="M300" s="36"/>
    </row>
    <row r="301" spans="1:13" ht="30" customHeight="1">
      <c r="A301" s="16" t="s">
        <v>13</v>
      </c>
      <c r="B301" s="30" t="s">
        <v>388</v>
      </c>
      <c r="C301" s="30" t="s">
        <v>405</v>
      </c>
      <c r="D301" s="44">
        <v>1752.2</v>
      </c>
      <c r="E301" s="44">
        <v>1752.2</v>
      </c>
      <c r="F301" s="27">
        <f t="shared" si="9"/>
        <v>0</v>
      </c>
      <c r="G301" s="27">
        <v>0</v>
      </c>
      <c r="H301" s="29">
        <v>1</v>
      </c>
      <c r="I301" s="12"/>
      <c r="J301" s="12"/>
      <c r="K301" s="13"/>
      <c r="L301" s="13"/>
      <c r="M301" s="36"/>
    </row>
    <row r="302" spans="1:13" ht="30" customHeight="1">
      <c r="A302" s="16" t="s">
        <v>13</v>
      </c>
      <c r="B302" s="30" t="s">
        <v>388</v>
      </c>
      <c r="C302" s="30" t="s">
        <v>407</v>
      </c>
      <c r="D302" s="44">
        <v>3498.7714999999998</v>
      </c>
      <c r="E302" s="44">
        <v>3498.7714999999998</v>
      </c>
      <c r="F302" s="27">
        <f t="shared" si="9"/>
        <v>0</v>
      </c>
      <c r="G302" s="27">
        <f t="shared" si="10"/>
        <v>0</v>
      </c>
      <c r="H302" s="29">
        <v>1</v>
      </c>
      <c r="I302" s="12"/>
      <c r="J302" s="12"/>
      <c r="K302" s="13"/>
      <c r="L302" s="13"/>
      <c r="M302" s="36"/>
    </row>
    <row r="303" spans="1:13" ht="30" customHeight="1">
      <c r="A303" s="16" t="s">
        <v>13</v>
      </c>
      <c r="B303" s="30" t="s">
        <v>388</v>
      </c>
      <c r="C303" s="30" t="s">
        <v>408</v>
      </c>
      <c r="D303" s="44">
        <v>3509.0204999999996</v>
      </c>
      <c r="E303" s="44">
        <v>3509.0204999999996</v>
      </c>
      <c r="F303" s="27">
        <f t="shared" si="9"/>
        <v>0</v>
      </c>
      <c r="G303" s="27">
        <f t="shared" si="10"/>
        <v>0</v>
      </c>
      <c r="H303" s="29">
        <v>1</v>
      </c>
      <c r="I303" s="35"/>
      <c r="J303" s="12"/>
      <c r="K303" s="13"/>
      <c r="L303" s="13"/>
      <c r="M303" s="36"/>
    </row>
    <row r="304" spans="1:13" ht="30" customHeight="1">
      <c r="A304" s="16" t="s">
        <v>13</v>
      </c>
      <c r="B304" s="30" t="s">
        <v>388</v>
      </c>
      <c r="C304" s="30" t="s">
        <v>410</v>
      </c>
      <c r="D304" s="44">
        <v>3642.0299999999997</v>
      </c>
      <c r="E304" s="44">
        <v>3642.0299999999997</v>
      </c>
      <c r="F304" s="27">
        <f t="shared" si="9"/>
        <v>0</v>
      </c>
      <c r="G304" s="27">
        <f t="shared" si="10"/>
        <v>0</v>
      </c>
      <c r="H304" s="29">
        <v>1</v>
      </c>
      <c r="I304" s="12"/>
      <c r="J304" s="12"/>
      <c r="K304" s="13"/>
      <c r="L304" s="13"/>
      <c r="M304" s="36"/>
    </row>
    <row r="305" spans="1:13" ht="30" customHeight="1">
      <c r="A305" s="16" t="s">
        <v>13</v>
      </c>
      <c r="B305" s="30" t="s">
        <v>387</v>
      </c>
      <c r="C305" s="30" t="s">
        <v>411</v>
      </c>
      <c r="D305" s="44">
        <v>4290.9299999999994</v>
      </c>
      <c r="E305" s="44">
        <v>4290.9299999999994</v>
      </c>
      <c r="F305" s="27">
        <f t="shared" si="9"/>
        <v>0</v>
      </c>
      <c r="G305" s="27">
        <f t="shared" si="10"/>
        <v>0</v>
      </c>
      <c r="H305" s="29">
        <v>1</v>
      </c>
      <c r="I305" s="12"/>
      <c r="J305" s="12"/>
      <c r="K305" s="13"/>
      <c r="L305" s="13"/>
      <c r="M305" s="36"/>
    </row>
    <row r="306" spans="1:13" ht="30" customHeight="1">
      <c r="A306" s="16" t="s">
        <v>13</v>
      </c>
      <c r="B306" s="30" t="s">
        <v>387</v>
      </c>
      <c r="C306" s="30" t="s">
        <v>412</v>
      </c>
      <c r="D306" s="44">
        <v>5405.43</v>
      </c>
      <c r="E306" s="44">
        <v>5405.43</v>
      </c>
      <c r="F306" s="27">
        <f t="shared" si="9"/>
        <v>0</v>
      </c>
      <c r="G306" s="27">
        <f t="shared" si="10"/>
        <v>0</v>
      </c>
      <c r="H306" s="29">
        <v>1</v>
      </c>
      <c r="I306" s="12"/>
      <c r="J306" s="12"/>
      <c r="K306" s="13"/>
      <c r="L306" s="13"/>
      <c r="M306" s="36"/>
    </row>
    <row r="307" spans="1:13" ht="30" customHeight="1">
      <c r="A307" s="16" t="s">
        <v>13</v>
      </c>
      <c r="B307" s="30" t="s">
        <v>388</v>
      </c>
      <c r="C307" s="30" t="s">
        <v>413</v>
      </c>
      <c r="D307" s="44">
        <v>6147.93</v>
      </c>
      <c r="E307" s="44">
        <v>6147.93</v>
      </c>
      <c r="F307" s="27">
        <f t="shared" si="9"/>
        <v>0</v>
      </c>
      <c r="G307" s="27">
        <f t="shared" si="10"/>
        <v>0</v>
      </c>
      <c r="H307" s="29">
        <v>1</v>
      </c>
      <c r="I307" s="12"/>
      <c r="J307" s="12"/>
      <c r="K307" s="13"/>
      <c r="L307" s="13"/>
      <c r="M307" s="36"/>
    </row>
    <row r="308" spans="1:13" ht="30" customHeight="1">
      <c r="A308" s="16" t="s">
        <v>13</v>
      </c>
      <c r="B308" s="30" t="s">
        <v>388</v>
      </c>
      <c r="C308" s="30" t="s">
        <v>414</v>
      </c>
      <c r="D308" s="44">
        <v>3462.8999999999996</v>
      </c>
      <c r="E308" s="44">
        <v>3462.8999999999996</v>
      </c>
      <c r="F308" s="27">
        <f t="shared" si="9"/>
        <v>0</v>
      </c>
      <c r="G308" s="27">
        <f t="shared" si="10"/>
        <v>0</v>
      </c>
      <c r="H308" s="29">
        <v>1</v>
      </c>
      <c r="I308" s="12"/>
      <c r="J308" s="12"/>
      <c r="K308" s="13"/>
      <c r="L308" s="13"/>
      <c r="M308" s="36"/>
    </row>
    <row r="309" spans="1:13" ht="30" customHeight="1">
      <c r="A309" s="16" t="s">
        <v>13</v>
      </c>
      <c r="B309" s="30" t="s">
        <v>388</v>
      </c>
      <c r="C309" s="30" t="s">
        <v>415</v>
      </c>
      <c r="D309" s="44">
        <v>2402.1285000000003</v>
      </c>
      <c r="E309" s="44">
        <v>2402.1285000000003</v>
      </c>
      <c r="F309" s="27">
        <f t="shared" si="9"/>
        <v>0</v>
      </c>
      <c r="G309" s="27">
        <f t="shared" si="10"/>
        <v>0</v>
      </c>
      <c r="H309" s="29">
        <v>1</v>
      </c>
      <c r="I309" s="12"/>
      <c r="J309" s="12"/>
      <c r="K309" s="13"/>
      <c r="L309" s="13"/>
      <c r="M309" s="36"/>
    </row>
    <row r="310" spans="1:13" ht="30" customHeight="1">
      <c r="A310" s="16" t="s">
        <v>13</v>
      </c>
      <c r="B310" s="30" t="s">
        <v>388</v>
      </c>
      <c r="C310" s="30" t="s">
        <v>416</v>
      </c>
      <c r="D310" s="44">
        <v>2376.5059999999999</v>
      </c>
      <c r="E310" s="44">
        <v>2376.5059999999999</v>
      </c>
      <c r="F310" s="27">
        <f t="shared" si="9"/>
        <v>0</v>
      </c>
      <c r="G310" s="27">
        <f t="shared" si="10"/>
        <v>0</v>
      </c>
      <c r="H310" s="29">
        <v>1</v>
      </c>
      <c r="I310" s="12"/>
      <c r="J310" s="12"/>
      <c r="K310" s="13"/>
      <c r="L310" s="13"/>
      <c r="M310" s="36"/>
    </row>
    <row r="311" spans="1:13" ht="30" customHeight="1">
      <c r="A311" s="16" t="s">
        <v>13</v>
      </c>
      <c r="B311" s="30" t="s">
        <v>388</v>
      </c>
      <c r="C311" s="30" t="s">
        <v>417</v>
      </c>
      <c r="D311" s="44">
        <v>3473.1489999999999</v>
      </c>
      <c r="E311" s="44">
        <v>3473.1489999999999</v>
      </c>
      <c r="F311" s="27">
        <f t="shared" si="9"/>
        <v>0</v>
      </c>
      <c r="G311" s="27">
        <f t="shared" si="10"/>
        <v>0</v>
      </c>
      <c r="H311" s="29">
        <v>1</v>
      </c>
      <c r="I311" s="12"/>
      <c r="J311" s="12"/>
      <c r="K311" s="13"/>
      <c r="L311" s="13"/>
      <c r="M311" s="36"/>
    </row>
    <row r="312" spans="1:13" ht="30" customHeight="1">
      <c r="A312" s="16" t="s">
        <v>13</v>
      </c>
      <c r="B312" s="30" t="s">
        <v>388</v>
      </c>
      <c r="C312" s="30" t="s">
        <v>431</v>
      </c>
      <c r="D312" s="44">
        <v>3493.6469999999999</v>
      </c>
      <c r="E312" s="44">
        <v>3493.6469999999999</v>
      </c>
      <c r="F312" s="27">
        <f t="shared" si="9"/>
        <v>0</v>
      </c>
      <c r="G312" s="27">
        <f t="shared" si="10"/>
        <v>0</v>
      </c>
      <c r="H312" s="29">
        <v>1</v>
      </c>
      <c r="I312" s="12"/>
      <c r="J312" s="12"/>
      <c r="K312" s="13"/>
      <c r="L312" s="13"/>
      <c r="M312" s="36"/>
    </row>
    <row r="313" spans="1:13" ht="30" customHeight="1">
      <c r="A313" s="16" t="s">
        <v>13</v>
      </c>
      <c r="B313" s="30" t="s">
        <v>388</v>
      </c>
      <c r="C313" s="30" t="s">
        <v>418</v>
      </c>
      <c r="D313" s="44">
        <v>1752.2</v>
      </c>
      <c r="E313" s="44">
        <v>1752.2</v>
      </c>
      <c r="F313" s="27">
        <f t="shared" si="9"/>
        <v>0</v>
      </c>
      <c r="G313" s="27">
        <v>0</v>
      </c>
      <c r="H313" s="29">
        <v>1</v>
      </c>
      <c r="I313" s="12"/>
      <c r="J313" s="12"/>
      <c r="K313" s="13"/>
      <c r="L313" s="13"/>
      <c r="M313" s="36"/>
    </row>
    <row r="314" spans="1:13" ht="30" customHeight="1">
      <c r="A314" s="16" t="s">
        <v>13</v>
      </c>
      <c r="B314" s="30" t="s">
        <v>387</v>
      </c>
      <c r="C314" s="30" t="s">
        <v>419</v>
      </c>
      <c r="D314" s="44">
        <v>3478.2734999999998</v>
      </c>
      <c r="E314" s="44">
        <v>3478.2734999999998</v>
      </c>
      <c r="F314" s="27">
        <f t="shared" si="9"/>
        <v>0</v>
      </c>
      <c r="G314" s="27">
        <f t="shared" si="10"/>
        <v>0</v>
      </c>
      <c r="H314" s="29">
        <v>1</v>
      </c>
      <c r="I314" s="12"/>
      <c r="J314" s="12"/>
      <c r="K314" s="13"/>
      <c r="L314" s="13"/>
      <c r="M314" s="36"/>
    </row>
    <row r="315" spans="1:13" ht="30" customHeight="1">
      <c r="A315" s="16" t="s">
        <v>13</v>
      </c>
      <c r="B315" s="30" t="s">
        <v>387</v>
      </c>
      <c r="C315" s="30" t="s">
        <v>420</v>
      </c>
      <c r="D315" s="44">
        <v>3544.8919999999998</v>
      </c>
      <c r="E315" s="44">
        <v>3544.8919999999998</v>
      </c>
      <c r="F315" s="27">
        <f t="shared" si="9"/>
        <v>0</v>
      </c>
      <c r="G315" s="27">
        <f t="shared" si="10"/>
        <v>0</v>
      </c>
      <c r="H315" s="29">
        <v>1</v>
      </c>
      <c r="I315" s="12"/>
      <c r="J315" s="12"/>
      <c r="K315" s="13"/>
      <c r="L315" s="13"/>
      <c r="M315" s="36"/>
    </row>
    <row r="316" spans="1:13" ht="30" customHeight="1">
      <c r="A316" s="16" t="s">
        <v>13</v>
      </c>
      <c r="B316" s="30" t="s">
        <v>387</v>
      </c>
      <c r="C316" s="30" t="s">
        <v>421</v>
      </c>
      <c r="D316" s="44">
        <v>3555.1409999999996</v>
      </c>
      <c r="E316" s="44">
        <v>3555.1409999999996</v>
      </c>
      <c r="F316" s="27">
        <f t="shared" si="9"/>
        <v>0</v>
      </c>
      <c r="G316" s="27">
        <f t="shared" si="10"/>
        <v>0</v>
      </c>
      <c r="H316" s="29">
        <v>1</v>
      </c>
      <c r="I316" s="12"/>
      <c r="J316" s="12"/>
      <c r="K316" s="13"/>
      <c r="L316" s="13"/>
      <c r="M316" s="36"/>
    </row>
    <row r="317" spans="1:13" ht="30" customHeight="1">
      <c r="A317" s="16" t="s">
        <v>13</v>
      </c>
      <c r="B317" s="30" t="s">
        <v>387</v>
      </c>
      <c r="C317" s="30" t="s">
        <v>422</v>
      </c>
      <c r="D317" s="44">
        <v>3621.7594999999997</v>
      </c>
      <c r="E317" s="44">
        <v>3621.7594999999997</v>
      </c>
      <c r="F317" s="27">
        <f t="shared" si="9"/>
        <v>0</v>
      </c>
      <c r="G317" s="27">
        <f t="shared" si="10"/>
        <v>0</v>
      </c>
      <c r="H317" s="29">
        <v>1</v>
      </c>
      <c r="I317" s="12"/>
      <c r="J317" s="12"/>
      <c r="K317" s="13"/>
      <c r="L317" s="13"/>
      <c r="M317" s="36"/>
    </row>
    <row r="318" spans="1:13" ht="30" customHeight="1">
      <c r="A318" s="16" t="s">
        <v>13</v>
      </c>
      <c r="B318" s="30" t="s">
        <v>387</v>
      </c>
      <c r="C318" s="30" t="s">
        <v>423</v>
      </c>
      <c r="D318" s="44">
        <v>4446.829999999999</v>
      </c>
      <c r="E318" s="44">
        <v>4446.829999999999</v>
      </c>
      <c r="F318" s="27">
        <f t="shared" si="9"/>
        <v>0</v>
      </c>
      <c r="G318" s="27">
        <f t="shared" si="10"/>
        <v>0</v>
      </c>
      <c r="H318" s="29">
        <v>1</v>
      </c>
      <c r="I318" s="12"/>
      <c r="J318" s="12"/>
      <c r="K318" s="13"/>
      <c r="L318" s="13"/>
      <c r="M318" s="36"/>
    </row>
    <row r="319" spans="1:13" ht="30" customHeight="1">
      <c r="A319" s="16" t="s">
        <v>13</v>
      </c>
      <c r="B319" s="30" t="s">
        <v>386</v>
      </c>
      <c r="C319" s="30" t="s">
        <v>424</v>
      </c>
      <c r="D319" s="44">
        <v>3320.2299999999996</v>
      </c>
      <c r="E319" s="44">
        <v>3320.2299999999996</v>
      </c>
      <c r="F319" s="27">
        <f t="shared" si="9"/>
        <v>0</v>
      </c>
      <c r="G319" s="27">
        <f t="shared" si="10"/>
        <v>0</v>
      </c>
      <c r="H319" s="29">
        <v>1</v>
      </c>
      <c r="I319" s="12"/>
      <c r="J319" s="12"/>
      <c r="K319" s="13"/>
      <c r="L319" s="13"/>
      <c r="M319" s="36"/>
    </row>
    <row r="320" spans="1:13" ht="30" customHeight="1">
      <c r="A320" s="16" t="s">
        <v>13</v>
      </c>
      <c r="B320" s="30"/>
      <c r="C320" s="30" t="s">
        <v>394</v>
      </c>
      <c r="D320" s="44">
        <v>5406.83</v>
      </c>
      <c r="E320" s="44">
        <v>5406.83</v>
      </c>
      <c r="F320" s="27">
        <f t="shared" si="9"/>
        <v>0</v>
      </c>
      <c r="G320" s="27">
        <f t="shared" si="10"/>
        <v>0</v>
      </c>
      <c r="H320" s="29">
        <v>1</v>
      </c>
      <c r="I320" s="12"/>
      <c r="J320" s="12"/>
      <c r="K320" s="13"/>
      <c r="L320" s="13"/>
      <c r="M320" s="36"/>
    </row>
    <row r="321" spans="1:13" ht="30" customHeight="1">
      <c r="A321" s="16" t="s">
        <v>13</v>
      </c>
      <c r="B321" s="30" t="s">
        <v>386</v>
      </c>
      <c r="C321" s="30" t="s">
        <v>395</v>
      </c>
      <c r="D321" s="44">
        <v>2678.8515000000002</v>
      </c>
      <c r="E321" s="44">
        <v>2678.8515000000002</v>
      </c>
      <c r="F321" s="27">
        <f t="shared" si="9"/>
        <v>0</v>
      </c>
      <c r="G321" s="27">
        <f t="shared" si="10"/>
        <v>0</v>
      </c>
      <c r="H321" s="29">
        <v>1</v>
      </c>
      <c r="I321" s="12"/>
      <c r="J321" s="12"/>
      <c r="K321" s="13"/>
      <c r="L321" s="13"/>
      <c r="M321" s="36"/>
    </row>
    <row r="322" spans="1:13" ht="30" customHeight="1">
      <c r="A322" s="16" t="s">
        <v>13</v>
      </c>
      <c r="B322" s="30" t="s">
        <v>384</v>
      </c>
      <c r="C322" s="30" t="s">
        <v>396</v>
      </c>
      <c r="D322" s="44">
        <v>2863.3334999999997</v>
      </c>
      <c r="E322" s="44">
        <v>2863.3334999999997</v>
      </c>
      <c r="F322" s="27">
        <f t="shared" si="9"/>
        <v>0</v>
      </c>
      <c r="G322" s="27">
        <f t="shared" si="10"/>
        <v>0</v>
      </c>
      <c r="H322" s="29">
        <v>1</v>
      </c>
      <c r="I322" s="12"/>
      <c r="J322" s="12"/>
      <c r="K322" s="13"/>
      <c r="L322" s="13"/>
      <c r="M322" s="36"/>
    </row>
    <row r="323" spans="1:13" ht="30" customHeight="1">
      <c r="A323" s="16" t="s">
        <v>13</v>
      </c>
      <c r="B323" s="30" t="s">
        <v>386</v>
      </c>
      <c r="C323" s="30" t="s">
        <v>397</v>
      </c>
      <c r="D323" s="44">
        <v>3437.2774999999997</v>
      </c>
      <c r="E323" s="44">
        <v>3437.2774999999997</v>
      </c>
      <c r="F323" s="27">
        <f t="shared" si="9"/>
        <v>0</v>
      </c>
      <c r="G323" s="27">
        <f t="shared" si="10"/>
        <v>0</v>
      </c>
      <c r="H323" s="29">
        <v>1</v>
      </c>
      <c r="I323" s="12"/>
      <c r="J323" s="12"/>
      <c r="K323" s="13"/>
      <c r="L323" s="13"/>
      <c r="M323" s="36"/>
    </row>
    <row r="324" spans="1:13" ht="30" customHeight="1">
      <c r="A324" s="16" t="s">
        <v>13</v>
      </c>
      <c r="B324" s="30" t="s">
        <v>387</v>
      </c>
      <c r="C324" s="30" t="s">
        <v>398</v>
      </c>
      <c r="D324" s="44">
        <v>5341.93</v>
      </c>
      <c r="E324" s="44">
        <v>5341.93</v>
      </c>
      <c r="F324" s="27">
        <f t="shared" si="9"/>
        <v>0</v>
      </c>
      <c r="G324" s="27">
        <f t="shared" si="10"/>
        <v>0</v>
      </c>
      <c r="H324" s="29">
        <v>1</v>
      </c>
      <c r="I324" s="12"/>
      <c r="J324" s="12"/>
      <c r="K324" s="13"/>
      <c r="L324" s="13"/>
      <c r="M324" s="36"/>
    </row>
    <row r="325" spans="1:13" ht="30" customHeight="1">
      <c r="A325" s="16" t="s">
        <v>13</v>
      </c>
      <c r="B325" s="30" t="s">
        <v>387</v>
      </c>
      <c r="C325" s="30" t="s">
        <v>399</v>
      </c>
      <c r="D325" s="44">
        <v>3503.8959999999997</v>
      </c>
      <c r="E325" s="44">
        <v>3503.8959999999997</v>
      </c>
      <c r="F325" s="27">
        <f t="shared" ref="F325:F362" si="11">+D325-E325</f>
        <v>0</v>
      </c>
      <c r="G325" s="27">
        <f t="shared" si="10"/>
        <v>0</v>
      </c>
      <c r="H325" s="29">
        <v>1</v>
      </c>
      <c r="I325" s="12"/>
      <c r="J325" s="12"/>
      <c r="K325" s="13"/>
      <c r="L325" s="13"/>
      <c r="M325" s="36"/>
    </row>
    <row r="326" spans="1:13" ht="30" customHeight="1">
      <c r="A326" s="16" t="s">
        <v>13</v>
      </c>
      <c r="B326" s="30" t="s">
        <v>387</v>
      </c>
      <c r="C326" s="30" t="s">
        <v>400</v>
      </c>
      <c r="D326" s="44">
        <v>2284.2649999999999</v>
      </c>
      <c r="E326" s="44">
        <v>2284.2649999999999</v>
      </c>
      <c r="F326" s="27">
        <f t="shared" si="11"/>
        <v>0</v>
      </c>
      <c r="G326" s="27">
        <f t="shared" si="10"/>
        <v>0</v>
      </c>
      <c r="H326" s="29">
        <v>1</v>
      </c>
      <c r="I326" s="12"/>
      <c r="J326" s="12"/>
      <c r="K326" s="13"/>
      <c r="L326" s="13"/>
      <c r="M326" s="36"/>
    </row>
    <row r="327" spans="1:13" ht="30" customHeight="1">
      <c r="A327" s="16" t="s">
        <v>13</v>
      </c>
      <c r="B327" s="30" t="s">
        <v>387</v>
      </c>
      <c r="C327" s="30" t="s">
        <v>401</v>
      </c>
      <c r="D327" s="44">
        <v>4530.83</v>
      </c>
      <c r="E327" s="44">
        <v>4530.83</v>
      </c>
      <c r="F327" s="27">
        <f t="shared" si="11"/>
        <v>0</v>
      </c>
      <c r="G327" s="27">
        <f t="shared" si="10"/>
        <v>0</v>
      </c>
      <c r="H327" s="29">
        <v>1</v>
      </c>
      <c r="I327" s="12"/>
      <c r="J327" s="12"/>
      <c r="K327" s="13"/>
      <c r="L327" s="13"/>
      <c r="M327" s="36"/>
    </row>
    <row r="328" spans="1:13" ht="30" customHeight="1">
      <c r="A328" s="16" t="s">
        <v>13</v>
      </c>
      <c r="B328" s="30" t="s">
        <v>387</v>
      </c>
      <c r="C328" s="30" t="s">
        <v>403</v>
      </c>
      <c r="D328" s="44">
        <v>2642.98</v>
      </c>
      <c r="E328" s="44">
        <v>2642.98</v>
      </c>
      <c r="F328" s="27">
        <f t="shared" si="11"/>
        <v>0</v>
      </c>
      <c r="G328" s="27">
        <f t="shared" si="10"/>
        <v>0</v>
      </c>
      <c r="H328" s="29">
        <v>1</v>
      </c>
      <c r="I328" s="12"/>
      <c r="J328" s="12"/>
      <c r="K328" s="13"/>
      <c r="L328" s="13"/>
      <c r="M328" s="36"/>
    </row>
    <row r="329" spans="1:13" ht="30" customHeight="1">
      <c r="A329" s="16" t="s">
        <v>13</v>
      </c>
      <c r="B329" s="30" t="s">
        <v>386</v>
      </c>
      <c r="C329" s="30" t="s">
        <v>425</v>
      </c>
      <c r="D329" s="44">
        <v>2968.93</v>
      </c>
      <c r="E329" s="44">
        <v>2968.93</v>
      </c>
      <c r="F329" s="27">
        <f t="shared" si="11"/>
        <v>0</v>
      </c>
      <c r="G329" s="27">
        <f t="shared" si="10"/>
        <v>0</v>
      </c>
      <c r="H329" s="29">
        <v>1</v>
      </c>
      <c r="I329" s="12"/>
      <c r="J329" s="12"/>
      <c r="K329" s="13"/>
      <c r="L329" s="13"/>
      <c r="M329" s="36"/>
    </row>
    <row r="330" spans="1:13" ht="30" customHeight="1">
      <c r="A330" s="16" t="s">
        <v>13</v>
      </c>
      <c r="B330" s="30" t="s">
        <v>386</v>
      </c>
      <c r="C330" s="30" t="s">
        <v>427</v>
      </c>
      <c r="D330" s="44">
        <v>3447.5264999999999</v>
      </c>
      <c r="E330" s="44">
        <v>3447.5264999999999</v>
      </c>
      <c r="F330" s="27">
        <f t="shared" si="11"/>
        <v>0</v>
      </c>
      <c r="G330" s="27">
        <f t="shared" si="10"/>
        <v>0</v>
      </c>
      <c r="H330" s="29">
        <v>1</v>
      </c>
      <c r="I330" s="12"/>
      <c r="J330" s="12"/>
      <c r="K330" s="13"/>
      <c r="L330" s="13"/>
      <c r="M330" s="36"/>
    </row>
    <row r="331" spans="1:13" ht="30" customHeight="1">
      <c r="A331" s="16" t="s">
        <v>13</v>
      </c>
      <c r="B331" s="30" t="s">
        <v>386</v>
      </c>
      <c r="C331" s="30" t="s">
        <v>428</v>
      </c>
      <c r="D331" s="44">
        <v>2309.8875000000003</v>
      </c>
      <c r="E331" s="44">
        <v>2309.8875000000003</v>
      </c>
      <c r="F331" s="27">
        <f t="shared" si="11"/>
        <v>0</v>
      </c>
      <c r="G331" s="27">
        <f t="shared" si="10"/>
        <v>0</v>
      </c>
      <c r="H331" s="29">
        <v>1</v>
      </c>
      <c r="I331" s="12"/>
      <c r="J331" s="12"/>
      <c r="K331" s="13"/>
      <c r="L331" s="13"/>
      <c r="M331" s="36"/>
    </row>
    <row r="332" spans="1:13" ht="30" customHeight="1">
      <c r="A332" s="16" t="s">
        <v>13</v>
      </c>
      <c r="B332" s="30" t="s">
        <v>384</v>
      </c>
      <c r="C332" s="30" t="s">
        <v>406</v>
      </c>
      <c r="D332" s="44">
        <v>3488.5224999999996</v>
      </c>
      <c r="E332" s="44">
        <v>3488.5224999999996</v>
      </c>
      <c r="F332" s="27">
        <f t="shared" si="11"/>
        <v>0</v>
      </c>
      <c r="G332" s="27">
        <f t="shared" si="10"/>
        <v>0</v>
      </c>
      <c r="H332" s="29">
        <v>1</v>
      </c>
      <c r="I332" s="12"/>
      <c r="J332" s="12"/>
      <c r="K332" s="13"/>
      <c r="L332" s="13"/>
      <c r="M332" s="36"/>
    </row>
    <row r="333" spans="1:13" ht="30" customHeight="1">
      <c r="A333" s="16" t="s">
        <v>13</v>
      </c>
      <c r="B333" s="30" t="s">
        <v>384</v>
      </c>
      <c r="C333" s="30" t="s">
        <v>409</v>
      </c>
      <c r="D333" s="44">
        <v>3534.6429999999996</v>
      </c>
      <c r="E333" s="44">
        <v>3534.6429999999996</v>
      </c>
      <c r="F333" s="27">
        <f t="shared" si="11"/>
        <v>0</v>
      </c>
      <c r="G333" s="27">
        <f t="shared" si="10"/>
        <v>0</v>
      </c>
      <c r="H333" s="29">
        <v>1</v>
      </c>
      <c r="I333" s="12"/>
      <c r="J333" s="12"/>
      <c r="K333" s="13"/>
      <c r="L333" s="13"/>
      <c r="M333" s="36"/>
    </row>
    <row r="334" spans="1:13" ht="30" customHeight="1">
      <c r="A334" s="16" t="s">
        <v>13</v>
      </c>
      <c r="B334" s="30" t="s">
        <v>384</v>
      </c>
      <c r="C334" s="30" t="s">
        <v>429</v>
      </c>
      <c r="D334" s="44">
        <v>1752.2</v>
      </c>
      <c r="E334" s="44">
        <v>1752.2</v>
      </c>
      <c r="F334" s="27">
        <f t="shared" si="11"/>
        <v>0</v>
      </c>
      <c r="G334" s="27">
        <v>0</v>
      </c>
      <c r="H334" s="29">
        <v>1</v>
      </c>
      <c r="I334" s="12"/>
      <c r="J334" s="12"/>
      <c r="K334" s="13"/>
      <c r="L334" s="13"/>
      <c r="M334" s="36"/>
    </row>
    <row r="335" spans="1:13" ht="30" customHeight="1">
      <c r="A335" s="16" t="s">
        <v>13</v>
      </c>
      <c r="B335" s="30" t="s">
        <v>386</v>
      </c>
      <c r="C335" s="30" t="s">
        <v>430</v>
      </c>
      <c r="D335" s="44">
        <v>2448.2490000000003</v>
      </c>
      <c r="E335" s="44">
        <v>2448.2490000000003</v>
      </c>
      <c r="F335" s="27">
        <v>0</v>
      </c>
      <c r="G335" s="27">
        <v>0</v>
      </c>
      <c r="H335" s="29">
        <v>1</v>
      </c>
      <c r="I335" s="12"/>
      <c r="J335" s="12"/>
      <c r="K335" s="13"/>
      <c r="L335" s="13"/>
      <c r="M335" s="36"/>
    </row>
    <row r="336" spans="1:13" ht="30" customHeight="1">
      <c r="A336" s="16" t="s">
        <v>13</v>
      </c>
      <c r="B336" s="30" t="s">
        <v>386</v>
      </c>
      <c r="C336" s="30" t="s">
        <v>436</v>
      </c>
      <c r="D336" s="44">
        <v>1752.2</v>
      </c>
      <c r="E336" s="44">
        <v>1752.2</v>
      </c>
      <c r="F336" s="27">
        <f t="shared" si="11"/>
        <v>0</v>
      </c>
      <c r="G336" s="27">
        <v>0</v>
      </c>
      <c r="H336" s="29">
        <v>1</v>
      </c>
      <c r="I336" s="12"/>
      <c r="J336" s="12"/>
      <c r="K336" s="13"/>
      <c r="L336" s="13"/>
      <c r="M336" s="36"/>
    </row>
    <row r="337" spans="1:13" ht="30" customHeight="1">
      <c r="A337" s="16" t="s">
        <v>13</v>
      </c>
      <c r="B337" s="30" t="s">
        <v>386</v>
      </c>
      <c r="C337" s="30" t="s">
        <v>432</v>
      </c>
      <c r="D337" s="44">
        <v>3524.3939999999998</v>
      </c>
      <c r="E337" s="44">
        <v>3524.3939999999998</v>
      </c>
      <c r="F337" s="27">
        <f t="shared" si="11"/>
        <v>0</v>
      </c>
      <c r="G337" s="27">
        <f t="shared" si="10"/>
        <v>0</v>
      </c>
      <c r="H337" s="29">
        <v>1</v>
      </c>
      <c r="I337" s="12"/>
      <c r="J337" s="12"/>
      <c r="K337" s="13"/>
      <c r="L337" s="13"/>
      <c r="M337" s="36"/>
    </row>
    <row r="338" spans="1:13" ht="30" customHeight="1">
      <c r="A338" s="16" t="s">
        <v>13</v>
      </c>
      <c r="B338" s="30" t="s">
        <v>384</v>
      </c>
      <c r="C338" s="30" t="s">
        <v>433</v>
      </c>
      <c r="D338" s="44">
        <v>3483.3979999999997</v>
      </c>
      <c r="E338" s="44">
        <v>3483.3979999999997</v>
      </c>
      <c r="F338" s="27">
        <f t="shared" si="11"/>
        <v>0</v>
      </c>
      <c r="G338" s="27">
        <f t="shared" si="10"/>
        <v>0</v>
      </c>
      <c r="H338" s="29">
        <v>1</v>
      </c>
      <c r="I338" s="12"/>
      <c r="J338" s="12"/>
      <c r="K338" s="13"/>
      <c r="L338" s="13"/>
      <c r="M338" s="36"/>
    </row>
    <row r="339" spans="1:13" ht="30" customHeight="1">
      <c r="A339" s="16" t="s">
        <v>13</v>
      </c>
      <c r="B339" s="30" t="s">
        <v>386</v>
      </c>
      <c r="C339" s="30" t="s">
        <v>434</v>
      </c>
      <c r="D339" s="44">
        <v>3580.7634999999996</v>
      </c>
      <c r="E339" s="44">
        <v>3580.7634999999996</v>
      </c>
      <c r="F339" s="27">
        <f t="shared" si="11"/>
        <v>0</v>
      </c>
      <c r="G339" s="27">
        <f t="shared" si="10"/>
        <v>0</v>
      </c>
      <c r="H339" s="29">
        <v>1</v>
      </c>
      <c r="I339" s="12"/>
      <c r="J339" s="12"/>
      <c r="K339" s="13"/>
      <c r="L339" s="13"/>
      <c r="M339" s="36"/>
    </row>
    <row r="340" spans="1:13" ht="30" customHeight="1">
      <c r="A340" s="16" t="s">
        <v>13</v>
      </c>
      <c r="B340" s="30" t="s">
        <v>384</v>
      </c>
      <c r="C340" s="30" t="s">
        <v>393</v>
      </c>
      <c r="D340" s="27">
        <v>2648.1044999999999</v>
      </c>
      <c r="E340" s="27">
        <v>2648.1044999999999</v>
      </c>
      <c r="F340" s="27">
        <f t="shared" si="11"/>
        <v>0</v>
      </c>
      <c r="G340" s="27">
        <f t="shared" si="10"/>
        <v>0</v>
      </c>
      <c r="H340" s="29">
        <v>1</v>
      </c>
      <c r="I340" s="12"/>
      <c r="J340" s="12"/>
      <c r="K340" s="13"/>
      <c r="L340" s="13"/>
      <c r="M340" s="36"/>
    </row>
    <row r="341" spans="1:13" ht="30" customHeight="1">
      <c r="A341" s="16" t="s">
        <v>13</v>
      </c>
      <c r="B341" s="30" t="s">
        <v>384</v>
      </c>
      <c r="C341" s="30" t="s">
        <v>435</v>
      </c>
      <c r="D341" s="27">
        <v>3565.39</v>
      </c>
      <c r="E341" s="27">
        <v>3565.39</v>
      </c>
      <c r="F341" s="27">
        <f t="shared" si="11"/>
        <v>0</v>
      </c>
      <c r="G341" s="27">
        <f t="shared" si="10"/>
        <v>0</v>
      </c>
      <c r="H341" s="29">
        <v>1</v>
      </c>
      <c r="I341" s="12"/>
      <c r="J341" s="12"/>
      <c r="K341" s="13"/>
      <c r="L341" s="13"/>
      <c r="M341" s="36"/>
    </row>
    <row r="342" spans="1:13" ht="30" customHeight="1">
      <c r="A342" s="16" t="s">
        <v>13</v>
      </c>
      <c r="B342" s="30" t="s">
        <v>384</v>
      </c>
      <c r="C342" s="30" t="s">
        <v>426</v>
      </c>
      <c r="D342" s="27">
        <v>2627.6064999999999</v>
      </c>
      <c r="E342" s="27">
        <v>2627.6064999999999</v>
      </c>
      <c r="F342" s="27">
        <f t="shared" si="11"/>
        <v>0</v>
      </c>
      <c r="G342" s="27">
        <f t="shared" si="10"/>
        <v>0</v>
      </c>
      <c r="H342" s="29">
        <v>1</v>
      </c>
      <c r="I342" s="12"/>
      <c r="J342" s="12"/>
      <c r="K342" s="13"/>
      <c r="L342" s="13"/>
      <c r="M342" s="36"/>
    </row>
    <row r="343" spans="1:13" ht="30" customHeight="1">
      <c r="A343" s="5" t="s">
        <v>45</v>
      </c>
      <c r="B343" s="30" t="s">
        <v>392</v>
      </c>
      <c r="C343" s="30" t="s">
        <v>437</v>
      </c>
      <c r="D343" s="27">
        <v>2878.7069999999999</v>
      </c>
      <c r="E343" s="27">
        <v>2878.7069999999999</v>
      </c>
      <c r="F343" s="27">
        <f t="shared" si="11"/>
        <v>0</v>
      </c>
      <c r="G343" s="27">
        <f t="shared" si="10"/>
        <v>0</v>
      </c>
      <c r="H343" s="29">
        <v>1</v>
      </c>
      <c r="I343" s="12"/>
      <c r="J343" s="12"/>
      <c r="K343" s="13"/>
      <c r="L343" s="13"/>
      <c r="M343" s="36"/>
    </row>
    <row r="344" spans="1:13" ht="30" customHeight="1">
      <c r="A344" s="5" t="s">
        <v>45</v>
      </c>
      <c r="B344" s="30" t="s">
        <v>392</v>
      </c>
      <c r="C344" s="30" t="s">
        <v>438</v>
      </c>
      <c r="D344" s="27">
        <v>3626.884</v>
      </c>
      <c r="E344" s="27">
        <v>3626.884</v>
      </c>
      <c r="F344" s="27">
        <f t="shared" si="11"/>
        <v>0</v>
      </c>
      <c r="G344" s="27">
        <f t="shared" si="10"/>
        <v>0</v>
      </c>
      <c r="H344" s="29">
        <v>1</v>
      </c>
      <c r="I344" s="12"/>
      <c r="J344" s="12"/>
      <c r="K344" s="13"/>
      <c r="L344" s="13"/>
      <c r="M344" s="36"/>
    </row>
    <row r="345" spans="1:13" ht="30" customHeight="1">
      <c r="A345" s="5" t="s">
        <v>45</v>
      </c>
      <c r="B345" s="30" t="s">
        <v>392</v>
      </c>
      <c r="C345" s="30" t="s">
        <v>440</v>
      </c>
      <c r="D345" s="27">
        <v>2186.8995</v>
      </c>
      <c r="E345" s="27">
        <v>2186.8995</v>
      </c>
      <c r="F345" s="27">
        <f t="shared" si="11"/>
        <v>0</v>
      </c>
      <c r="G345" s="27">
        <f t="shared" si="10"/>
        <v>0</v>
      </c>
      <c r="H345" s="29">
        <v>1</v>
      </c>
      <c r="I345" s="12"/>
      <c r="J345" s="12"/>
      <c r="K345" s="13"/>
      <c r="L345" s="13"/>
      <c r="M345" s="36"/>
    </row>
    <row r="346" spans="1:13" ht="30" customHeight="1">
      <c r="A346" s="5" t="s">
        <v>45</v>
      </c>
      <c r="B346" s="30" t="s">
        <v>392</v>
      </c>
      <c r="C346" s="30" t="s">
        <v>439</v>
      </c>
      <c r="D346" s="27">
        <v>2192.0239999999999</v>
      </c>
      <c r="E346" s="27">
        <v>2192.0239999999999</v>
      </c>
      <c r="F346" s="27">
        <f t="shared" si="11"/>
        <v>0</v>
      </c>
      <c r="G346" s="27">
        <f t="shared" si="10"/>
        <v>0</v>
      </c>
      <c r="H346" s="29">
        <v>1</v>
      </c>
      <c r="I346" s="12"/>
      <c r="J346" s="12"/>
      <c r="K346" s="13"/>
      <c r="L346" s="13"/>
      <c r="M346" s="36"/>
    </row>
    <row r="347" spans="1:13" ht="30" customHeight="1">
      <c r="A347" s="16" t="s">
        <v>30</v>
      </c>
      <c r="B347" s="30" t="s">
        <v>389</v>
      </c>
      <c r="C347" s="30" t="s">
        <v>441</v>
      </c>
      <c r="D347" s="27">
        <v>3529.5184999999997</v>
      </c>
      <c r="E347" s="27">
        <v>3529.5184999999997</v>
      </c>
      <c r="F347" s="27">
        <f t="shared" si="11"/>
        <v>0</v>
      </c>
      <c r="G347" s="27">
        <f t="shared" si="10"/>
        <v>0</v>
      </c>
      <c r="H347" s="29">
        <v>1</v>
      </c>
      <c r="I347" s="12"/>
      <c r="J347" s="12"/>
      <c r="K347" s="13"/>
      <c r="L347" s="13"/>
      <c r="M347" s="36"/>
    </row>
    <row r="348" spans="1:13" ht="30" customHeight="1">
      <c r="A348" s="16" t="s">
        <v>30</v>
      </c>
      <c r="B348" s="30" t="s">
        <v>391</v>
      </c>
      <c r="C348" s="30" t="s">
        <v>442</v>
      </c>
      <c r="D348" s="27">
        <v>3468.0245</v>
      </c>
      <c r="E348" s="27">
        <v>3468.0245</v>
      </c>
      <c r="F348" s="27">
        <f t="shared" si="11"/>
        <v>0</v>
      </c>
      <c r="G348" s="27">
        <f t="shared" si="10"/>
        <v>0</v>
      </c>
      <c r="H348" s="29">
        <v>1</v>
      </c>
      <c r="I348" s="12"/>
      <c r="J348" s="12"/>
      <c r="K348" s="13"/>
      <c r="L348" s="13"/>
      <c r="M348" s="36"/>
    </row>
    <row r="349" spans="1:13" ht="30" customHeight="1">
      <c r="A349" s="16" t="s">
        <v>30</v>
      </c>
      <c r="B349" s="30" t="s">
        <v>389</v>
      </c>
      <c r="C349" s="30" t="s">
        <v>443</v>
      </c>
      <c r="D349" s="27">
        <v>3519.2694999999999</v>
      </c>
      <c r="E349" s="27">
        <v>3519.2694999999999</v>
      </c>
      <c r="F349" s="27">
        <f t="shared" si="11"/>
        <v>0</v>
      </c>
      <c r="G349" s="27">
        <f t="shared" si="10"/>
        <v>0</v>
      </c>
      <c r="H349" s="29">
        <v>1</v>
      </c>
      <c r="I349" s="12"/>
      <c r="J349" s="12"/>
      <c r="K349" s="13"/>
      <c r="L349" s="13"/>
      <c r="M349" s="36"/>
    </row>
    <row r="350" spans="1:13" ht="30" customHeight="1">
      <c r="A350" s="16" t="s">
        <v>30</v>
      </c>
      <c r="B350" s="30" t="s">
        <v>389</v>
      </c>
      <c r="C350" s="30" t="s">
        <v>444</v>
      </c>
      <c r="D350" s="27">
        <v>2074.1605</v>
      </c>
      <c r="E350" s="27">
        <v>2074.1605</v>
      </c>
      <c r="F350" s="27">
        <f t="shared" si="11"/>
        <v>0</v>
      </c>
      <c r="G350" s="27">
        <f t="shared" si="10"/>
        <v>0</v>
      </c>
      <c r="H350" s="29">
        <v>1</v>
      </c>
      <c r="I350" s="12"/>
      <c r="J350" s="12"/>
      <c r="K350" s="13"/>
      <c r="L350" s="13"/>
      <c r="M350" s="36"/>
    </row>
    <row r="351" spans="1:13" ht="30" customHeight="1">
      <c r="A351" s="16" t="s">
        <v>30</v>
      </c>
      <c r="B351" s="30" t="s">
        <v>391</v>
      </c>
      <c r="C351" s="30" t="s">
        <v>445</v>
      </c>
      <c r="D351" s="27">
        <v>3539.7674999999999</v>
      </c>
      <c r="E351" s="27">
        <v>3539.7674999999999</v>
      </c>
      <c r="F351" s="27">
        <f t="shared" si="11"/>
        <v>0</v>
      </c>
      <c r="G351" s="27">
        <f t="shared" si="10"/>
        <v>0</v>
      </c>
      <c r="H351" s="29">
        <v>1</v>
      </c>
      <c r="I351" s="12"/>
      <c r="J351" s="12"/>
      <c r="K351" s="13"/>
      <c r="L351" s="13"/>
      <c r="M351" s="36"/>
    </row>
    <row r="352" spans="1:13" ht="30" customHeight="1">
      <c r="A352" s="16" t="s">
        <v>30</v>
      </c>
      <c r="B352" s="30" t="s">
        <v>391</v>
      </c>
      <c r="C352" s="30" t="s">
        <v>446</v>
      </c>
      <c r="D352" s="27">
        <v>1935.799</v>
      </c>
      <c r="E352" s="27">
        <v>1935.799</v>
      </c>
      <c r="F352" s="27">
        <f t="shared" si="11"/>
        <v>0</v>
      </c>
      <c r="G352" s="27">
        <f t="shared" si="10"/>
        <v>0</v>
      </c>
      <c r="H352" s="29">
        <v>1</v>
      </c>
      <c r="I352" s="12"/>
      <c r="J352" s="12"/>
      <c r="K352" s="13"/>
      <c r="L352" s="13"/>
      <c r="M352" s="36"/>
    </row>
    <row r="353" spans="1:13" ht="30" customHeight="1">
      <c r="A353" s="16" t="s">
        <v>30</v>
      </c>
      <c r="B353" s="30" t="s">
        <v>389</v>
      </c>
      <c r="C353" s="30" t="s">
        <v>447</v>
      </c>
      <c r="D353" s="27">
        <v>3601.2614999999996</v>
      </c>
      <c r="E353" s="27">
        <v>3601.2614999999996</v>
      </c>
      <c r="F353" s="27">
        <f t="shared" si="11"/>
        <v>0</v>
      </c>
      <c r="G353" s="27">
        <f t="shared" si="10"/>
        <v>0</v>
      </c>
      <c r="H353" s="29">
        <v>1</v>
      </c>
      <c r="I353" s="12"/>
      <c r="J353" s="12"/>
      <c r="K353" s="13"/>
      <c r="L353" s="13"/>
      <c r="M353" s="36"/>
    </row>
    <row r="354" spans="1:13" ht="30" customHeight="1">
      <c r="A354" s="16" t="s">
        <v>30</v>
      </c>
      <c r="B354" s="30" t="s">
        <v>391</v>
      </c>
      <c r="C354" s="30" t="s">
        <v>448</v>
      </c>
      <c r="D354" s="27">
        <v>2822.3374999999996</v>
      </c>
      <c r="E354" s="27">
        <v>2822.3374999999996</v>
      </c>
      <c r="F354" s="27">
        <f t="shared" si="11"/>
        <v>0</v>
      </c>
      <c r="G354" s="27">
        <f t="shared" si="10"/>
        <v>0</v>
      </c>
      <c r="H354" s="29">
        <v>1</v>
      </c>
      <c r="I354" s="12"/>
      <c r="J354" s="12"/>
      <c r="K354" s="13"/>
      <c r="L354" s="13"/>
      <c r="M354" s="36"/>
    </row>
    <row r="355" spans="1:13" ht="30" customHeight="1">
      <c r="A355" s="16" t="s">
        <v>30</v>
      </c>
      <c r="B355" s="30" t="s">
        <v>391</v>
      </c>
      <c r="C355" s="30" t="s">
        <v>449</v>
      </c>
      <c r="D355" s="27">
        <v>3637.1329999999998</v>
      </c>
      <c r="E355" s="27">
        <v>3637.1329999999998</v>
      </c>
      <c r="F355" s="27">
        <f t="shared" si="11"/>
        <v>0</v>
      </c>
      <c r="G355" s="27">
        <f t="shared" si="10"/>
        <v>0</v>
      </c>
      <c r="H355" s="29">
        <v>1</v>
      </c>
      <c r="I355" s="12"/>
      <c r="J355" s="12"/>
      <c r="K355" s="13"/>
      <c r="L355" s="13"/>
      <c r="M355" s="36"/>
    </row>
    <row r="356" spans="1:13" ht="30" customHeight="1">
      <c r="A356" s="16" t="s">
        <v>30</v>
      </c>
      <c r="B356" s="30" t="s">
        <v>389</v>
      </c>
      <c r="C356" s="30" t="s">
        <v>450</v>
      </c>
      <c r="D356" s="27">
        <v>1752.2</v>
      </c>
      <c r="E356" s="27">
        <v>1752.2</v>
      </c>
      <c r="F356" s="27">
        <f t="shared" si="11"/>
        <v>0</v>
      </c>
      <c r="G356" s="27">
        <v>0</v>
      </c>
      <c r="H356" s="29">
        <v>1</v>
      </c>
      <c r="I356" s="12"/>
      <c r="J356" s="12"/>
      <c r="K356" s="13"/>
      <c r="L356" s="13"/>
      <c r="M356" s="36"/>
    </row>
    <row r="357" spans="1:13" ht="30" customHeight="1">
      <c r="A357" s="16" t="s">
        <v>30</v>
      </c>
      <c r="B357" s="30" t="s">
        <v>390</v>
      </c>
      <c r="C357" s="30" t="s">
        <v>451</v>
      </c>
      <c r="D357" s="27">
        <v>1752.2</v>
      </c>
      <c r="E357" s="27">
        <v>1752.2</v>
      </c>
      <c r="F357" s="27">
        <f t="shared" si="11"/>
        <v>0</v>
      </c>
      <c r="G357" s="27">
        <v>0</v>
      </c>
      <c r="H357" s="29">
        <v>1</v>
      </c>
      <c r="I357" s="12"/>
      <c r="J357" s="12"/>
      <c r="K357" s="13"/>
      <c r="L357" s="13"/>
      <c r="M357" s="36"/>
    </row>
    <row r="358" spans="1:13" ht="30" customHeight="1">
      <c r="A358" s="16" t="s">
        <v>30</v>
      </c>
      <c r="B358" s="30" t="s">
        <v>391</v>
      </c>
      <c r="C358" s="30" t="s">
        <v>452</v>
      </c>
      <c r="D358" s="27">
        <v>3591.0124999999998</v>
      </c>
      <c r="E358" s="27">
        <v>3591.0124999999998</v>
      </c>
      <c r="F358" s="27">
        <f t="shared" si="11"/>
        <v>0</v>
      </c>
      <c r="G358" s="27">
        <f t="shared" ref="G358:G362" si="12">+F358*100/D358</f>
        <v>0</v>
      </c>
      <c r="H358" s="29">
        <v>1</v>
      </c>
      <c r="I358" s="12"/>
      <c r="J358" s="12"/>
      <c r="K358" s="13"/>
      <c r="L358" s="13"/>
      <c r="M358" s="36"/>
    </row>
    <row r="359" spans="1:13" ht="30" customHeight="1">
      <c r="A359" s="16" t="s">
        <v>30</v>
      </c>
      <c r="B359" s="30" t="s">
        <v>390</v>
      </c>
      <c r="C359" s="30" t="s">
        <v>453</v>
      </c>
      <c r="D359" s="27">
        <v>3642.2574999999997</v>
      </c>
      <c r="E359" s="27">
        <v>3642.2574999999997</v>
      </c>
      <c r="F359" s="27">
        <f t="shared" si="11"/>
        <v>0</v>
      </c>
      <c r="G359" s="27">
        <f t="shared" si="12"/>
        <v>0</v>
      </c>
      <c r="H359" s="29">
        <v>1</v>
      </c>
      <c r="I359" s="12"/>
      <c r="J359" s="12"/>
      <c r="K359" s="13"/>
      <c r="L359" s="13"/>
      <c r="M359" s="36"/>
    </row>
    <row r="360" spans="1:13" ht="30" customHeight="1">
      <c r="A360" s="16" t="s">
        <v>30</v>
      </c>
      <c r="B360" s="30" t="s">
        <v>389</v>
      </c>
      <c r="C360" s="30" t="s">
        <v>454</v>
      </c>
      <c r="D360" s="27">
        <v>3514.145</v>
      </c>
      <c r="E360" s="27">
        <v>3514.145</v>
      </c>
      <c r="F360" s="27">
        <f t="shared" si="11"/>
        <v>0</v>
      </c>
      <c r="G360" s="27">
        <f t="shared" si="12"/>
        <v>0</v>
      </c>
      <c r="H360" s="29">
        <v>1</v>
      </c>
      <c r="I360" s="12"/>
      <c r="J360" s="12"/>
      <c r="K360" s="13"/>
      <c r="L360" s="13"/>
      <c r="M360" s="36"/>
    </row>
    <row r="361" spans="1:13" ht="30" customHeight="1">
      <c r="A361" s="16" t="s">
        <v>30</v>
      </c>
      <c r="B361" s="30" t="s">
        <v>391</v>
      </c>
      <c r="C361" s="30" t="s">
        <v>456</v>
      </c>
      <c r="D361" s="27">
        <v>3616.6349999999998</v>
      </c>
      <c r="E361" s="27">
        <v>3616.6349999999998</v>
      </c>
      <c r="F361" s="27">
        <f t="shared" si="11"/>
        <v>0</v>
      </c>
      <c r="G361" s="27">
        <f t="shared" si="12"/>
        <v>0</v>
      </c>
      <c r="H361" s="29">
        <v>1</v>
      </c>
      <c r="I361" s="12"/>
      <c r="J361" s="12"/>
      <c r="K361" s="13"/>
      <c r="L361" s="13"/>
      <c r="M361" s="36"/>
    </row>
    <row r="362" spans="1:13" ht="30" customHeight="1">
      <c r="A362" s="16" t="s">
        <v>30</v>
      </c>
      <c r="B362" s="30" t="s">
        <v>391</v>
      </c>
      <c r="C362" s="30" t="s">
        <v>455</v>
      </c>
      <c r="D362" s="27">
        <v>3606.386</v>
      </c>
      <c r="E362" s="27">
        <v>3606.386</v>
      </c>
      <c r="F362" s="27">
        <f t="shared" si="11"/>
        <v>0</v>
      </c>
      <c r="G362" s="27">
        <f t="shared" si="12"/>
        <v>0</v>
      </c>
      <c r="H362" s="29">
        <v>1</v>
      </c>
      <c r="I362" s="12"/>
      <c r="J362" s="12"/>
      <c r="K362" s="13"/>
      <c r="L362" s="13"/>
      <c r="M362" s="36"/>
    </row>
    <row r="363" spans="1:13" ht="30" customHeight="1">
      <c r="A363" s="2"/>
      <c r="B363" s="2"/>
      <c r="C363" s="2"/>
      <c r="D363" s="31"/>
      <c r="E363" s="2"/>
      <c r="F363" s="2"/>
      <c r="G363" s="2"/>
      <c r="H363" s="2"/>
      <c r="I363" s="2"/>
      <c r="J363" s="2"/>
      <c r="K363" s="11"/>
      <c r="L363" s="11"/>
      <c r="M363" s="9"/>
    </row>
    <row r="364" spans="1:13" ht="3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11"/>
      <c r="L364" s="11"/>
      <c r="M364" s="9"/>
    </row>
    <row r="365" spans="1:13" ht="3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11"/>
      <c r="L365" s="11"/>
      <c r="M365" s="9"/>
    </row>
    <row r="366" spans="1:13" ht="3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11"/>
      <c r="L366" s="11"/>
      <c r="M366" s="9"/>
    </row>
    <row r="367" spans="1:13" ht="3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11"/>
      <c r="L367" s="11"/>
      <c r="M367" s="9"/>
    </row>
    <row r="368" spans="1:13" ht="3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11"/>
      <c r="L368" s="11"/>
      <c r="M368" s="9"/>
    </row>
    <row r="369" spans="1:13" ht="3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11"/>
      <c r="L369" s="11"/>
      <c r="M369" s="9"/>
    </row>
    <row r="370" spans="1:13" ht="3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11"/>
      <c r="L370" s="11"/>
      <c r="M370" s="9"/>
    </row>
    <row r="371" spans="1:13" ht="3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11"/>
      <c r="L371" s="11"/>
      <c r="M371" s="9"/>
    </row>
    <row r="372" spans="1:13" ht="3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11"/>
      <c r="L372" s="11"/>
      <c r="M372" s="9"/>
    </row>
    <row r="373" spans="1:13" ht="3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11"/>
      <c r="L373" s="11"/>
      <c r="M373" s="9"/>
    </row>
    <row r="374" spans="1:13" ht="3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11"/>
      <c r="L374" s="11"/>
      <c r="M374" s="9"/>
    </row>
    <row r="375" spans="1:13" ht="3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11"/>
      <c r="L375" s="11"/>
      <c r="M375" s="9"/>
    </row>
    <row r="376" spans="1:13" ht="3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11"/>
      <c r="L376" s="11"/>
      <c r="M376" s="9"/>
    </row>
    <row r="377" spans="1:13" ht="3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11"/>
      <c r="L377" s="11"/>
      <c r="M377" s="9"/>
    </row>
    <row r="378" spans="1:13" ht="3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11"/>
      <c r="L378" s="11"/>
      <c r="M378" s="9"/>
    </row>
    <row r="379" spans="1:13" ht="3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11"/>
      <c r="L379" s="11"/>
      <c r="M379" s="9"/>
    </row>
    <row r="380" spans="1:13" ht="3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11"/>
      <c r="L380" s="11"/>
      <c r="M380" s="9"/>
    </row>
    <row r="381" spans="1:13" ht="3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11"/>
      <c r="L381" s="11"/>
      <c r="M381" s="9"/>
    </row>
    <row r="382" spans="1:13" ht="3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11"/>
      <c r="L382" s="11"/>
      <c r="M382" s="9"/>
    </row>
    <row r="383" spans="1:13" ht="3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11"/>
      <c r="L383" s="11"/>
      <c r="M383" s="9"/>
    </row>
    <row r="384" spans="1:13" ht="3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11"/>
      <c r="L384" s="11"/>
      <c r="M384" s="9"/>
    </row>
    <row r="385" spans="1:13" ht="3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11"/>
      <c r="L385" s="11"/>
      <c r="M385" s="9"/>
    </row>
    <row r="386" spans="1:13" ht="3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11"/>
      <c r="L386" s="11"/>
      <c r="M386" s="9"/>
    </row>
    <row r="387" spans="1:13" ht="3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11"/>
      <c r="L387" s="11"/>
      <c r="M387" s="9"/>
    </row>
    <row r="388" spans="1:13" ht="3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11"/>
      <c r="L388" s="11"/>
      <c r="M388" s="9"/>
    </row>
    <row r="389" spans="1:13" ht="3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11"/>
      <c r="L389" s="11"/>
      <c r="M389" s="9"/>
    </row>
    <row r="390" spans="1:13" ht="3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11"/>
      <c r="L390" s="11"/>
      <c r="M390" s="9"/>
    </row>
    <row r="391" spans="1:13" ht="3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11"/>
      <c r="L391" s="11"/>
      <c r="M391" s="9"/>
    </row>
    <row r="392" spans="1:13" ht="3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11"/>
      <c r="L392" s="11"/>
      <c r="M392" s="9"/>
    </row>
    <row r="393" spans="1:13" ht="3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11"/>
      <c r="L393" s="11"/>
      <c r="M393" s="9"/>
    </row>
    <row r="394" spans="1:13" ht="3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11"/>
      <c r="L394" s="11"/>
      <c r="M394" s="9"/>
    </row>
    <row r="395" spans="1:13" ht="3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11"/>
      <c r="L395" s="11"/>
      <c r="M395" s="9"/>
    </row>
    <row r="396" spans="1:13" ht="3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11"/>
      <c r="L396" s="11"/>
      <c r="M396" s="9"/>
    </row>
    <row r="397" spans="1:13" ht="3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11"/>
      <c r="L397" s="11"/>
      <c r="M397" s="9"/>
    </row>
    <row r="398" spans="1:13" ht="3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11"/>
      <c r="L398" s="11"/>
      <c r="M398" s="9"/>
    </row>
    <row r="399" spans="1:13" ht="3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11"/>
      <c r="L399" s="11"/>
      <c r="M399" s="9"/>
    </row>
    <row r="400" spans="1:13" ht="3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11"/>
      <c r="L400" s="11"/>
      <c r="M400" s="9"/>
    </row>
    <row r="401" spans="1:13" ht="3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11"/>
      <c r="L401" s="11"/>
      <c r="M401" s="9"/>
    </row>
    <row r="402" spans="1:13" ht="3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11"/>
      <c r="L402" s="11"/>
      <c r="M402" s="9"/>
    </row>
    <row r="403" spans="1:13" ht="3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11"/>
      <c r="L403" s="11"/>
      <c r="M403" s="9"/>
    </row>
    <row r="404" spans="1:13" ht="3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11"/>
      <c r="L404" s="11"/>
      <c r="M404" s="9"/>
    </row>
    <row r="405" spans="1:13" ht="3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11"/>
      <c r="L405" s="11"/>
      <c r="M405" s="9"/>
    </row>
    <row r="406" spans="1:13" ht="3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11"/>
      <c r="L406" s="11"/>
      <c r="M406" s="9"/>
    </row>
    <row r="407" spans="1:13" ht="3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11"/>
      <c r="L407" s="11"/>
      <c r="M407" s="9"/>
    </row>
    <row r="408" spans="1:13" ht="3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11"/>
      <c r="L408" s="11"/>
      <c r="M408" s="9"/>
    </row>
    <row r="409" spans="1:13" ht="3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11"/>
      <c r="L409" s="11"/>
      <c r="M409" s="9"/>
    </row>
    <row r="410" spans="1:13" ht="3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11"/>
      <c r="L410" s="11"/>
      <c r="M410" s="9"/>
    </row>
    <row r="411" spans="1:13" ht="3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11"/>
      <c r="L411" s="11"/>
      <c r="M411" s="9"/>
    </row>
    <row r="412" spans="1:13" ht="3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11"/>
      <c r="L412" s="11"/>
      <c r="M412" s="9"/>
    </row>
    <row r="413" spans="1:13" ht="3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11"/>
      <c r="L413" s="11"/>
      <c r="M413" s="9"/>
    </row>
    <row r="414" spans="1:13" ht="3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11"/>
      <c r="L414" s="11"/>
      <c r="M414" s="9"/>
    </row>
    <row r="415" spans="1:13" ht="3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11"/>
      <c r="L415" s="11"/>
      <c r="M415" s="9"/>
    </row>
    <row r="416" spans="1:13" ht="3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11"/>
      <c r="L416" s="11"/>
      <c r="M416" s="9"/>
    </row>
    <row r="417" spans="1:13" ht="3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11"/>
      <c r="L417" s="11"/>
      <c r="M417" s="9"/>
    </row>
    <row r="418" spans="1:13" ht="3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11"/>
      <c r="L418" s="11"/>
      <c r="M418" s="9"/>
    </row>
    <row r="419" spans="1:13" ht="3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11"/>
      <c r="L419" s="11"/>
      <c r="M419" s="9"/>
    </row>
    <row r="420" spans="1:13" ht="3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11"/>
      <c r="L420" s="11"/>
      <c r="M420" s="9"/>
    </row>
    <row r="421" spans="1:13" ht="3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11"/>
      <c r="L421" s="11"/>
      <c r="M421" s="9"/>
    </row>
    <row r="422" spans="1:13" ht="3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11"/>
      <c r="L422" s="11"/>
      <c r="M422" s="9"/>
    </row>
    <row r="423" spans="1:13" ht="3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11"/>
      <c r="L423" s="11"/>
      <c r="M423" s="9"/>
    </row>
    <row r="424" spans="1:13" ht="3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11"/>
      <c r="L424" s="11"/>
      <c r="M424" s="9"/>
    </row>
    <row r="425" spans="1:13" ht="3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11"/>
      <c r="L425" s="11"/>
      <c r="M425" s="9"/>
    </row>
    <row r="426" spans="1:13" ht="3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11"/>
      <c r="L426" s="11"/>
      <c r="M426" s="9"/>
    </row>
    <row r="427" spans="1:13" ht="3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11"/>
      <c r="L427" s="11"/>
      <c r="M427" s="9"/>
    </row>
    <row r="428" spans="1:13" ht="3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11"/>
      <c r="L428" s="11"/>
      <c r="M428" s="9"/>
    </row>
    <row r="429" spans="1:13" ht="3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11"/>
      <c r="L429" s="11"/>
      <c r="M429" s="9"/>
    </row>
    <row r="430" spans="1:13" ht="3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11"/>
      <c r="L430" s="11"/>
      <c r="M430" s="9"/>
    </row>
    <row r="431" spans="1:13" ht="3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11"/>
      <c r="L431" s="11"/>
      <c r="M431" s="9"/>
    </row>
    <row r="432" spans="1:13" ht="3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11"/>
      <c r="L432" s="11"/>
      <c r="M432" s="9"/>
    </row>
    <row r="433" spans="1:13" ht="3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11"/>
      <c r="L433" s="11"/>
      <c r="M433" s="9"/>
    </row>
    <row r="434" spans="1:13" ht="3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11"/>
      <c r="L434" s="11"/>
      <c r="M434" s="9"/>
    </row>
    <row r="435" spans="1:13" ht="3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11"/>
      <c r="L435" s="11"/>
      <c r="M435" s="9"/>
    </row>
    <row r="436" spans="1:13" ht="3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11"/>
      <c r="L436" s="11"/>
      <c r="M436" s="9"/>
    </row>
    <row r="437" spans="1:13" ht="3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11"/>
      <c r="L437" s="11"/>
      <c r="M437" s="9"/>
    </row>
    <row r="438" spans="1:13" ht="3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11"/>
      <c r="L438" s="11"/>
      <c r="M438" s="9"/>
    </row>
    <row r="439" spans="1:13" ht="3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11"/>
      <c r="L439" s="11"/>
      <c r="M439" s="9"/>
    </row>
    <row r="440" spans="1:13" ht="3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11"/>
      <c r="L440" s="11"/>
      <c r="M440" s="9"/>
    </row>
    <row r="441" spans="1:13" ht="3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11"/>
      <c r="L441" s="11"/>
      <c r="M441" s="9"/>
    </row>
    <row r="442" spans="1:13" ht="3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11"/>
      <c r="L442" s="11"/>
      <c r="M442" s="9"/>
    </row>
    <row r="443" spans="1:13" ht="3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11"/>
      <c r="L443" s="11"/>
      <c r="M443" s="9"/>
    </row>
    <row r="444" spans="1:13" ht="3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11"/>
      <c r="L444" s="11"/>
      <c r="M444" s="9"/>
    </row>
    <row r="445" spans="1:13" ht="3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11"/>
      <c r="L445" s="11"/>
      <c r="M445" s="9"/>
    </row>
    <row r="446" spans="1:13" ht="3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11"/>
      <c r="L446" s="11"/>
      <c r="M446" s="9"/>
    </row>
    <row r="447" spans="1:13" ht="3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11"/>
      <c r="L447" s="11"/>
      <c r="M447" s="9"/>
    </row>
    <row r="448" spans="1:13" ht="3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11"/>
      <c r="L448" s="11"/>
      <c r="M448" s="9"/>
    </row>
    <row r="449" spans="1:13" ht="3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11"/>
      <c r="L449" s="11"/>
      <c r="M449" s="9"/>
    </row>
    <row r="450" spans="1:13" ht="3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11"/>
      <c r="L450" s="11"/>
      <c r="M450" s="9"/>
    </row>
    <row r="451" spans="1:13" ht="3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11"/>
      <c r="L451" s="11"/>
      <c r="M451" s="9"/>
    </row>
    <row r="452" spans="1:13" ht="3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11"/>
      <c r="L452" s="11"/>
      <c r="M452" s="9"/>
    </row>
    <row r="453" spans="1:13" ht="3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11"/>
      <c r="L453" s="11"/>
      <c r="M453" s="9"/>
    </row>
    <row r="454" spans="1:13" ht="3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11"/>
      <c r="L454" s="11"/>
      <c r="M454" s="9"/>
    </row>
    <row r="455" spans="1:13" ht="3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11"/>
      <c r="L455" s="11"/>
      <c r="M455" s="9"/>
    </row>
    <row r="456" spans="1:13" ht="3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11"/>
      <c r="L456" s="11"/>
      <c r="M456" s="9"/>
    </row>
    <row r="457" spans="1:13" ht="3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11"/>
      <c r="L457" s="11"/>
      <c r="M457" s="9"/>
    </row>
    <row r="458" spans="1:13" ht="3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11"/>
      <c r="L458" s="11"/>
      <c r="M458" s="9"/>
    </row>
    <row r="459" spans="1:13" ht="3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11"/>
      <c r="L459" s="11"/>
      <c r="M459" s="9"/>
    </row>
    <row r="460" spans="1:13" ht="3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11"/>
      <c r="L460" s="11"/>
      <c r="M460" s="9"/>
    </row>
    <row r="461" spans="1:13" ht="3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11"/>
      <c r="L461" s="11"/>
      <c r="M461" s="9"/>
    </row>
    <row r="462" spans="1:13" ht="3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11"/>
      <c r="L462" s="11"/>
      <c r="M462" s="9"/>
    </row>
    <row r="463" spans="1:13" ht="3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11"/>
      <c r="L463" s="11"/>
      <c r="M463" s="9"/>
    </row>
    <row r="464" spans="1:13" ht="3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11"/>
      <c r="L464" s="11"/>
      <c r="M464" s="9"/>
    </row>
    <row r="465" spans="1:13" ht="3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11"/>
      <c r="L465" s="11"/>
      <c r="M465" s="9"/>
    </row>
    <row r="466" spans="1:13" ht="3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11"/>
      <c r="L466" s="11"/>
      <c r="M466" s="9"/>
    </row>
    <row r="467" spans="1:13" ht="3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11"/>
      <c r="L467" s="11"/>
      <c r="M467" s="9"/>
    </row>
    <row r="468" spans="1:13" ht="3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11"/>
      <c r="L468" s="11"/>
      <c r="M468" s="9"/>
    </row>
    <row r="469" spans="1:13" ht="3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11"/>
      <c r="L469" s="11"/>
      <c r="M469" s="9"/>
    </row>
    <row r="470" spans="1:13" ht="3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11"/>
      <c r="L470" s="11"/>
      <c r="M470" s="9"/>
    </row>
    <row r="471" spans="1:13" ht="3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11"/>
      <c r="L471" s="11"/>
      <c r="M471" s="9"/>
    </row>
    <row r="472" spans="1:13" ht="3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11"/>
      <c r="L472" s="11"/>
      <c r="M472" s="9"/>
    </row>
    <row r="473" spans="1:13" ht="3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11"/>
      <c r="L473" s="11"/>
      <c r="M473" s="9"/>
    </row>
    <row r="474" spans="1:13" ht="3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11"/>
      <c r="L474" s="11"/>
      <c r="M474" s="9"/>
    </row>
    <row r="475" spans="1:13" ht="3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11"/>
      <c r="L475" s="11"/>
      <c r="M475" s="9"/>
    </row>
    <row r="476" spans="1:13" ht="3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11"/>
      <c r="L476" s="11"/>
      <c r="M476" s="9"/>
    </row>
    <row r="477" spans="1:13" ht="3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11"/>
      <c r="L477" s="11"/>
      <c r="M477" s="9"/>
    </row>
    <row r="478" spans="1:13" ht="3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11"/>
      <c r="L478" s="11"/>
      <c r="M478" s="9"/>
    </row>
    <row r="479" spans="1:13" ht="3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11"/>
      <c r="L479" s="11"/>
      <c r="M479" s="9"/>
    </row>
    <row r="480" spans="1:13" ht="3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11"/>
      <c r="L480" s="11"/>
      <c r="M480" s="9"/>
    </row>
    <row r="481" spans="1:13" ht="3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11"/>
      <c r="L481" s="11"/>
      <c r="M481" s="9"/>
    </row>
    <row r="482" spans="1:13" ht="3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11"/>
      <c r="L482" s="11"/>
      <c r="M482" s="9"/>
    </row>
    <row r="483" spans="1:13" ht="3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11"/>
      <c r="L483" s="11"/>
      <c r="M483" s="9"/>
    </row>
    <row r="484" spans="1:13" ht="3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11"/>
      <c r="L484" s="11"/>
      <c r="M484" s="9"/>
    </row>
    <row r="485" spans="1:13" ht="3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11"/>
      <c r="L485" s="11"/>
      <c r="M485" s="9"/>
    </row>
    <row r="486" spans="1:13" ht="3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11"/>
      <c r="L486" s="11"/>
      <c r="M486" s="9"/>
    </row>
    <row r="487" spans="1:13" ht="3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11"/>
      <c r="L487" s="11"/>
      <c r="M487" s="9"/>
    </row>
    <row r="488" spans="1:13" ht="3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11"/>
      <c r="L488" s="11"/>
      <c r="M488" s="9"/>
    </row>
    <row r="489" spans="1:13" ht="3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11"/>
      <c r="L489" s="11"/>
      <c r="M489" s="9"/>
    </row>
    <row r="490" spans="1:13" ht="3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11"/>
      <c r="L490" s="11"/>
      <c r="M490" s="9"/>
    </row>
    <row r="491" spans="1:13" ht="3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11"/>
      <c r="L491" s="11"/>
      <c r="M491" s="9"/>
    </row>
    <row r="492" spans="1:13" ht="3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11"/>
      <c r="L492" s="11"/>
      <c r="M492" s="9"/>
    </row>
    <row r="493" spans="1:13" ht="3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11"/>
      <c r="L493" s="11"/>
      <c r="M493" s="9"/>
    </row>
    <row r="494" spans="1:13" ht="3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11"/>
      <c r="L494" s="11"/>
      <c r="M494" s="9"/>
    </row>
    <row r="495" spans="1:13" ht="3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11"/>
      <c r="L495" s="11"/>
      <c r="M495" s="9"/>
    </row>
    <row r="496" spans="1:13" ht="3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11"/>
      <c r="L496" s="11"/>
      <c r="M496" s="9"/>
    </row>
    <row r="497" spans="1:13" ht="3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11"/>
      <c r="L497" s="11"/>
      <c r="M497" s="9"/>
    </row>
    <row r="498" spans="1:13" ht="3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11"/>
      <c r="L498" s="11"/>
      <c r="M498" s="9"/>
    </row>
    <row r="499" spans="1:13" ht="3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11"/>
      <c r="L499" s="11"/>
      <c r="M499" s="9"/>
    </row>
    <row r="500" spans="1:13" ht="3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11"/>
      <c r="L500" s="11"/>
      <c r="M500" s="9"/>
    </row>
    <row r="501" spans="1:13" ht="3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11"/>
      <c r="L501" s="11"/>
      <c r="M501" s="9"/>
    </row>
    <row r="502" spans="1:13" ht="3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11"/>
      <c r="L502" s="11"/>
      <c r="M502" s="9"/>
    </row>
    <row r="503" spans="1:13" ht="3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11"/>
      <c r="L503" s="11"/>
      <c r="M503" s="9"/>
    </row>
    <row r="504" spans="1:13" ht="3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11"/>
      <c r="L504" s="11"/>
      <c r="M504" s="9"/>
    </row>
    <row r="505" spans="1:13" ht="3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11"/>
      <c r="L505" s="11"/>
      <c r="M505" s="9"/>
    </row>
    <row r="506" spans="1:13" ht="3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11"/>
      <c r="L506" s="11"/>
      <c r="M506" s="9"/>
    </row>
    <row r="507" spans="1:13" ht="3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11"/>
      <c r="L507" s="11"/>
      <c r="M507" s="9"/>
    </row>
    <row r="508" spans="1:13" ht="3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11"/>
      <c r="L508" s="11"/>
      <c r="M508" s="9"/>
    </row>
    <row r="509" spans="1:13" ht="3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11"/>
      <c r="L509" s="11"/>
      <c r="M509" s="9"/>
    </row>
    <row r="510" spans="1:13" ht="3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11"/>
      <c r="L510" s="11"/>
      <c r="M510" s="9"/>
    </row>
    <row r="511" spans="1:13" ht="3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11"/>
      <c r="L511" s="11"/>
      <c r="M511" s="9"/>
    </row>
    <row r="512" spans="1:13" ht="3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11"/>
      <c r="L512" s="11"/>
      <c r="M512" s="9"/>
    </row>
    <row r="513" spans="1:13" ht="3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11"/>
      <c r="L513" s="11"/>
      <c r="M513" s="9"/>
    </row>
    <row r="514" spans="1:13" ht="3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11"/>
      <c r="L514" s="11"/>
      <c r="M514" s="9"/>
    </row>
    <row r="515" spans="1:13" ht="3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11"/>
      <c r="L515" s="11"/>
      <c r="M515" s="9"/>
    </row>
    <row r="516" spans="1:13" ht="3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11"/>
      <c r="L516" s="11"/>
      <c r="M516" s="9"/>
    </row>
    <row r="517" spans="1:13" ht="3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11"/>
      <c r="L517" s="11"/>
      <c r="M517" s="9"/>
    </row>
    <row r="518" spans="1:13" ht="3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11"/>
      <c r="L518" s="11"/>
      <c r="M518" s="9"/>
    </row>
    <row r="519" spans="1:13" ht="3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11"/>
      <c r="L519" s="11"/>
      <c r="M519" s="9"/>
    </row>
    <row r="520" spans="1:13" ht="3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11"/>
      <c r="L520" s="11"/>
      <c r="M520" s="9"/>
    </row>
    <row r="521" spans="1:13" ht="3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11"/>
      <c r="L521" s="11"/>
      <c r="M521" s="9"/>
    </row>
    <row r="522" spans="1:13" ht="3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11"/>
      <c r="L522" s="11"/>
      <c r="M522" s="9"/>
    </row>
    <row r="523" spans="1:13" ht="3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11"/>
      <c r="L523" s="11"/>
      <c r="M523" s="9"/>
    </row>
    <row r="524" spans="1:13" ht="3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11"/>
      <c r="L524" s="11"/>
      <c r="M524" s="9"/>
    </row>
    <row r="525" spans="1:13" ht="3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11"/>
      <c r="L525" s="11"/>
      <c r="M525" s="9"/>
    </row>
    <row r="526" spans="1:13" ht="3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11"/>
      <c r="L526" s="11"/>
      <c r="M526" s="9"/>
    </row>
    <row r="527" spans="1:13" ht="3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11"/>
      <c r="L527" s="11"/>
      <c r="M527" s="9"/>
    </row>
    <row r="528" spans="1:13" ht="3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11"/>
      <c r="L528" s="11"/>
      <c r="M528" s="9"/>
    </row>
    <row r="529" spans="1:13" ht="3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11"/>
      <c r="L529" s="11"/>
      <c r="M529" s="9"/>
    </row>
    <row r="530" spans="1:13" ht="3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11"/>
      <c r="L530" s="11"/>
      <c r="M530" s="9"/>
    </row>
    <row r="531" spans="1:13" ht="3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11"/>
      <c r="L531" s="11"/>
      <c r="M531" s="9"/>
    </row>
    <row r="532" spans="1:13" ht="3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11"/>
      <c r="L532" s="11"/>
      <c r="M532" s="9"/>
    </row>
    <row r="533" spans="1:13" ht="3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11"/>
      <c r="L533" s="11"/>
      <c r="M533" s="9"/>
    </row>
    <row r="534" spans="1:13" ht="3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11"/>
      <c r="L534" s="11"/>
      <c r="M534" s="9"/>
    </row>
    <row r="535" spans="1:13" ht="3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11"/>
      <c r="L535" s="11"/>
      <c r="M535" s="9"/>
    </row>
    <row r="536" spans="1:13" ht="3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11"/>
      <c r="L536" s="11"/>
      <c r="M536" s="9"/>
    </row>
    <row r="537" spans="1:13" ht="3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11"/>
      <c r="L537" s="11"/>
      <c r="M537" s="9"/>
    </row>
    <row r="538" spans="1:13" ht="3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11"/>
      <c r="L538" s="11"/>
      <c r="M538" s="9"/>
    </row>
    <row r="539" spans="1:13" ht="3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11"/>
      <c r="L539" s="11"/>
      <c r="M539" s="9"/>
    </row>
    <row r="540" spans="1:13" ht="3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11"/>
      <c r="L540" s="11"/>
      <c r="M540" s="9"/>
    </row>
    <row r="541" spans="1:13" ht="3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11"/>
      <c r="L541" s="11"/>
      <c r="M541" s="9"/>
    </row>
    <row r="542" spans="1:13" ht="3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11"/>
      <c r="L542" s="11"/>
      <c r="M542" s="9"/>
    </row>
    <row r="543" spans="1:13" ht="3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11"/>
      <c r="L543" s="11"/>
      <c r="M543" s="9"/>
    </row>
    <row r="544" spans="1:13" ht="3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11"/>
      <c r="L544" s="11"/>
      <c r="M544" s="9"/>
    </row>
    <row r="545" spans="1:13" ht="3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11"/>
      <c r="L545" s="11"/>
      <c r="M545" s="9"/>
    </row>
    <row r="546" spans="1:13" ht="3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11"/>
      <c r="L546" s="11"/>
      <c r="M546" s="9"/>
    </row>
    <row r="547" spans="1:13" ht="3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11"/>
      <c r="L547" s="11"/>
      <c r="M547" s="9"/>
    </row>
    <row r="548" spans="1:13" ht="3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11"/>
      <c r="L548" s="11"/>
      <c r="M548" s="9"/>
    </row>
    <row r="549" spans="1:13" ht="3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11"/>
      <c r="L549" s="11"/>
      <c r="M549" s="9"/>
    </row>
    <row r="550" spans="1:13" ht="3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11"/>
      <c r="L550" s="11"/>
      <c r="M550" s="9"/>
    </row>
    <row r="551" spans="1:13" ht="3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11"/>
      <c r="L551" s="11"/>
      <c r="M551" s="9"/>
    </row>
    <row r="552" spans="1:13" ht="3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11"/>
      <c r="L552" s="11"/>
      <c r="M552" s="9"/>
    </row>
    <row r="553" spans="1:13" ht="3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11"/>
      <c r="L553" s="11"/>
      <c r="M553" s="9"/>
    </row>
    <row r="554" spans="1:13" ht="3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11"/>
      <c r="L554" s="11"/>
      <c r="M554" s="9"/>
    </row>
    <row r="555" spans="1:13" ht="3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11"/>
      <c r="L555" s="11"/>
      <c r="M555" s="9"/>
    </row>
    <row r="556" spans="1:13" ht="3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11"/>
      <c r="L556" s="11"/>
      <c r="M556" s="9"/>
    </row>
    <row r="557" spans="1:13" ht="3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11"/>
      <c r="L557" s="11"/>
      <c r="M557" s="9"/>
    </row>
    <row r="558" spans="1:13" ht="3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11"/>
      <c r="L558" s="11"/>
      <c r="M558" s="9"/>
    </row>
    <row r="559" spans="1:13" ht="3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11"/>
      <c r="L559" s="11"/>
      <c r="M559" s="9"/>
    </row>
    <row r="560" spans="1:13" ht="3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11"/>
      <c r="L560" s="11"/>
      <c r="M560" s="9"/>
    </row>
    <row r="561" spans="1:13" ht="3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11"/>
      <c r="L561" s="11"/>
      <c r="M561" s="9"/>
    </row>
    <row r="562" spans="1:13" ht="3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11"/>
      <c r="L562" s="11"/>
      <c r="M562" s="9"/>
    </row>
    <row r="563" spans="1:13" ht="3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11"/>
      <c r="L563" s="11"/>
      <c r="M563" s="9"/>
    </row>
    <row r="564" spans="1:13" ht="3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11"/>
      <c r="L564" s="11"/>
      <c r="M564" s="9"/>
    </row>
    <row r="565" spans="1:13" ht="3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11"/>
      <c r="L565" s="11"/>
      <c r="M565" s="9"/>
    </row>
    <row r="566" spans="1:13" ht="3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11"/>
      <c r="L566" s="11"/>
      <c r="M566" s="9"/>
    </row>
    <row r="567" spans="1:13" ht="3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11"/>
      <c r="L567" s="11"/>
      <c r="M567" s="9"/>
    </row>
    <row r="568" spans="1:13" ht="3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11"/>
      <c r="L568" s="11"/>
      <c r="M568" s="9"/>
    </row>
    <row r="569" spans="1:13" ht="3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11"/>
      <c r="L569" s="11"/>
      <c r="M569" s="9"/>
    </row>
    <row r="570" spans="1:13" ht="3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11"/>
      <c r="L570" s="11"/>
      <c r="M570" s="9"/>
    </row>
    <row r="571" spans="1:13" ht="3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11"/>
      <c r="L571" s="11"/>
      <c r="M571" s="9"/>
    </row>
    <row r="572" spans="1:13" ht="3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11"/>
      <c r="L572" s="11"/>
      <c r="M572" s="9"/>
    </row>
    <row r="573" spans="1:13" ht="3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11"/>
      <c r="L573" s="11"/>
      <c r="M573" s="9"/>
    </row>
    <row r="574" spans="1:13" ht="3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11"/>
      <c r="L574" s="11"/>
      <c r="M574" s="9"/>
    </row>
    <row r="575" spans="1:13" ht="3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11"/>
      <c r="L575" s="11"/>
      <c r="M575" s="9"/>
    </row>
    <row r="576" spans="1:13" ht="3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11"/>
      <c r="L576" s="11"/>
      <c r="M576" s="9"/>
    </row>
    <row r="577" spans="1:13" ht="3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11"/>
      <c r="L577" s="11"/>
      <c r="M577" s="9"/>
    </row>
    <row r="578" spans="1:13" ht="3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11"/>
      <c r="L578" s="11"/>
      <c r="M578" s="9"/>
    </row>
    <row r="579" spans="1:13" ht="3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11"/>
      <c r="L579" s="11"/>
      <c r="M579" s="9"/>
    </row>
    <row r="580" spans="1:13" ht="3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11"/>
      <c r="L580" s="11"/>
      <c r="M580" s="9"/>
    </row>
    <row r="581" spans="1:13" ht="3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11"/>
      <c r="L581" s="11"/>
      <c r="M581" s="9"/>
    </row>
    <row r="582" spans="1:13" ht="3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11"/>
      <c r="L582" s="11"/>
      <c r="M582" s="9"/>
    </row>
    <row r="583" spans="1:13" ht="3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11"/>
      <c r="L583" s="11"/>
      <c r="M583" s="9"/>
    </row>
    <row r="584" spans="1:13" ht="3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11"/>
      <c r="L584" s="11"/>
      <c r="M584" s="9"/>
    </row>
    <row r="585" spans="1:13" ht="3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11"/>
      <c r="L585" s="11"/>
      <c r="M585" s="9"/>
    </row>
  </sheetData>
  <autoFilter ref="A2:M301" xr:uid="{48C3EA1C-1E31-4450-8B8A-792657D07DD1}"/>
  <mergeCells count="1">
    <mergeCell ref="A1:M1"/>
  </mergeCells>
  <conditionalFormatting sqref="C1:C298 C363:C1048576">
    <cfRule type="duplicateValues" dxfId="13" priority="2"/>
  </conditionalFormatting>
  <conditionalFormatting sqref="C299:C362">
    <cfRule type="duplicateValues" dxfId="2" priority="1"/>
  </conditionalFormatting>
  <pageMargins left="0.7" right="0.7" top="0.75" bottom="0.75" header="0.3" footer="0.3"/>
  <pageSetup paperSize="9" orientation="portrait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C0031-8DE7-4DFE-B04F-3F3A59CCA1EB}">
  <sheetPr>
    <outlinePr summaryBelow="0" summaryRight="0"/>
  </sheetPr>
  <dimension ref="A1:N585"/>
  <sheetViews>
    <sheetView zoomScale="55" zoomScaleNormal="55" workbookViewId="0">
      <pane xSplit="1" ySplit="2" topLeftCell="B277" activePane="bottomRight" state="frozen"/>
      <selection pane="topRight" activeCell="B1" sqref="B1"/>
      <selection pane="bottomLeft" activeCell="A3" sqref="A3"/>
      <selection pane="bottomRight" activeCell="D301" sqref="D301"/>
    </sheetView>
  </sheetViews>
  <sheetFormatPr defaultColWidth="12.5703125" defaultRowHeight="15.75" customHeight="1"/>
  <cols>
    <col min="1" max="10" width="31.5703125" style="32" customWidth="1"/>
    <col min="11" max="12" width="31.5703125" style="33" customWidth="1"/>
    <col min="13" max="13" width="31.5703125" style="34" customWidth="1"/>
    <col min="14" max="16384" width="12.5703125" style="32"/>
  </cols>
  <sheetData>
    <row r="1" spans="1:14" ht="30" customHeight="1">
      <c r="A1" s="37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9"/>
      <c r="L1" s="39"/>
      <c r="M1" s="40"/>
    </row>
    <row r="2" spans="1:14" ht="3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/>
      <c r="H2" s="1" t="s">
        <v>7</v>
      </c>
      <c r="I2" s="1" t="s">
        <v>8</v>
      </c>
      <c r="J2" s="1" t="s">
        <v>9</v>
      </c>
      <c r="K2" s="10" t="s">
        <v>10</v>
      </c>
      <c r="L2" s="10" t="s">
        <v>11</v>
      </c>
      <c r="M2" s="8" t="s">
        <v>12</v>
      </c>
    </row>
    <row r="3" spans="1:14" ht="30" customHeight="1">
      <c r="A3" s="7" t="s">
        <v>13</v>
      </c>
      <c r="B3" s="30" t="s">
        <v>384</v>
      </c>
      <c r="C3" s="30" t="s">
        <v>89</v>
      </c>
      <c r="D3" s="27">
        <v>14911.991280327413</v>
      </c>
      <c r="E3" s="28">
        <v>13433.743031961441</v>
      </c>
      <c r="F3" s="27">
        <f>+D3-E3</f>
        <v>1478.2482483659714</v>
      </c>
      <c r="G3" s="27">
        <f t="shared" ref="G3:G66" si="0">+F3*100/D3</f>
        <v>9.9131512390041738</v>
      </c>
      <c r="H3" s="29">
        <v>60</v>
      </c>
      <c r="I3" s="29">
        <v>4</v>
      </c>
      <c r="J3" s="18" t="s">
        <v>14</v>
      </c>
      <c r="K3" s="30">
        <v>40.865291666700003</v>
      </c>
      <c r="L3" s="30">
        <v>71.961494999999999</v>
      </c>
      <c r="M3" s="15">
        <v>160</v>
      </c>
      <c r="N3" s="32">
        <v>3</v>
      </c>
    </row>
    <row r="4" spans="1:14" ht="30" customHeight="1">
      <c r="A4" s="7" t="s">
        <v>13</v>
      </c>
      <c r="B4" s="30" t="s">
        <v>385</v>
      </c>
      <c r="C4" s="30" t="s">
        <v>123</v>
      </c>
      <c r="D4" s="27">
        <v>16666.461990327414</v>
      </c>
      <c r="E4" s="28">
        <v>14968.713031961444</v>
      </c>
      <c r="F4" s="27">
        <f>+D4-E4</f>
        <v>1697.7489583659699</v>
      </c>
      <c r="G4" s="27">
        <f t="shared" si="0"/>
        <v>10.186618847787127</v>
      </c>
      <c r="H4" s="29">
        <v>34</v>
      </c>
      <c r="I4" s="29">
        <v>5</v>
      </c>
      <c r="J4" s="4" t="s">
        <v>16</v>
      </c>
      <c r="K4" s="30">
        <v>40.859666666700001</v>
      </c>
      <c r="L4" s="30">
        <v>72.121076666700006</v>
      </c>
      <c r="M4" s="15">
        <v>63</v>
      </c>
    </row>
    <row r="5" spans="1:14" ht="30" customHeight="1">
      <c r="A5" s="7" t="s">
        <v>13</v>
      </c>
      <c r="B5" s="30" t="s">
        <v>386</v>
      </c>
      <c r="C5" s="30" t="s">
        <v>124</v>
      </c>
      <c r="D5" s="27">
        <v>18345.494700327414</v>
      </c>
      <c r="E5" s="28">
        <v>16437.683031961442</v>
      </c>
      <c r="F5" s="27">
        <f t="shared" ref="F5:F68" si="1">+D5-E5</f>
        <v>1907.8116683659719</v>
      </c>
      <c r="G5" s="27">
        <f t="shared" si="0"/>
        <v>10.399347085101626</v>
      </c>
      <c r="H5" s="29">
        <v>18</v>
      </c>
      <c r="I5" s="29">
        <v>5</v>
      </c>
      <c r="J5" s="4" t="s">
        <v>15</v>
      </c>
      <c r="K5" s="30">
        <v>40.875443333299998</v>
      </c>
      <c r="L5" s="30">
        <v>71.966825</v>
      </c>
      <c r="M5" s="15">
        <v>250</v>
      </c>
    </row>
    <row r="6" spans="1:14" ht="30" customHeight="1">
      <c r="A6" s="7" t="s">
        <v>13</v>
      </c>
      <c r="B6" s="30" t="s">
        <v>387</v>
      </c>
      <c r="C6" s="30" t="s">
        <v>125</v>
      </c>
      <c r="D6" s="27">
        <v>17879.104980327415</v>
      </c>
      <c r="E6" s="28">
        <v>16029.643031961445</v>
      </c>
      <c r="F6" s="27">
        <f t="shared" si="1"/>
        <v>1849.4619483659699</v>
      </c>
      <c r="G6" s="27">
        <f t="shared" si="0"/>
        <v>10.344264717954026</v>
      </c>
      <c r="H6" s="29">
        <v>68</v>
      </c>
      <c r="I6" s="29">
        <v>4</v>
      </c>
      <c r="J6" s="4" t="s">
        <v>15</v>
      </c>
      <c r="K6" s="30">
        <v>40.879336666500002</v>
      </c>
      <c r="L6" s="30">
        <v>71.986581666700005</v>
      </c>
      <c r="M6" s="15">
        <v>160</v>
      </c>
    </row>
    <row r="7" spans="1:14" ht="30" customHeight="1">
      <c r="A7" s="7" t="s">
        <v>13</v>
      </c>
      <c r="B7" s="30" t="s">
        <v>388</v>
      </c>
      <c r="C7" s="30" t="s">
        <v>126</v>
      </c>
      <c r="D7" s="27">
        <v>14040.743340327412</v>
      </c>
      <c r="E7" s="28">
        <v>12671.496365294775</v>
      </c>
      <c r="F7" s="27">
        <f t="shared" si="1"/>
        <v>1369.2469750326363</v>
      </c>
      <c r="G7" s="27">
        <f t="shared" si="0"/>
        <v>9.7519550200730833</v>
      </c>
      <c r="H7" s="29">
        <v>12</v>
      </c>
      <c r="I7" s="29">
        <v>4</v>
      </c>
      <c r="J7" s="4" t="s">
        <v>15</v>
      </c>
      <c r="K7" s="30">
        <v>40.874026666600002</v>
      </c>
      <c r="L7" s="30">
        <v>72.094549999700007</v>
      </c>
      <c r="M7" s="15">
        <v>400</v>
      </c>
    </row>
    <row r="8" spans="1:14" ht="30" customHeight="1">
      <c r="A8" s="7" t="s">
        <v>13</v>
      </c>
      <c r="B8" s="30" t="s">
        <v>385</v>
      </c>
      <c r="C8" s="30" t="s">
        <v>127</v>
      </c>
      <c r="D8" s="27">
        <v>17564.616150327412</v>
      </c>
      <c r="E8" s="28">
        <v>15754.499698628111</v>
      </c>
      <c r="F8" s="27">
        <f t="shared" si="1"/>
        <v>1810.1164516993013</v>
      </c>
      <c r="G8" s="27">
        <f t="shared" si="0"/>
        <v>10.305471159787114</v>
      </c>
      <c r="H8" s="29">
        <v>61</v>
      </c>
      <c r="I8" s="29">
        <v>3</v>
      </c>
      <c r="J8" s="4" t="s">
        <v>17</v>
      </c>
      <c r="K8" s="30">
        <v>40.859666666700001</v>
      </c>
      <c r="L8" s="30">
        <v>72.121076666700006</v>
      </c>
      <c r="M8" s="15">
        <v>100</v>
      </c>
    </row>
    <row r="9" spans="1:14" ht="30" customHeight="1">
      <c r="A9" s="7" t="s">
        <v>13</v>
      </c>
      <c r="B9" s="30" t="s">
        <v>385</v>
      </c>
      <c r="C9" s="30" t="s">
        <v>128</v>
      </c>
      <c r="D9" s="27">
        <v>20510.523390327413</v>
      </c>
      <c r="E9" s="28">
        <v>18331.846365294779</v>
      </c>
      <c r="F9" s="27">
        <f t="shared" si="1"/>
        <v>2178.6770250326335</v>
      </c>
      <c r="G9" s="27">
        <f t="shared" si="0"/>
        <v>10.622240025625475</v>
      </c>
      <c r="H9" s="29">
        <v>83</v>
      </c>
      <c r="I9" s="29">
        <v>9</v>
      </c>
      <c r="J9" s="4" t="s">
        <v>17</v>
      </c>
      <c r="K9" s="30">
        <v>40.861923333299998</v>
      </c>
      <c r="L9" s="30">
        <v>72.000451666700002</v>
      </c>
      <c r="M9" s="15">
        <v>250</v>
      </c>
    </row>
    <row r="10" spans="1:14" ht="30" customHeight="1">
      <c r="A10" s="7" t="s">
        <v>13</v>
      </c>
      <c r="B10" s="30" t="s">
        <v>388</v>
      </c>
      <c r="C10" s="30" t="s">
        <v>129</v>
      </c>
      <c r="D10" s="27">
        <v>19184.963430327414</v>
      </c>
      <c r="E10" s="28">
        <v>17172.126365294778</v>
      </c>
      <c r="F10" s="27">
        <f t="shared" si="1"/>
        <v>2012.837065032636</v>
      </c>
      <c r="G10" s="27">
        <f t="shared" si="0"/>
        <v>10.491743037939607</v>
      </c>
      <c r="H10" s="29">
        <v>99</v>
      </c>
      <c r="I10" s="29">
        <v>1</v>
      </c>
      <c r="J10" s="4" t="s">
        <v>17</v>
      </c>
      <c r="K10" s="30">
        <v>40.876303333300001</v>
      </c>
      <c r="L10" s="30">
        <v>71.989218333300002</v>
      </c>
      <c r="M10" s="15">
        <v>160</v>
      </c>
    </row>
    <row r="11" spans="1:14" ht="30" customHeight="1">
      <c r="A11" s="7" t="s">
        <v>13</v>
      </c>
      <c r="B11" s="30" t="s">
        <v>387</v>
      </c>
      <c r="C11" s="30" t="s">
        <v>130</v>
      </c>
      <c r="D11" s="27">
        <v>19566.359670327416</v>
      </c>
      <c r="E11" s="28">
        <v>17505.806365294779</v>
      </c>
      <c r="F11" s="27">
        <f t="shared" si="1"/>
        <v>2060.5533050326376</v>
      </c>
      <c r="G11" s="27">
        <f t="shared" si="0"/>
        <v>10.531102053477467</v>
      </c>
      <c r="H11" s="29">
        <v>68</v>
      </c>
      <c r="I11" s="29">
        <v>1</v>
      </c>
      <c r="J11" s="4" t="s">
        <v>14</v>
      </c>
      <c r="K11" s="30">
        <v>40.880254999999998</v>
      </c>
      <c r="L11" s="30">
        <v>71.986491666700005</v>
      </c>
      <c r="M11" s="15">
        <v>400</v>
      </c>
    </row>
    <row r="12" spans="1:14" ht="30" customHeight="1">
      <c r="A12" s="7" t="s">
        <v>13</v>
      </c>
      <c r="B12" s="30" t="s">
        <v>388</v>
      </c>
      <c r="C12" s="30" t="s">
        <v>131</v>
      </c>
      <c r="D12" s="27">
        <v>16991.321640327413</v>
      </c>
      <c r="E12" s="28">
        <v>15252.929698628112</v>
      </c>
      <c r="F12" s="27">
        <f t="shared" si="1"/>
        <v>1738.3919416993012</v>
      </c>
      <c r="G12" s="27">
        <f t="shared" si="0"/>
        <v>10.231057821737542</v>
      </c>
      <c r="H12" s="29">
        <v>63</v>
      </c>
      <c r="I12" s="29">
        <v>2</v>
      </c>
      <c r="J12" s="4" t="s">
        <v>16</v>
      </c>
      <c r="K12" s="30">
        <v>40.881878333300001</v>
      </c>
      <c r="L12" s="30">
        <v>71.992743333299998</v>
      </c>
      <c r="M12" s="15">
        <v>60</v>
      </c>
    </row>
    <row r="13" spans="1:14" ht="30" customHeight="1">
      <c r="A13" s="7" t="s">
        <v>13</v>
      </c>
      <c r="B13" s="30" t="s">
        <v>388</v>
      </c>
      <c r="C13" s="30" t="s">
        <v>132</v>
      </c>
      <c r="D13" s="27">
        <v>21589.991640327418</v>
      </c>
      <c r="E13" s="28">
        <v>19276.263031961444</v>
      </c>
      <c r="F13" s="27">
        <f t="shared" si="1"/>
        <v>2313.7286083659747</v>
      </c>
      <c r="G13" s="27">
        <f t="shared" si="0"/>
        <v>10.71667209006333</v>
      </c>
      <c r="H13" s="29">
        <v>24</v>
      </c>
      <c r="I13" s="29">
        <v>2</v>
      </c>
      <c r="J13" s="4" t="s">
        <v>18</v>
      </c>
      <c r="K13" s="30">
        <v>40.8861933333</v>
      </c>
      <c r="L13" s="30">
        <v>71.991990000000001</v>
      </c>
      <c r="M13" s="15">
        <v>100</v>
      </c>
    </row>
    <row r="14" spans="1:14" ht="30" customHeight="1">
      <c r="A14" s="7" t="s">
        <v>13</v>
      </c>
      <c r="B14" s="30" t="s">
        <v>388</v>
      </c>
      <c r="C14" s="30" t="s">
        <v>133</v>
      </c>
      <c r="D14" s="27">
        <v>21646.196760327417</v>
      </c>
      <c r="E14" s="28">
        <v>19325.43636529478</v>
      </c>
      <c r="F14" s="27">
        <f t="shared" si="1"/>
        <v>2320.7603950326375</v>
      </c>
      <c r="G14" s="27">
        <f t="shared" si="0"/>
        <v>10.721330960485707</v>
      </c>
      <c r="H14" s="29">
        <v>107</v>
      </c>
      <c r="I14" s="29">
        <v>2</v>
      </c>
      <c r="J14" s="4" t="s">
        <v>18</v>
      </c>
      <c r="K14" s="30">
        <v>40.871985000000002</v>
      </c>
      <c r="L14" s="30">
        <v>72.001351666700003</v>
      </c>
      <c r="M14" s="15">
        <v>100</v>
      </c>
    </row>
    <row r="15" spans="1:14" ht="30" customHeight="1">
      <c r="A15" s="7" t="s">
        <v>13</v>
      </c>
      <c r="B15" s="30" t="s">
        <v>384</v>
      </c>
      <c r="C15" s="30" t="s">
        <v>109</v>
      </c>
      <c r="D15" s="27">
        <v>19748.877720327415</v>
      </c>
      <c r="E15" s="28">
        <v>17665.489698628113</v>
      </c>
      <c r="F15" s="27">
        <f t="shared" si="1"/>
        <v>2083.388021699302</v>
      </c>
      <c r="G15" s="27">
        <f t="shared" si="0"/>
        <v>10.549399571981155</v>
      </c>
      <c r="H15" s="29">
        <v>69</v>
      </c>
      <c r="I15" s="29">
        <v>1</v>
      </c>
      <c r="J15" s="4" t="s">
        <v>14</v>
      </c>
      <c r="K15" s="30">
        <v>40.863475000000001</v>
      </c>
      <c r="L15" s="30">
        <v>71.947638333300006</v>
      </c>
      <c r="M15" s="15">
        <v>400</v>
      </c>
    </row>
    <row r="16" spans="1:14" ht="30" customHeight="1">
      <c r="A16" s="7" t="s">
        <v>13</v>
      </c>
      <c r="B16" s="30" t="s">
        <v>386</v>
      </c>
      <c r="C16" s="30" t="s">
        <v>134</v>
      </c>
      <c r="D16" s="27">
        <v>20316.70869032741</v>
      </c>
      <c r="E16" s="28">
        <v>18162.27969862811</v>
      </c>
      <c r="F16" s="27">
        <f t="shared" si="1"/>
        <v>2154.4289916993002</v>
      </c>
      <c r="G16" s="27">
        <f t="shared" si="0"/>
        <v>10.604222487695575</v>
      </c>
      <c r="H16" s="29">
        <v>43</v>
      </c>
      <c r="I16" s="29">
        <v>1</v>
      </c>
      <c r="J16" s="4" t="s">
        <v>17</v>
      </c>
      <c r="K16" s="30">
        <v>40.867853333299998</v>
      </c>
      <c r="L16" s="30">
        <v>71.9555883333</v>
      </c>
      <c r="M16" s="15">
        <v>160</v>
      </c>
    </row>
    <row r="17" spans="1:13" ht="30" customHeight="1">
      <c r="A17" s="7" t="s">
        <v>13</v>
      </c>
      <c r="B17" s="30" t="s">
        <v>386</v>
      </c>
      <c r="C17" s="30" t="s">
        <v>135</v>
      </c>
      <c r="D17" s="27">
        <v>23536.714950327412</v>
      </c>
      <c r="E17" s="28">
        <v>20979.433031961442</v>
      </c>
      <c r="F17" s="27">
        <f t="shared" si="1"/>
        <v>2557.2819183659703</v>
      </c>
      <c r="G17" s="27">
        <f t="shared" si="0"/>
        <v>10.865075792279997</v>
      </c>
      <c r="H17" s="29">
        <v>79</v>
      </c>
      <c r="I17" s="29">
        <v>2</v>
      </c>
      <c r="J17" s="4" t="s">
        <v>19</v>
      </c>
      <c r="K17" s="30">
        <v>40.871698333300003</v>
      </c>
      <c r="L17" s="30">
        <v>71.957906666699998</v>
      </c>
      <c r="M17" s="15">
        <v>160</v>
      </c>
    </row>
    <row r="18" spans="1:13" ht="30" customHeight="1">
      <c r="A18" s="7" t="s">
        <v>13</v>
      </c>
      <c r="B18" s="30" t="s">
        <v>388</v>
      </c>
      <c r="C18" s="30" t="s">
        <v>136</v>
      </c>
      <c r="D18" s="27">
        <v>20301.743010327416</v>
      </c>
      <c r="E18" s="28">
        <v>18149.186365294776</v>
      </c>
      <c r="F18" s="27">
        <f t="shared" si="1"/>
        <v>2152.5566450326405</v>
      </c>
      <c r="G18" s="27">
        <f t="shared" si="0"/>
        <v>10.602816930239161</v>
      </c>
      <c r="H18" s="29">
        <v>82</v>
      </c>
      <c r="I18" s="29">
        <v>4</v>
      </c>
      <c r="J18" s="4" t="s">
        <v>16</v>
      </c>
      <c r="K18" s="30">
        <v>40.881491666700001</v>
      </c>
      <c r="L18" s="30">
        <v>72.005658333300005</v>
      </c>
      <c r="M18" s="15">
        <v>400</v>
      </c>
    </row>
    <row r="19" spans="1:13" ht="30" customHeight="1">
      <c r="A19" s="7" t="s">
        <v>13</v>
      </c>
      <c r="B19" s="30" t="s">
        <v>388</v>
      </c>
      <c r="C19" s="30" t="s">
        <v>137</v>
      </c>
      <c r="D19" s="27">
        <v>17948.953710327412</v>
      </c>
      <c r="E19" s="28">
        <v>16090.753031961442</v>
      </c>
      <c r="F19" s="27">
        <f t="shared" si="1"/>
        <v>1858.2006783659708</v>
      </c>
      <c r="G19" s="27">
        <f t="shared" si="0"/>
        <v>10.3526963652305</v>
      </c>
      <c r="H19" s="29">
        <v>104</v>
      </c>
      <c r="I19" s="29">
        <v>1</v>
      </c>
      <c r="J19" s="4" t="s">
        <v>16</v>
      </c>
      <c r="K19" s="30">
        <v>40.882366666700001</v>
      </c>
      <c r="L19" s="30">
        <v>72.011693333300002</v>
      </c>
      <c r="M19" s="15">
        <v>63</v>
      </c>
    </row>
    <row r="20" spans="1:13" ht="30" customHeight="1">
      <c r="A20" s="7" t="s">
        <v>13</v>
      </c>
      <c r="B20" s="30" t="s">
        <v>387</v>
      </c>
      <c r="C20" s="30" t="s">
        <v>138</v>
      </c>
      <c r="D20" s="27">
        <v>28358.612850327416</v>
      </c>
      <c r="E20" s="28">
        <v>25198.066365294781</v>
      </c>
      <c r="F20" s="27">
        <f t="shared" si="1"/>
        <v>3160.5464850326352</v>
      </c>
      <c r="G20" s="27">
        <f t="shared" si="0"/>
        <v>11.144926240622327</v>
      </c>
      <c r="H20" s="29">
        <v>6</v>
      </c>
      <c r="I20" s="29">
        <v>2</v>
      </c>
      <c r="J20" s="4" t="s">
        <v>16</v>
      </c>
      <c r="K20" s="30">
        <v>40.867094999999999</v>
      </c>
      <c r="L20" s="30">
        <v>71.968564999999998</v>
      </c>
      <c r="M20" s="15">
        <v>160</v>
      </c>
    </row>
    <row r="21" spans="1:13" ht="30" customHeight="1">
      <c r="A21" s="7" t="s">
        <v>13</v>
      </c>
      <c r="B21" s="30" t="s">
        <v>388</v>
      </c>
      <c r="C21" s="30" t="s">
        <v>139</v>
      </c>
      <c r="D21" s="27">
        <v>13899.476160327416</v>
      </c>
      <c r="E21" s="28">
        <v>12547.903031961441</v>
      </c>
      <c r="F21" s="27">
        <f t="shared" si="1"/>
        <v>1351.5731283659752</v>
      </c>
      <c r="G21" s="27">
        <f t="shared" si="0"/>
        <v>9.7239141445035404</v>
      </c>
      <c r="H21" s="29">
        <v>36</v>
      </c>
      <c r="I21" s="29">
        <v>2</v>
      </c>
      <c r="J21" s="4" t="s">
        <v>16</v>
      </c>
      <c r="K21" s="30">
        <v>40.865857601199998</v>
      </c>
      <c r="L21" s="30">
        <v>71.963380873199995</v>
      </c>
      <c r="M21" s="15">
        <v>160</v>
      </c>
    </row>
    <row r="22" spans="1:13" ht="30" customHeight="1">
      <c r="A22" s="7" t="s">
        <v>13</v>
      </c>
      <c r="B22" s="30" t="s">
        <v>387</v>
      </c>
      <c r="C22" s="30" t="s">
        <v>140</v>
      </c>
      <c r="D22" s="27">
        <v>15868.175550327411</v>
      </c>
      <c r="E22" s="28">
        <v>14270.299698628109</v>
      </c>
      <c r="F22" s="27">
        <f t="shared" si="1"/>
        <v>1597.8758516993021</v>
      </c>
      <c r="G22" s="27">
        <f t="shared" si="0"/>
        <v>10.069688519839529</v>
      </c>
      <c r="H22" s="29">
        <v>35</v>
      </c>
      <c r="I22" s="29">
        <v>1</v>
      </c>
      <c r="J22" s="4" t="s">
        <v>16</v>
      </c>
      <c r="K22" s="30">
        <v>40.868364999999997</v>
      </c>
      <c r="L22" s="30">
        <v>71.977401666700004</v>
      </c>
      <c r="M22" s="15">
        <v>160</v>
      </c>
    </row>
    <row r="23" spans="1:13" ht="30" customHeight="1">
      <c r="A23" s="7" t="s">
        <v>13</v>
      </c>
      <c r="B23" s="30" t="s">
        <v>385</v>
      </c>
      <c r="C23" s="30" t="s">
        <v>141</v>
      </c>
      <c r="D23" s="27">
        <v>24381.468150327419</v>
      </c>
      <c r="E23" s="28">
        <v>21718.499698628115</v>
      </c>
      <c r="F23" s="27">
        <f t="shared" si="1"/>
        <v>2662.9684516993038</v>
      </c>
      <c r="G23" s="27">
        <f t="shared" si="0"/>
        <v>10.922100487470205</v>
      </c>
      <c r="H23" s="29">
        <v>145</v>
      </c>
      <c r="I23" s="29">
        <v>4</v>
      </c>
      <c r="J23" s="3" t="s">
        <v>16</v>
      </c>
      <c r="K23" s="30">
        <v>40.866354999999999</v>
      </c>
      <c r="L23" s="30">
        <v>71.987798333300006</v>
      </c>
      <c r="M23" s="15">
        <v>63</v>
      </c>
    </row>
    <row r="24" spans="1:13" ht="30" customHeight="1">
      <c r="A24" s="7" t="s">
        <v>13</v>
      </c>
      <c r="B24" s="30" t="s">
        <v>385</v>
      </c>
      <c r="C24" s="30" t="s">
        <v>142</v>
      </c>
      <c r="D24" s="27">
        <v>29779.297080327415</v>
      </c>
      <c r="E24" s="28">
        <v>26441.00969862811</v>
      </c>
      <c r="F24" s="27">
        <f t="shared" si="1"/>
        <v>3338.2873816993051</v>
      </c>
      <c r="G24" s="27">
        <f t="shared" si="0"/>
        <v>11.21009462612407</v>
      </c>
      <c r="H24" s="29">
        <v>200</v>
      </c>
      <c r="I24" s="29">
        <v>1</v>
      </c>
      <c r="J24" s="3" t="s">
        <v>16</v>
      </c>
      <c r="K24" s="30">
        <v>40.8589916667</v>
      </c>
      <c r="L24" s="30">
        <v>72.007035000000002</v>
      </c>
      <c r="M24" s="15">
        <v>63</v>
      </c>
    </row>
    <row r="25" spans="1:13" ht="30" customHeight="1">
      <c r="A25" s="7" t="s">
        <v>13</v>
      </c>
      <c r="B25" s="30" t="s">
        <v>387</v>
      </c>
      <c r="C25" s="30" t="s">
        <v>143</v>
      </c>
      <c r="D25" s="27">
        <v>31947.270900327414</v>
      </c>
      <c r="E25" s="28">
        <v>28337.749698628115</v>
      </c>
      <c r="F25" s="27">
        <f t="shared" si="1"/>
        <v>3609.5212016992991</v>
      </c>
      <c r="G25" s="27">
        <f t="shared" si="0"/>
        <v>11.298371034448225</v>
      </c>
      <c r="H25" s="29">
        <v>47</v>
      </c>
      <c r="I25" s="29">
        <v>1</v>
      </c>
      <c r="J25" s="3" t="s">
        <v>14</v>
      </c>
      <c r="K25" s="30">
        <v>40.8780866667</v>
      </c>
      <c r="L25" s="30">
        <v>71.986896666700005</v>
      </c>
      <c r="M25" s="15">
        <v>250</v>
      </c>
    </row>
    <row r="26" spans="1:13" ht="30" customHeight="1">
      <c r="A26" s="7" t="s">
        <v>13</v>
      </c>
      <c r="B26" s="30" t="s">
        <v>388</v>
      </c>
      <c r="C26" s="30" t="s">
        <v>144</v>
      </c>
      <c r="D26" s="27">
        <v>20002.993290327417</v>
      </c>
      <c r="E26" s="28">
        <v>17887.813031961447</v>
      </c>
      <c r="F26" s="27">
        <f t="shared" si="1"/>
        <v>2115.1802583659701</v>
      </c>
      <c r="G26" s="27">
        <f t="shared" si="0"/>
        <v>10.574318691536931</v>
      </c>
      <c r="H26" s="29">
        <v>176</v>
      </c>
      <c r="I26" s="29">
        <v>2</v>
      </c>
      <c r="J26" s="3" t="s">
        <v>14</v>
      </c>
      <c r="K26" s="30">
        <v>40.888159999999999</v>
      </c>
      <c r="L26" s="30">
        <v>72.008324999999999</v>
      </c>
      <c r="M26" s="15">
        <v>100</v>
      </c>
    </row>
    <row r="27" spans="1:13" ht="30" customHeight="1">
      <c r="A27" s="7" t="s">
        <v>13</v>
      </c>
      <c r="B27" s="30" t="s">
        <v>388</v>
      </c>
      <c r="C27" s="30" t="s">
        <v>145</v>
      </c>
      <c r="D27" s="27">
        <v>21236.04264032741</v>
      </c>
      <c r="E27" s="28">
        <v>18966.596365294779</v>
      </c>
      <c r="F27" s="27">
        <f t="shared" si="1"/>
        <v>2269.4462750326311</v>
      </c>
      <c r="G27" s="27">
        <f t="shared" si="0"/>
        <v>10.686766425694282</v>
      </c>
      <c r="H27" s="29">
        <v>94</v>
      </c>
      <c r="I27" s="29">
        <v>10</v>
      </c>
      <c r="J27" s="17" t="s">
        <v>14</v>
      </c>
      <c r="K27" s="30">
        <v>40.879911666700004</v>
      </c>
      <c r="L27" s="30">
        <v>72.022811666699994</v>
      </c>
      <c r="M27" s="15">
        <v>100</v>
      </c>
    </row>
    <row r="28" spans="1:13" ht="30" customHeight="1">
      <c r="A28" s="7" t="s">
        <v>13</v>
      </c>
      <c r="B28" s="30" t="s">
        <v>389</v>
      </c>
      <c r="C28" s="30" t="s">
        <v>146</v>
      </c>
      <c r="D28" s="27">
        <v>21333.338610327417</v>
      </c>
      <c r="E28" s="28">
        <v>19051.719698628112</v>
      </c>
      <c r="F28" s="27">
        <f t="shared" si="1"/>
        <v>2281.6189116993046</v>
      </c>
      <c r="G28" s="27">
        <f t="shared" si="0"/>
        <v>10.695086003063667</v>
      </c>
      <c r="H28" s="29">
        <v>132</v>
      </c>
      <c r="I28" s="29">
        <v>2</v>
      </c>
      <c r="J28" s="3" t="s">
        <v>14</v>
      </c>
      <c r="K28" s="30">
        <v>40.880920000000003</v>
      </c>
      <c r="L28" s="30">
        <v>72.040239999999997</v>
      </c>
      <c r="M28" s="20">
        <v>100</v>
      </c>
    </row>
    <row r="29" spans="1:13" ht="30" customHeight="1">
      <c r="A29" s="7" t="s">
        <v>13</v>
      </c>
      <c r="B29" s="30" t="s">
        <v>389</v>
      </c>
      <c r="C29" s="30" t="s">
        <v>147</v>
      </c>
      <c r="D29" s="27">
        <v>19103.604690327418</v>
      </c>
      <c r="E29" s="28">
        <v>17100.946365294778</v>
      </c>
      <c r="F29" s="27">
        <f t="shared" si="1"/>
        <v>2002.6583250326403</v>
      </c>
      <c r="G29" s="27">
        <f t="shared" si="0"/>
        <v>10.483143665795339</v>
      </c>
      <c r="H29" s="29">
        <v>125</v>
      </c>
      <c r="I29" s="29">
        <v>1</v>
      </c>
      <c r="J29" s="3"/>
      <c r="K29" s="30">
        <v>40.881768333300002</v>
      </c>
      <c r="L29" s="30">
        <v>72.055153333299998</v>
      </c>
      <c r="M29" s="20">
        <v>63</v>
      </c>
    </row>
    <row r="30" spans="1:13" ht="30" customHeight="1">
      <c r="A30" s="7" t="s">
        <v>13</v>
      </c>
      <c r="B30" s="30" t="s">
        <v>389</v>
      </c>
      <c r="C30" s="30" t="s">
        <v>148</v>
      </c>
      <c r="D30" s="27">
        <v>22491.479550327414</v>
      </c>
      <c r="E30" s="28">
        <v>20064.966365294775</v>
      </c>
      <c r="F30" s="27">
        <f t="shared" si="1"/>
        <v>2426.5131850326397</v>
      </c>
      <c r="G30" s="27">
        <f t="shared" si="0"/>
        <v>10.788588539064413</v>
      </c>
      <c r="H30" s="29">
        <v>162</v>
      </c>
      <c r="I30" s="29">
        <v>1</v>
      </c>
      <c r="J30" s="3" t="s">
        <v>20</v>
      </c>
      <c r="K30" s="30">
        <v>40.882671666699999</v>
      </c>
      <c r="L30" s="30">
        <v>72.072426666699997</v>
      </c>
      <c r="M30" s="21">
        <v>100</v>
      </c>
    </row>
    <row r="31" spans="1:13" ht="30" customHeight="1">
      <c r="A31" s="7" t="s">
        <v>13</v>
      </c>
      <c r="B31" s="30" t="s">
        <v>389</v>
      </c>
      <c r="C31" s="30" t="s">
        <v>149</v>
      </c>
      <c r="D31" s="27">
        <v>14175.388740327413</v>
      </c>
      <c r="E31" s="28">
        <v>12789.296365294775</v>
      </c>
      <c r="F31" s="27">
        <f t="shared" si="1"/>
        <v>1386.0923750326383</v>
      </c>
      <c r="G31" s="27">
        <f t="shared" si="0"/>
        <v>9.7781612936607445</v>
      </c>
      <c r="H31" s="29">
        <v>18</v>
      </c>
      <c r="I31" s="29">
        <v>1</v>
      </c>
      <c r="J31" s="3" t="s">
        <v>21</v>
      </c>
      <c r="K31" s="30">
        <v>40.877465000000001</v>
      </c>
      <c r="L31" s="30">
        <v>72.08811</v>
      </c>
      <c r="M31" s="15">
        <v>100</v>
      </c>
    </row>
    <row r="32" spans="1:13" ht="30" customHeight="1">
      <c r="A32" s="7" t="s">
        <v>13</v>
      </c>
      <c r="B32" s="30" t="s">
        <v>389</v>
      </c>
      <c r="C32" s="30" t="s">
        <v>150</v>
      </c>
      <c r="D32" s="27">
        <v>20211.244080327415</v>
      </c>
      <c r="E32" s="28">
        <v>18070.00969862811</v>
      </c>
      <c r="F32" s="27">
        <f t="shared" si="1"/>
        <v>2141.2343816993052</v>
      </c>
      <c r="G32" s="27">
        <f t="shared" si="0"/>
        <v>10.59427303529263</v>
      </c>
      <c r="H32" s="29">
        <v>83</v>
      </c>
      <c r="I32" s="29">
        <v>2</v>
      </c>
      <c r="J32" s="3" t="s">
        <v>15</v>
      </c>
      <c r="K32" s="30">
        <v>40.879755000000003</v>
      </c>
      <c r="L32" s="30">
        <v>72.084291666699997</v>
      </c>
      <c r="M32" s="15">
        <v>100</v>
      </c>
    </row>
    <row r="33" spans="1:13" ht="30" customHeight="1">
      <c r="A33" s="7" t="s">
        <v>13</v>
      </c>
      <c r="B33" s="30" t="s">
        <v>390</v>
      </c>
      <c r="C33" s="30" t="s">
        <v>151</v>
      </c>
      <c r="D33" s="27">
        <v>20827.751610327417</v>
      </c>
      <c r="E33" s="28">
        <v>18609.38636529478</v>
      </c>
      <c r="F33" s="27">
        <f t="shared" si="1"/>
        <v>2218.3652450326372</v>
      </c>
      <c r="G33" s="27">
        <f t="shared" si="0"/>
        <v>10.651006822707945</v>
      </c>
      <c r="H33" s="29">
        <v>109</v>
      </c>
      <c r="I33" s="29">
        <v>4</v>
      </c>
      <c r="J33" s="3" t="s">
        <v>22</v>
      </c>
      <c r="K33" s="30">
        <v>40.874026666699997</v>
      </c>
      <c r="L33" s="30">
        <v>72.094549999999998</v>
      </c>
      <c r="M33" s="15">
        <v>160</v>
      </c>
    </row>
    <row r="34" spans="1:13" ht="30" customHeight="1">
      <c r="A34" s="7" t="s">
        <v>13</v>
      </c>
      <c r="B34" s="30" t="s">
        <v>390</v>
      </c>
      <c r="C34" s="30" t="s">
        <v>152</v>
      </c>
      <c r="D34" s="27">
        <v>16190.135790327411</v>
      </c>
      <c r="E34" s="28">
        <v>14551.979698628109</v>
      </c>
      <c r="F34" s="27">
        <f t="shared" si="1"/>
        <v>1638.1560916993021</v>
      </c>
      <c r="G34" s="27">
        <f t="shared" si="0"/>
        <v>10.118235652340838</v>
      </c>
      <c r="H34" s="29">
        <v>100</v>
      </c>
      <c r="I34" s="29">
        <v>1</v>
      </c>
      <c r="J34" s="3" t="s">
        <v>23</v>
      </c>
      <c r="K34" s="30">
        <v>40.863348333300003</v>
      </c>
      <c r="L34" s="30">
        <v>72.082953333299997</v>
      </c>
      <c r="M34" s="15">
        <v>160</v>
      </c>
    </row>
    <row r="35" spans="1:13" ht="30" customHeight="1">
      <c r="A35" s="7" t="s">
        <v>13</v>
      </c>
      <c r="B35" s="30" t="s">
        <v>391</v>
      </c>
      <c r="C35" s="30" t="s">
        <v>153</v>
      </c>
      <c r="D35" s="27">
        <v>14908.463220327416</v>
      </c>
      <c r="E35" s="28">
        <v>13430.656365294775</v>
      </c>
      <c r="F35" s="27">
        <f t="shared" si="1"/>
        <v>1477.8068550326407</v>
      </c>
      <c r="G35" s="27">
        <f t="shared" si="0"/>
        <v>9.9125364780568272</v>
      </c>
      <c r="H35" s="29">
        <v>86</v>
      </c>
      <c r="I35" s="29">
        <v>3</v>
      </c>
      <c r="J35" s="3" t="s">
        <v>23</v>
      </c>
      <c r="K35" s="30">
        <v>40.848415000000003</v>
      </c>
      <c r="L35" s="30">
        <v>72.071595000000002</v>
      </c>
      <c r="M35" s="15">
        <v>63</v>
      </c>
    </row>
    <row r="36" spans="1:13" ht="30" customHeight="1">
      <c r="A36" s="7" t="s">
        <v>13</v>
      </c>
      <c r="B36" s="30" t="s">
        <v>390</v>
      </c>
      <c r="C36" s="30" t="s">
        <v>154</v>
      </c>
      <c r="D36" s="27">
        <v>27374.912760327417</v>
      </c>
      <c r="E36" s="28">
        <v>24337.436365294776</v>
      </c>
      <c r="F36" s="27">
        <f t="shared" si="1"/>
        <v>3037.4763950326414</v>
      </c>
      <c r="G36" s="27">
        <f t="shared" si="0"/>
        <v>11.095839543403578</v>
      </c>
      <c r="H36" s="29">
        <v>214</v>
      </c>
      <c r="I36" s="29">
        <v>6</v>
      </c>
      <c r="J36" s="3" t="s">
        <v>18</v>
      </c>
      <c r="K36" s="30">
        <v>40.8672316667</v>
      </c>
      <c r="L36" s="30">
        <v>72.104288333300005</v>
      </c>
      <c r="M36" s="15">
        <v>100</v>
      </c>
    </row>
    <row r="37" spans="1:13" ht="30" customHeight="1">
      <c r="A37" s="7" t="s">
        <v>13</v>
      </c>
      <c r="B37" s="30" t="s">
        <v>390</v>
      </c>
      <c r="C37" s="30" t="s">
        <v>155</v>
      </c>
      <c r="D37" s="27">
        <v>22162.516530327419</v>
      </c>
      <c r="E37" s="28">
        <v>19777.159698628111</v>
      </c>
      <c r="F37" s="27">
        <f t="shared" si="1"/>
        <v>2385.3568316993078</v>
      </c>
      <c r="G37" s="27">
        <f t="shared" si="0"/>
        <v>10.76302336169794</v>
      </c>
      <c r="H37" s="29">
        <v>97</v>
      </c>
      <c r="I37" s="29">
        <v>2</v>
      </c>
      <c r="J37" s="3" t="s">
        <v>14</v>
      </c>
      <c r="K37" s="30">
        <v>40.875253333300002</v>
      </c>
      <c r="L37" s="30">
        <v>72.108715000000004</v>
      </c>
      <c r="M37" s="15">
        <v>100</v>
      </c>
    </row>
    <row r="38" spans="1:13" ht="30" customHeight="1">
      <c r="A38" s="7" t="s">
        <v>13</v>
      </c>
      <c r="B38" s="30" t="s">
        <v>390</v>
      </c>
      <c r="C38" s="30" t="s">
        <v>156</v>
      </c>
      <c r="D38" s="27">
        <v>14820.711300327413</v>
      </c>
      <c r="E38" s="28">
        <v>13353.883031961441</v>
      </c>
      <c r="F38" s="27">
        <f t="shared" si="1"/>
        <v>1466.8282683659727</v>
      </c>
      <c r="G38" s="27">
        <f t="shared" si="0"/>
        <v>9.8971516187186506</v>
      </c>
      <c r="H38" s="29">
        <v>105</v>
      </c>
      <c r="I38" s="29">
        <v>1</v>
      </c>
      <c r="J38" s="3" t="s">
        <v>23</v>
      </c>
      <c r="K38" s="30">
        <v>40.867996666700002</v>
      </c>
      <c r="L38" s="30">
        <v>72.122466666700006</v>
      </c>
      <c r="M38" s="15">
        <v>40</v>
      </c>
    </row>
    <row r="39" spans="1:13" ht="30" customHeight="1">
      <c r="A39" s="7" t="s">
        <v>13</v>
      </c>
      <c r="B39" s="30" t="s">
        <v>390</v>
      </c>
      <c r="C39" s="30" t="s">
        <v>157</v>
      </c>
      <c r="D39" s="27">
        <v>16300.275270327416</v>
      </c>
      <c r="E39" s="28">
        <v>14648.33969862811</v>
      </c>
      <c r="F39" s="27">
        <f t="shared" si="1"/>
        <v>1651.9355716993068</v>
      </c>
      <c r="G39" s="27">
        <f t="shared" si="0"/>
        <v>10.134402912240667</v>
      </c>
      <c r="H39" s="29">
        <v>137</v>
      </c>
      <c r="I39" s="29">
        <v>2</v>
      </c>
      <c r="J39" s="3" t="s">
        <v>24</v>
      </c>
      <c r="K39" s="30">
        <v>40.856453333300003</v>
      </c>
      <c r="L39" s="30">
        <v>72.136276666699999</v>
      </c>
      <c r="M39" s="15">
        <v>100</v>
      </c>
    </row>
    <row r="40" spans="1:13" ht="30" customHeight="1">
      <c r="A40" s="7" t="s">
        <v>13</v>
      </c>
      <c r="B40" s="30" t="s">
        <v>390</v>
      </c>
      <c r="C40" s="30" t="s">
        <v>158</v>
      </c>
      <c r="D40" s="27">
        <v>21322.064820327418</v>
      </c>
      <c r="E40" s="28">
        <v>19041.856365294778</v>
      </c>
      <c r="F40" s="27">
        <f t="shared" si="1"/>
        <v>2280.2084550326399</v>
      </c>
      <c r="G40" s="27">
        <f t="shared" si="0"/>
        <v>10.694125893749279</v>
      </c>
      <c r="H40" s="29">
        <v>169</v>
      </c>
      <c r="I40" s="29">
        <v>2</v>
      </c>
      <c r="J40" s="3" t="s">
        <v>24</v>
      </c>
      <c r="K40" s="30">
        <v>40.848101666700003</v>
      </c>
      <c r="L40" s="30">
        <v>72.161588333300003</v>
      </c>
      <c r="M40" s="15">
        <v>100</v>
      </c>
    </row>
    <row r="41" spans="1:13" ht="30" customHeight="1">
      <c r="A41" s="7" t="s">
        <v>13</v>
      </c>
      <c r="B41" s="30" t="s">
        <v>392</v>
      </c>
      <c r="C41" s="30" t="s">
        <v>159</v>
      </c>
      <c r="D41" s="27">
        <v>14789.202600327415</v>
      </c>
      <c r="E41" s="28">
        <v>13326.316365294775</v>
      </c>
      <c r="F41" s="27">
        <f t="shared" si="1"/>
        <v>1462.8862350326399</v>
      </c>
      <c r="G41" s="27">
        <f t="shared" si="0"/>
        <v>9.8915828971080106</v>
      </c>
      <c r="H41" s="29">
        <v>85</v>
      </c>
      <c r="I41" s="29">
        <v>3</v>
      </c>
      <c r="J41" s="3" t="s">
        <v>21</v>
      </c>
      <c r="K41" s="30">
        <v>40.823746666700004</v>
      </c>
      <c r="L41" s="30">
        <v>72.162056666699996</v>
      </c>
      <c r="M41" s="15">
        <v>160</v>
      </c>
    </row>
    <row r="42" spans="1:13" ht="30" customHeight="1">
      <c r="A42" s="7" t="s">
        <v>13</v>
      </c>
      <c r="B42" s="30" t="s">
        <v>391</v>
      </c>
      <c r="C42" s="30" t="s">
        <v>160</v>
      </c>
      <c r="D42" s="27">
        <v>18831.890730327417</v>
      </c>
      <c r="E42" s="28">
        <v>16863.226365294777</v>
      </c>
      <c r="F42" s="27">
        <f t="shared" si="1"/>
        <v>1968.6643650326405</v>
      </c>
      <c r="G42" s="27">
        <f t="shared" si="0"/>
        <v>10.453885874891187</v>
      </c>
      <c r="H42" s="29">
        <v>97</v>
      </c>
      <c r="I42" s="29">
        <v>2</v>
      </c>
      <c r="J42" s="3" t="s">
        <v>19</v>
      </c>
      <c r="K42" s="30">
        <v>40.8202666667</v>
      </c>
      <c r="L42" s="30">
        <v>72.1321616667</v>
      </c>
      <c r="M42" s="20">
        <v>160</v>
      </c>
    </row>
    <row r="43" spans="1:13" ht="30" customHeight="1">
      <c r="A43" s="7" t="s">
        <v>13</v>
      </c>
      <c r="B43" s="30" t="s">
        <v>391</v>
      </c>
      <c r="C43" s="30" t="s">
        <v>161</v>
      </c>
      <c r="D43" s="27">
        <v>20992.789380327413</v>
      </c>
      <c r="E43" s="28">
        <v>18753.776365294776</v>
      </c>
      <c r="F43" s="27">
        <f t="shared" si="1"/>
        <v>2239.0130150326368</v>
      </c>
      <c r="G43" s="27">
        <f t="shared" si="0"/>
        <v>10.665628918903183</v>
      </c>
      <c r="H43" s="29">
        <v>129</v>
      </c>
      <c r="I43" s="29">
        <v>2</v>
      </c>
      <c r="J43" s="3" t="s">
        <v>21</v>
      </c>
      <c r="K43" s="30">
        <v>40.829568333300003</v>
      </c>
      <c r="L43" s="30">
        <v>72.120596666699996</v>
      </c>
      <c r="M43" s="20">
        <v>160</v>
      </c>
    </row>
    <row r="44" spans="1:13" ht="30" customHeight="1">
      <c r="A44" s="7" t="s">
        <v>13</v>
      </c>
      <c r="B44" s="30" t="s">
        <v>391</v>
      </c>
      <c r="C44" s="30" t="s">
        <v>162</v>
      </c>
      <c r="D44" s="27">
        <v>22588.969830327413</v>
      </c>
      <c r="E44" s="28">
        <v>20150.25969862811</v>
      </c>
      <c r="F44" s="27">
        <f t="shared" si="1"/>
        <v>2438.710131699303</v>
      </c>
      <c r="G44" s="27">
        <f t="shared" si="0"/>
        <v>10.796021908113531</v>
      </c>
      <c r="H44" s="29">
        <v>164</v>
      </c>
      <c r="I44" s="29">
        <v>2</v>
      </c>
      <c r="J44" s="3" t="s">
        <v>21</v>
      </c>
      <c r="K44" s="30">
        <v>40.815874208499999</v>
      </c>
      <c r="L44" s="30">
        <v>72.111179034499997</v>
      </c>
      <c r="M44" s="20">
        <v>100</v>
      </c>
    </row>
    <row r="45" spans="1:13" ht="30" customHeight="1">
      <c r="A45" s="7" t="s">
        <v>13</v>
      </c>
      <c r="B45" s="30" t="s">
        <v>388</v>
      </c>
      <c r="C45" s="30" t="s">
        <v>163</v>
      </c>
      <c r="D45" s="27">
        <v>57466.441350327397</v>
      </c>
      <c r="E45" s="28">
        <v>50664.233031961441</v>
      </c>
      <c r="F45" s="27">
        <f t="shared" si="1"/>
        <v>6802.2083183659561</v>
      </c>
      <c r="G45" s="27">
        <f t="shared" si="0"/>
        <v>11.836835827188738</v>
      </c>
      <c r="H45" s="29">
        <v>143</v>
      </c>
      <c r="I45" s="29">
        <v>1</v>
      </c>
      <c r="J45" s="3" t="s">
        <v>21</v>
      </c>
      <c r="K45" s="30">
        <v>40.875643333299998</v>
      </c>
      <c r="L45" s="30">
        <v>72.000879999999995</v>
      </c>
      <c r="M45" s="20">
        <v>160</v>
      </c>
    </row>
    <row r="46" spans="1:13" ht="30" customHeight="1">
      <c r="A46" s="7" t="s">
        <v>13</v>
      </c>
      <c r="B46" s="30" t="s">
        <v>388</v>
      </c>
      <c r="C46" s="30" t="s">
        <v>164</v>
      </c>
      <c r="D46" s="27">
        <v>17327.603670327415</v>
      </c>
      <c r="E46" s="28">
        <v>15547.139698628111</v>
      </c>
      <c r="F46" s="27">
        <f t="shared" si="1"/>
        <v>1780.4639716993042</v>
      </c>
      <c r="G46" s="27">
        <f t="shared" si="0"/>
        <v>10.275304107677927</v>
      </c>
      <c r="H46" s="29">
        <v>82</v>
      </c>
      <c r="I46" s="29">
        <v>3</v>
      </c>
      <c r="J46" s="3" t="s">
        <v>20</v>
      </c>
      <c r="K46" s="30">
        <v>40.88138</v>
      </c>
      <c r="L46" s="30">
        <v>72.003778333300005</v>
      </c>
      <c r="M46" s="20">
        <v>63</v>
      </c>
    </row>
    <row r="47" spans="1:13" ht="30" customHeight="1">
      <c r="A47" s="7" t="s">
        <v>13</v>
      </c>
      <c r="B47" s="30" t="s">
        <v>389</v>
      </c>
      <c r="C47" s="30" t="s">
        <v>165</v>
      </c>
      <c r="D47" s="27">
        <v>20175.685350327411</v>
      </c>
      <c r="E47" s="28">
        <v>18038.899698628109</v>
      </c>
      <c r="F47" s="27">
        <f t="shared" si="1"/>
        <v>2136.7856516993015</v>
      </c>
      <c r="G47" s="27">
        <f t="shared" si="0"/>
        <v>10.590895003547555</v>
      </c>
      <c r="H47" s="29">
        <v>116</v>
      </c>
      <c r="I47" s="29">
        <v>1</v>
      </c>
      <c r="J47" s="3" t="s">
        <v>20</v>
      </c>
      <c r="K47" s="30">
        <v>40.871155000000002</v>
      </c>
      <c r="L47" s="30">
        <v>72.043671666700007</v>
      </c>
      <c r="M47" s="20">
        <v>400</v>
      </c>
    </row>
    <row r="48" spans="1:13" ht="30" customHeight="1">
      <c r="A48" s="7" t="s">
        <v>13</v>
      </c>
      <c r="B48" s="30" t="s">
        <v>392</v>
      </c>
      <c r="C48" s="30" t="s">
        <v>166</v>
      </c>
      <c r="D48" s="27">
        <v>14769.280110327411</v>
      </c>
      <c r="E48" s="28">
        <v>13308.886365294775</v>
      </c>
      <c r="F48" s="27">
        <f t="shared" si="1"/>
        <v>1460.3937450326357</v>
      </c>
      <c r="G48" s="27">
        <f t="shared" si="0"/>
        <v>9.8880496146285157</v>
      </c>
      <c r="H48" s="29">
        <v>71</v>
      </c>
      <c r="I48" s="29">
        <v>1</v>
      </c>
      <c r="J48" s="3" t="s">
        <v>20</v>
      </c>
      <c r="K48" s="30">
        <v>40.820733333200003</v>
      </c>
      <c r="L48" s="30">
        <v>72.163296666700006</v>
      </c>
      <c r="M48" s="20">
        <v>160</v>
      </c>
    </row>
    <row r="49" spans="1:13" ht="30" customHeight="1">
      <c r="A49" s="7" t="s">
        <v>13</v>
      </c>
      <c r="B49" s="30" t="s">
        <v>392</v>
      </c>
      <c r="C49" s="30" t="s">
        <v>167</v>
      </c>
      <c r="D49" s="27">
        <v>18595.331640327415</v>
      </c>
      <c r="E49" s="28">
        <v>16656.263031961444</v>
      </c>
      <c r="F49" s="27">
        <f t="shared" si="1"/>
        <v>1939.0686083659712</v>
      </c>
      <c r="G49" s="27">
        <f t="shared" si="0"/>
        <v>10.427717267277677</v>
      </c>
      <c r="H49" s="29">
        <v>96</v>
      </c>
      <c r="I49" s="29">
        <v>2</v>
      </c>
      <c r="J49" s="3" t="s">
        <v>25</v>
      </c>
      <c r="K49" s="30">
        <v>40.834948405699997</v>
      </c>
      <c r="L49" s="30">
        <v>72.194619056400001</v>
      </c>
      <c r="M49" s="20">
        <v>250</v>
      </c>
    </row>
    <row r="50" spans="1:13" ht="30" customHeight="1">
      <c r="A50" s="7" t="s">
        <v>13</v>
      </c>
      <c r="B50" s="30" t="s">
        <v>386</v>
      </c>
      <c r="C50" s="30" t="s">
        <v>168</v>
      </c>
      <c r="D50" s="27">
        <v>24353.321775327415</v>
      </c>
      <c r="E50" s="28">
        <v>21693.874698628115</v>
      </c>
      <c r="F50" s="27">
        <f t="shared" si="1"/>
        <v>2659.4470766992999</v>
      </c>
      <c r="G50" s="27">
        <f t="shared" si="0"/>
        <v>10.920264189148979</v>
      </c>
      <c r="H50" s="29">
        <v>157</v>
      </c>
      <c r="I50" s="29">
        <v>1</v>
      </c>
      <c r="J50" s="3" t="s">
        <v>25</v>
      </c>
      <c r="K50" s="30">
        <v>40.878189999999996</v>
      </c>
      <c r="L50" s="30">
        <v>71.958991666700001</v>
      </c>
      <c r="M50" s="20">
        <v>160</v>
      </c>
    </row>
    <row r="51" spans="1:13" ht="30" customHeight="1">
      <c r="A51" s="7" t="s">
        <v>13</v>
      </c>
      <c r="B51" s="30" t="s">
        <v>386</v>
      </c>
      <c r="C51" s="30" t="s">
        <v>169</v>
      </c>
      <c r="D51" s="27">
        <v>20364.935670327417</v>
      </c>
      <c r="E51" s="28">
        <v>18204.473031961443</v>
      </c>
      <c r="F51" s="27">
        <f t="shared" si="1"/>
        <v>2160.4626383659743</v>
      </c>
      <c r="G51" s="27">
        <f t="shared" si="0"/>
        <v>10.608737848918722</v>
      </c>
      <c r="H51" s="29">
        <v>112</v>
      </c>
      <c r="I51" s="29">
        <v>2</v>
      </c>
      <c r="J51" s="3" t="s">
        <v>22</v>
      </c>
      <c r="K51" s="30">
        <v>40.870921666699999</v>
      </c>
      <c r="L51" s="30">
        <v>71.95438</v>
      </c>
      <c r="M51" s="20">
        <v>250</v>
      </c>
    </row>
    <row r="52" spans="1:13" ht="30" customHeight="1">
      <c r="A52" s="7" t="s">
        <v>13</v>
      </c>
      <c r="B52" s="30" t="s">
        <v>390</v>
      </c>
      <c r="C52" s="30" t="s">
        <v>170</v>
      </c>
      <c r="D52" s="27">
        <v>16989.134700327413</v>
      </c>
      <c r="E52" s="28">
        <v>15251.016365294778</v>
      </c>
      <c r="F52" s="27">
        <f t="shared" si="1"/>
        <v>1738.1183350326355</v>
      </c>
      <c r="G52" s="27">
        <f t="shared" si="0"/>
        <v>10.230764342572071</v>
      </c>
      <c r="H52" s="29">
        <v>74</v>
      </c>
      <c r="I52" s="29">
        <v>1</v>
      </c>
      <c r="J52" s="3" t="s">
        <v>22</v>
      </c>
      <c r="K52" s="30">
        <v>40.872001666700001</v>
      </c>
      <c r="L52" s="30">
        <v>72.092106666700005</v>
      </c>
      <c r="M52" s="20">
        <v>160</v>
      </c>
    </row>
    <row r="53" spans="1:13" ht="30" customHeight="1">
      <c r="A53" s="7" t="s">
        <v>13</v>
      </c>
      <c r="B53" s="30" t="s">
        <v>386</v>
      </c>
      <c r="C53" s="30" t="s">
        <v>171</v>
      </c>
      <c r="D53" s="27">
        <v>19161.665280327412</v>
      </c>
      <c r="E53" s="28">
        <v>17151.743031961443</v>
      </c>
      <c r="F53" s="27">
        <f t="shared" si="1"/>
        <v>2009.9222483659687</v>
      </c>
      <c r="G53" s="27">
        <f t="shared" si="0"/>
        <v>10.489287955726287</v>
      </c>
      <c r="H53" s="29">
        <v>117</v>
      </c>
      <c r="I53" s="29">
        <v>1</v>
      </c>
      <c r="J53" s="3" t="s">
        <v>22</v>
      </c>
      <c r="K53" s="30">
        <v>40.872906666699997</v>
      </c>
      <c r="L53" s="30">
        <v>71.953943333300003</v>
      </c>
      <c r="M53" s="20">
        <v>40</v>
      </c>
    </row>
    <row r="54" spans="1:13" ht="30" customHeight="1">
      <c r="A54" s="7" t="s">
        <v>13</v>
      </c>
      <c r="B54" s="30" t="s">
        <v>384</v>
      </c>
      <c r="C54" s="30" t="s">
        <v>101</v>
      </c>
      <c r="D54" s="27">
        <v>17739.761850327413</v>
      </c>
      <c r="E54" s="28">
        <v>15907.733031961445</v>
      </c>
      <c r="F54" s="27">
        <f t="shared" si="1"/>
        <v>1832.0288183659686</v>
      </c>
      <c r="G54" s="27">
        <f t="shared" si="0"/>
        <v>10.327245843676058</v>
      </c>
      <c r="H54" s="29">
        <v>75</v>
      </c>
      <c r="I54" s="29">
        <v>2</v>
      </c>
      <c r="J54" s="3" t="s">
        <v>17</v>
      </c>
      <c r="K54" s="30">
        <v>40.877846666700002</v>
      </c>
      <c r="L54" s="30">
        <v>71.933464999999998</v>
      </c>
      <c r="M54" s="20">
        <v>63</v>
      </c>
    </row>
    <row r="55" spans="1:13" ht="30" customHeight="1">
      <c r="A55" s="7" t="s">
        <v>13</v>
      </c>
      <c r="B55" s="30" t="s">
        <v>386</v>
      </c>
      <c r="C55" s="30" t="s">
        <v>172</v>
      </c>
      <c r="D55" s="27">
        <v>19550.205270327417</v>
      </c>
      <c r="E55" s="28">
        <v>17491.673031961443</v>
      </c>
      <c r="F55" s="27">
        <f t="shared" si="1"/>
        <v>2058.5322383659732</v>
      </c>
      <c r="G55" s="27">
        <f t="shared" si="0"/>
        <v>10.529466109956083</v>
      </c>
      <c r="H55" s="29">
        <v>105</v>
      </c>
      <c r="I55" s="29">
        <v>2</v>
      </c>
      <c r="J55" s="3" t="s">
        <v>17</v>
      </c>
      <c r="K55" s="30">
        <v>40.873988333299998</v>
      </c>
      <c r="L55" s="30">
        <v>71.962540000000004</v>
      </c>
      <c r="M55" s="20">
        <v>100</v>
      </c>
    </row>
    <row r="56" spans="1:13" ht="30" customHeight="1">
      <c r="A56" s="7" t="s">
        <v>13</v>
      </c>
      <c r="B56" s="30" t="s">
        <v>386</v>
      </c>
      <c r="C56" s="30" t="s">
        <v>173</v>
      </c>
      <c r="D56" s="27">
        <v>14868.084840327414</v>
      </c>
      <c r="E56" s="28">
        <v>13395.329698628108</v>
      </c>
      <c r="F56" s="27">
        <f t="shared" si="1"/>
        <v>1472.7551416993065</v>
      </c>
      <c r="G56" s="27">
        <f t="shared" si="0"/>
        <v>9.9054798080293622</v>
      </c>
      <c r="H56" s="29">
        <v>35</v>
      </c>
      <c r="I56" s="29">
        <v>1</v>
      </c>
      <c r="J56" s="3" t="s">
        <v>27</v>
      </c>
      <c r="K56" s="30">
        <v>40.870921666500003</v>
      </c>
      <c r="L56" s="30">
        <v>71.95438</v>
      </c>
      <c r="M56" s="20">
        <v>160</v>
      </c>
    </row>
    <row r="57" spans="1:13" ht="30" customHeight="1">
      <c r="A57" s="7" t="s">
        <v>13</v>
      </c>
      <c r="B57" s="30" t="s">
        <v>386</v>
      </c>
      <c r="C57" s="30" t="s">
        <v>174</v>
      </c>
      <c r="D57" s="27">
        <v>22092.770670327416</v>
      </c>
      <c r="E57" s="28">
        <v>19716.139698628111</v>
      </c>
      <c r="F57" s="27">
        <f t="shared" si="1"/>
        <v>2376.6309716993055</v>
      </c>
      <c r="G57" s="27">
        <f t="shared" si="0"/>
        <v>10.75750528154142</v>
      </c>
      <c r="H57" s="29">
        <v>71</v>
      </c>
      <c r="I57" s="29">
        <v>1</v>
      </c>
      <c r="J57" s="3" t="s">
        <v>28</v>
      </c>
      <c r="K57" s="30">
        <v>40.875286666699999</v>
      </c>
      <c r="L57" s="30">
        <v>71.9537066667</v>
      </c>
      <c r="M57" s="20">
        <v>100</v>
      </c>
    </row>
    <row r="58" spans="1:13" ht="30" customHeight="1">
      <c r="A58" s="7" t="s">
        <v>13</v>
      </c>
      <c r="B58" s="30" t="s">
        <v>384</v>
      </c>
      <c r="C58" s="30" t="s">
        <v>107</v>
      </c>
      <c r="D58" s="27">
        <v>18753.313290327416</v>
      </c>
      <c r="E58" s="28">
        <v>16794.479698628111</v>
      </c>
      <c r="F58" s="27">
        <f t="shared" si="1"/>
        <v>1958.8335916993055</v>
      </c>
      <c r="G58" s="27">
        <f t="shared" si="0"/>
        <v>10.445266718333089</v>
      </c>
      <c r="H58" s="29">
        <v>87</v>
      </c>
      <c r="I58" s="29">
        <v>1</v>
      </c>
      <c r="J58" s="3" t="s">
        <v>25</v>
      </c>
      <c r="K58" s="30">
        <v>40.870680129199997</v>
      </c>
      <c r="L58" s="30">
        <v>71.958324657800006</v>
      </c>
      <c r="M58" s="20">
        <v>100</v>
      </c>
    </row>
    <row r="59" spans="1:13" ht="30" customHeight="1">
      <c r="A59" s="7" t="s">
        <v>13</v>
      </c>
      <c r="B59" s="30" t="s">
        <v>384</v>
      </c>
      <c r="C59" s="30" t="s">
        <v>113</v>
      </c>
      <c r="D59" s="27">
        <v>24597.483720327415</v>
      </c>
      <c r="E59" s="28">
        <v>21907.489698628113</v>
      </c>
      <c r="F59" s="27">
        <f t="shared" si="1"/>
        <v>2689.9940216993018</v>
      </c>
      <c r="G59" s="27">
        <f t="shared" si="0"/>
        <v>10.936053672336755</v>
      </c>
      <c r="H59" s="29">
        <v>129</v>
      </c>
      <c r="I59" s="29">
        <v>2</v>
      </c>
      <c r="J59" s="3" t="s">
        <v>21</v>
      </c>
      <c r="K59" s="30">
        <v>40.867751666700002</v>
      </c>
      <c r="L59" s="30">
        <v>71.964714999999998</v>
      </c>
      <c r="M59" s="20">
        <v>100</v>
      </c>
    </row>
    <row r="60" spans="1:13" ht="30" customHeight="1">
      <c r="A60" s="7" t="s">
        <v>13</v>
      </c>
      <c r="B60" s="30" t="s">
        <v>384</v>
      </c>
      <c r="C60" s="30" t="s">
        <v>108</v>
      </c>
      <c r="D60" s="27">
        <v>22212.499920327413</v>
      </c>
      <c r="E60" s="28">
        <v>19820.889698628111</v>
      </c>
      <c r="F60" s="27">
        <f t="shared" si="1"/>
        <v>2391.6102216993022</v>
      </c>
      <c r="G60" s="27">
        <f t="shared" si="0"/>
        <v>10.766956579752909</v>
      </c>
      <c r="H60" s="29">
        <v>74</v>
      </c>
      <c r="I60" s="29">
        <v>1</v>
      </c>
      <c r="J60" s="3" t="s">
        <v>21</v>
      </c>
      <c r="K60" s="30">
        <v>40.874960000000002</v>
      </c>
      <c r="L60" s="30">
        <v>71.946984999999998</v>
      </c>
      <c r="M60" s="20">
        <v>63</v>
      </c>
    </row>
    <row r="61" spans="1:13" ht="30" customHeight="1">
      <c r="A61" s="7" t="s">
        <v>13</v>
      </c>
      <c r="B61" s="30" t="s">
        <v>384</v>
      </c>
      <c r="C61" s="30" t="s">
        <v>93</v>
      </c>
      <c r="D61" s="27">
        <v>14033.523390327413</v>
      </c>
      <c r="E61" s="28">
        <v>12665.17969862811</v>
      </c>
      <c r="F61" s="27">
        <f t="shared" si="1"/>
        <v>1368.3436916993032</v>
      </c>
      <c r="G61" s="27">
        <f t="shared" si="0"/>
        <v>9.7505355828346865</v>
      </c>
      <c r="H61" s="29">
        <v>23</v>
      </c>
      <c r="I61" s="29">
        <v>2</v>
      </c>
      <c r="J61" s="3" t="s">
        <v>25</v>
      </c>
      <c r="K61" s="30">
        <v>40.879668882099999</v>
      </c>
      <c r="L61" s="30">
        <v>71.946328058800006</v>
      </c>
      <c r="M61" s="14">
        <v>100</v>
      </c>
    </row>
    <row r="62" spans="1:13" ht="30" customHeight="1">
      <c r="A62" s="7" t="s">
        <v>13</v>
      </c>
      <c r="B62" s="30" t="s">
        <v>384</v>
      </c>
      <c r="C62" s="30" t="s">
        <v>92</v>
      </c>
      <c r="D62" s="27">
        <v>19089.831540327417</v>
      </c>
      <c r="E62" s="28">
        <v>17088.896365294775</v>
      </c>
      <c r="F62" s="27">
        <f t="shared" si="1"/>
        <v>2000.9351750326423</v>
      </c>
      <c r="G62" s="27">
        <f t="shared" si="0"/>
        <v>10.481680630893214</v>
      </c>
      <c r="H62" s="29">
        <v>54</v>
      </c>
      <c r="I62" s="29">
        <v>4</v>
      </c>
      <c r="J62" s="3" t="s">
        <v>17</v>
      </c>
      <c r="K62" s="30">
        <v>40.889975940799999</v>
      </c>
      <c r="L62" s="30">
        <v>71.955590816200001</v>
      </c>
      <c r="M62" s="14">
        <v>100</v>
      </c>
    </row>
    <row r="63" spans="1:13" ht="30" customHeight="1">
      <c r="A63" s="7" t="s">
        <v>13</v>
      </c>
      <c r="B63" s="30" t="s">
        <v>387</v>
      </c>
      <c r="C63" s="30" t="s">
        <v>175</v>
      </c>
      <c r="D63" s="27">
        <v>37428.996030327413</v>
      </c>
      <c r="E63" s="28">
        <v>33133.659698628107</v>
      </c>
      <c r="F63" s="27">
        <f t="shared" si="1"/>
        <v>4295.3363316993054</v>
      </c>
      <c r="G63" s="27">
        <f t="shared" si="0"/>
        <v>11.475959248864019</v>
      </c>
      <c r="H63" s="29">
        <v>32</v>
      </c>
      <c r="I63" s="29">
        <v>2</v>
      </c>
      <c r="J63" s="3" t="s">
        <v>28</v>
      </c>
      <c r="K63" s="30">
        <v>40.879336666500002</v>
      </c>
      <c r="L63" s="30">
        <v>71.986581666700005</v>
      </c>
      <c r="M63" s="14">
        <v>100</v>
      </c>
    </row>
    <row r="64" spans="1:13" ht="30" customHeight="1">
      <c r="A64" s="7" t="s">
        <v>13</v>
      </c>
      <c r="B64" s="30" t="s">
        <v>387</v>
      </c>
      <c r="C64" s="30" t="s">
        <v>176</v>
      </c>
      <c r="D64" s="27">
        <v>37505.333190327416</v>
      </c>
      <c r="E64" s="28">
        <v>33200.446365294774</v>
      </c>
      <c r="F64" s="27">
        <f t="shared" si="1"/>
        <v>4304.8868250326414</v>
      </c>
      <c r="G64" s="27">
        <f t="shared" si="0"/>
        <v>11.478065807832543</v>
      </c>
      <c r="H64" s="29">
        <v>150</v>
      </c>
      <c r="I64" s="29">
        <v>1</v>
      </c>
      <c r="J64" s="4" t="s">
        <v>29</v>
      </c>
      <c r="K64" s="30">
        <v>40.884120000000003</v>
      </c>
      <c r="L64" s="30">
        <v>71.971571666700001</v>
      </c>
      <c r="M64" s="14">
        <v>160</v>
      </c>
    </row>
    <row r="65" spans="1:13" ht="30" customHeight="1">
      <c r="A65" s="7" t="s">
        <v>13</v>
      </c>
      <c r="B65" s="30" t="s">
        <v>384</v>
      </c>
      <c r="C65" s="30" t="s">
        <v>111</v>
      </c>
      <c r="D65" s="27">
        <v>21085.410480327417</v>
      </c>
      <c r="E65" s="28">
        <v>18834.809698628113</v>
      </c>
      <c r="F65" s="27">
        <f t="shared" si="1"/>
        <v>2250.6007816993042</v>
      </c>
      <c r="G65" s="27">
        <f t="shared" si="0"/>
        <v>10.673734731411104</v>
      </c>
      <c r="H65" s="29">
        <v>65</v>
      </c>
      <c r="I65" s="29">
        <v>1</v>
      </c>
      <c r="J65" s="4" t="s">
        <v>29</v>
      </c>
      <c r="K65" s="30">
        <v>40.883293333300003</v>
      </c>
      <c r="L65" s="30">
        <v>71.964291666700007</v>
      </c>
      <c r="M65" s="14">
        <v>100</v>
      </c>
    </row>
    <row r="66" spans="1:13" ht="30" customHeight="1">
      <c r="A66" s="7" t="s">
        <v>13</v>
      </c>
      <c r="B66" s="30" t="s">
        <v>388</v>
      </c>
      <c r="C66" s="30" t="s">
        <v>177</v>
      </c>
      <c r="D66" s="27">
        <v>30151.636950327418</v>
      </c>
      <c r="E66" s="28">
        <v>26766.766365294778</v>
      </c>
      <c r="F66" s="27">
        <f t="shared" si="1"/>
        <v>3384.8705850326405</v>
      </c>
      <c r="G66" s="27">
        <f t="shared" si="0"/>
        <v>11.226158601634012</v>
      </c>
      <c r="H66" s="29">
        <v>91</v>
      </c>
      <c r="I66" s="29">
        <v>3</v>
      </c>
      <c r="J66" s="4" t="s">
        <v>29</v>
      </c>
      <c r="K66" s="30">
        <v>40.876348333300001</v>
      </c>
      <c r="L66" s="30">
        <v>71.981988333299995</v>
      </c>
      <c r="M66" s="14">
        <v>100</v>
      </c>
    </row>
    <row r="67" spans="1:13" ht="30" customHeight="1">
      <c r="A67" s="7" t="s">
        <v>13</v>
      </c>
      <c r="B67" s="30" t="s">
        <v>384</v>
      </c>
      <c r="C67" s="30" t="s">
        <v>110</v>
      </c>
      <c r="D67" s="27">
        <v>19106.153580327416</v>
      </c>
      <c r="E67" s="28">
        <v>17103.176365294777</v>
      </c>
      <c r="F67" s="27">
        <f t="shared" si="1"/>
        <v>2002.9772150326389</v>
      </c>
      <c r="G67" s="27">
        <f t="shared" ref="G67:G130" si="2">+F67*100/D67</f>
        <v>10.483414187013535</v>
      </c>
      <c r="H67" s="29">
        <v>77</v>
      </c>
      <c r="I67" s="29">
        <v>3</v>
      </c>
      <c r="J67" s="4" t="s">
        <v>29</v>
      </c>
      <c r="K67" s="30">
        <v>40.883031666699999</v>
      </c>
      <c r="L67" s="30">
        <v>71.961638333300002</v>
      </c>
      <c r="M67" s="14">
        <v>250</v>
      </c>
    </row>
    <row r="68" spans="1:13" ht="30" customHeight="1">
      <c r="A68" s="7" t="s">
        <v>13</v>
      </c>
      <c r="B68" s="30" t="s">
        <v>384</v>
      </c>
      <c r="C68" s="30" t="s">
        <v>119</v>
      </c>
      <c r="D68" s="27">
        <v>25616.605380327419</v>
      </c>
      <c r="E68" s="28">
        <v>22799.109698628108</v>
      </c>
      <c r="F68" s="27">
        <f t="shared" si="1"/>
        <v>2817.4956816993108</v>
      </c>
      <c r="G68" s="27">
        <f t="shared" si="2"/>
        <v>10.998708220188458</v>
      </c>
      <c r="H68" s="29">
        <v>80</v>
      </c>
      <c r="I68" s="29">
        <v>4</v>
      </c>
      <c r="J68" s="4" t="s">
        <v>28</v>
      </c>
      <c r="K68" s="30">
        <v>40.893335</v>
      </c>
      <c r="L68" s="30">
        <v>71.929253333299997</v>
      </c>
      <c r="M68" s="14">
        <v>160</v>
      </c>
    </row>
    <row r="69" spans="1:13" ht="30" customHeight="1">
      <c r="A69" s="7" t="s">
        <v>13</v>
      </c>
      <c r="B69" s="30" t="s">
        <v>384</v>
      </c>
      <c r="C69" s="30" t="s">
        <v>115</v>
      </c>
      <c r="D69" s="27">
        <v>22702.976460327416</v>
      </c>
      <c r="E69" s="28">
        <v>20250.003031961445</v>
      </c>
      <c r="F69" s="27">
        <f t="shared" ref="F69:F132" si="3">+D69-E69</f>
        <v>2452.9734283659709</v>
      </c>
      <c r="G69" s="27">
        <f t="shared" si="2"/>
        <v>10.804633624372769</v>
      </c>
      <c r="H69" s="29">
        <v>64</v>
      </c>
      <c r="I69" s="29">
        <v>1</v>
      </c>
      <c r="J69" s="4" t="s">
        <v>28</v>
      </c>
      <c r="K69" s="30">
        <v>40.891123333300001</v>
      </c>
      <c r="L69" s="30">
        <v>71.940986666699999</v>
      </c>
      <c r="M69" s="14">
        <v>100</v>
      </c>
    </row>
    <row r="70" spans="1:13" ht="30" customHeight="1">
      <c r="A70" s="7" t="s">
        <v>13</v>
      </c>
      <c r="B70" s="30" t="s">
        <v>384</v>
      </c>
      <c r="C70" s="30" t="s">
        <v>105</v>
      </c>
      <c r="D70" s="27">
        <v>18410.584740327417</v>
      </c>
      <c r="E70" s="28">
        <v>16494.629698628109</v>
      </c>
      <c r="F70" s="27">
        <f t="shared" si="3"/>
        <v>1915.9550416993079</v>
      </c>
      <c r="G70" s="27">
        <f t="shared" si="2"/>
        <v>10.406812541388266</v>
      </c>
      <c r="H70" s="29">
        <v>30</v>
      </c>
      <c r="I70" s="29">
        <v>2</v>
      </c>
      <c r="J70" s="6" t="s">
        <v>28</v>
      </c>
      <c r="K70" s="30">
        <v>40.880083115799998</v>
      </c>
      <c r="L70" s="30">
        <v>71.942641781600003</v>
      </c>
      <c r="M70" s="14">
        <v>250</v>
      </c>
    </row>
    <row r="71" spans="1:13" ht="30" customHeight="1">
      <c r="A71" s="7" t="s">
        <v>13</v>
      </c>
      <c r="B71" s="30" t="s">
        <v>384</v>
      </c>
      <c r="C71" s="30" t="s">
        <v>98</v>
      </c>
      <c r="D71" s="27">
        <v>20557.291140327412</v>
      </c>
      <c r="E71" s="28">
        <v>18372.763031961444</v>
      </c>
      <c r="F71" s="27">
        <f t="shared" si="3"/>
        <v>2184.5281083659684</v>
      </c>
      <c r="G71" s="27">
        <f t="shared" si="2"/>
        <v>10.62653680124499</v>
      </c>
      <c r="H71" s="29">
        <v>140</v>
      </c>
      <c r="I71" s="29">
        <v>2</v>
      </c>
      <c r="J71" s="6" t="s">
        <v>29</v>
      </c>
      <c r="K71" s="30">
        <v>40.874026666600002</v>
      </c>
      <c r="L71" s="30">
        <v>72.094549999700007</v>
      </c>
      <c r="M71" s="19">
        <v>100</v>
      </c>
    </row>
    <row r="72" spans="1:13" ht="30" customHeight="1">
      <c r="A72" s="5" t="s">
        <v>30</v>
      </c>
      <c r="B72" s="30" t="s">
        <v>386</v>
      </c>
      <c r="C72" s="30" t="s">
        <v>178</v>
      </c>
      <c r="D72" s="27">
        <v>20167.958670327418</v>
      </c>
      <c r="E72" s="28">
        <v>18032.139698628111</v>
      </c>
      <c r="F72" s="27">
        <f t="shared" si="3"/>
        <v>2135.8189716993074</v>
      </c>
      <c r="G72" s="27">
        <f t="shared" si="2"/>
        <v>10.590159403894859</v>
      </c>
      <c r="H72" s="29">
        <v>69</v>
      </c>
      <c r="I72" s="29">
        <v>2</v>
      </c>
      <c r="J72" s="6" t="s">
        <v>31</v>
      </c>
      <c r="K72" s="30">
        <v>40.875187246099998</v>
      </c>
      <c r="L72" s="30">
        <v>71.961364354899999</v>
      </c>
      <c r="M72" s="20">
        <v>60</v>
      </c>
    </row>
    <row r="73" spans="1:13" ht="30" customHeight="1">
      <c r="A73" s="5" t="s">
        <v>30</v>
      </c>
      <c r="B73" s="30" t="s">
        <v>384</v>
      </c>
      <c r="C73" s="30" t="s">
        <v>117</v>
      </c>
      <c r="D73" s="27">
        <v>18390.601290327417</v>
      </c>
      <c r="E73" s="28">
        <v>16477.146365294779</v>
      </c>
      <c r="F73" s="27">
        <f t="shared" si="3"/>
        <v>1913.4549250326381</v>
      </c>
      <c r="G73" s="27">
        <f t="shared" si="2"/>
        <v>10.404526175220951</v>
      </c>
      <c r="H73" s="29">
        <v>32</v>
      </c>
      <c r="I73" s="29">
        <v>1</v>
      </c>
      <c r="J73" s="3" t="s">
        <v>32</v>
      </c>
      <c r="K73" s="30">
        <v>40.876370000000001</v>
      </c>
      <c r="L73" s="30">
        <v>71.934290000000004</v>
      </c>
      <c r="M73" s="20">
        <v>100</v>
      </c>
    </row>
    <row r="74" spans="1:13" ht="30" customHeight="1">
      <c r="A74" s="5" t="s">
        <v>30</v>
      </c>
      <c r="B74" s="30" t="s">
        <v>387</v>
      </c>
      <c r="C74" s="30" t="s">
        <v>179</v>
      </c>
      <c r="D74" s="27">
        <v>15284.536890327414</v>
      </c>
      <c r="E74" s="28">
        <v>13759.67969862811</v>
      </c>
      <c r="F74" s="27">
        <f t="shared" si="3"/>
        <v>1524.8571916993042</v>
      </c>
      <c r="G74" s="27">
        <f t="shared" si="2"/>
        <v>9.9764697003301865</v>
      </c>
      <c r="H74" s="29">
        <v>114</v>
      </c>
      <c r="I74" s="29">
        <v>2</v>
      </c>
      <c r="J74" s="3" t="s">
        <v>32</v>
      </c>
      <c r="K74" s="30">
        <v>40.871744999999997</v>
      </c>
      <c r="L74" s="30">
        <v>71.974869999999996</v>
      </c>
      <c r="M74" s="20">
        <v>160</v>
      </c>
    </row>
    <row r="75" spans="1:13" ht="30" customHeight="1">
      <c r="A75" s="5" t="s">
        <v>30</v>
      </c>
      <c r="B75" s="30" t="s">
        <v>387</v>
      </c>
      <c r="C75" s="30" t="s">
        <v>180</v>
      </c>
      <c r="D75" s="27">
        <v>15513.616950327414</v>
      </c>
      <c r="E75" s="28">
        <v>13960.099698628108</v>
      </c>
      <c r="F75" s="27">
        <f t="shared" si="3"/>
        <v>1553.5172516993061</v>
      </c>
      <c r="G75" s="27">
        <f t="shared" si="2"/>
        <v>10.013894610608645</v>
      </c>
      <c r="H75" s="29">
        <v>16</v>
      </c>
      <c r="I75" s="29">
        <v>1</v>
      </c>
      <c r="J75" s="3" t="s">
        <v>32</v>
      </c>
      <c r="K75" s="30">
        <v>40.876070782500001</v>
      </c>
      <c r="L75" s="30">
        <v>71.971403360400004</v>
      </c>
      <c r="M75" s="20">
        <v>250</v>
      </c>
    </row>
    <row r="76" spans="1:13" ht="30" customHeight="1">
      <c r="A76" s="5" t="s">
        <v>30</v>
      </c>
      <c r="B76" s="30" t="s">
        <v>387</v>
      </c>
      <c r="C76" s="30" t="s">
        <v>181</v>
      </c>
      <c r="D76" s="27">
        <v>21273.837840327418</v>
      </c>
      <c r="E76" s="28">
        <v>18999.663031961445</v>
      </c>
      <c r="F76" s="27">
        <f t="shared" si="3"/>
        <v>2274.1748083659731</v>
      </c>
      <c r="G76" s="27">
        <f t="shared" si="2"/>
        <v>10.690007254144662</v>
      </c>
      <c r="H76" s="29">
        <v>65</v>
      </c>
      <c r="I76" s="29">
        <v>1</v>
      </c>
      <c r="J76" s="3" t="s">
        <v>34</v>
      </c>
      <c r="K76" s="30">
        <v>40.882694999999998</v>
      </c>
      <c r="L76" s="30">
        <v>71.966549999999998</v>
      </c>
      <c r="M76" s="20">
        <v>250</v>
      </c>
    </row>
    <row r="77" spans="1:13" ht="30" customHeight="1">
      <c r="A77" s="5" t="s">
        <v>30</v>
      </c>
      <c r="B77" s="30" t="s">
        <v>384</v>
      </c>
      <c r="C77" s="30" t="s">
        <v>104</v>
      </c>
      <c r="D77" s="27">
        <v>19280.407740327413</v>
      </c>
      <c r="E77" s="28">
        <v>17255.629698628109</v>
      </c>
      <c r="F77" s="27">
        <f t="shared" si="3"/>
        <v>2024.7780416993046</v>
      </c>
      <c r="G77" s="27">
        <f t="shared" si="2"/>
        <v>10.501738702673933</v>
      </c>
      <c r="H77" s="29">
        <v>100</v>
      </c>
      <c r="I77" s="29">
        <v>1</v>
      </c>
      <c r="J77" s="3" t="s">
        <v>34</v>
      </c>
      <c r="K77" s="30">
        <v>40.881264999999999</v>
      </c>
      <c r="L77" s="30">
        <v>71.952876666700007</v>
      </c>
      <c r="M77" s="20">
        <v>160</v>
      </c>
    </row>
    <row r="78" spans="1:13" ht="30" customHeight="1">
      <c r="A78" s="5" t="s">
        <v>30</v>
      </c>
      <c r="B78" s="30" t="s">
        <v>387</v>
      </c>
      <c r="C78" s="30" t="s">
        <v>182</v>
      </c>
      <c r="D78" s="27">
        <v>25418.851140327417</v>
      </c>
      <c r="E78" s="28">
        <v>22626.096365294779</v>
      </c>
      <c r="F78" s="27">
        <f t="shared" si="3"/>
        <v>2792.7547750326376</v>
      </c>
      <c r="G78" s="27">
        <f t="shared" si="2"/>
        <v>10.986943350094556</v>
      </c>
      <c r="H78" s="29">
        <v>98</v>
      </c>
      <c r="I78" s="29">
        <v>1</v>
      </c>
      <c r="J78" s="3" t="s">
        <v>35</v>
      </c>
      <c r="K78" s="30">
        <v>40.879336666500002</v>
      </c>
      <c r="L78" s="30">
        <v>71.986581666700005</v>
      </c>
      <c r="M78" s="20">
        <v>100</v>
      </c>
    </row>
    <row r="79" spans="1:13" ht="30" customHeight="1">
      <c r="A79" s="5" t="s">
        <v>30</v>
      </c>
      <c r="B79" s="30" t="s">
        <v>387</v>
      </c>
      <c r="C79" s="30" t="s">
        <v>183</v>
      </c>
      <c r="D79" s="27">
        <v>36810.457770327419</v>
      </c>
      <c r="E79" s="28">
        <v>32592.506365294779</v>
      </c>
      <c r="F79" s="27">
        <f t="shared" si="3"/>
        <v>4217.9514050326397</v>
      </c>
      <c r="G79" s="27">
        <f t="shared" si="2"/>
        <v>11.458568191001126</v>
      </c>
      <c r="H79" s="29">
        <v>109</v>
      </c>
      <c r="I79" s="29">
        <v>4</v>
      </c>
      <c r="J79" s="3" t="s">
        <v>36</v>
      </c>
      <c r="K79" s="30">
        <v>40.874789999999997</v>
      </c>
      <c r="L79" s="30">
        <v>71.973321666700002</v>
      </c>
      <c r="M79" s="20">
        <v>160</v>
      </c>
    </row>
    <row r="80" spans="1:13" ht="30" customHeight="1">
      <c r="A80" s="5" t="s">
        <v>30</v>
      </c>
      <c r="B80" s="30" t="s">
        <v>387</v>
      </c>
      <c r="C80" s="30" t="s">
        <v>184</v>
      </c>
      <c r="D80" s="27">
        <v>16864.433400327413</v>
      </c>
      <c r="E80" s="28">
        <v>15141.916365294775</v>
      </c>
      <c r="F80" s="27">
        <f t="shared" si="3"/>
        <v>1722.5170350326371</v>
      </c>
      <c r="G80" s="27">
        <f t="shared" si="2"/>
        <v>10.213903984459956</v>
      </c>
      <c r="H80" s="29">
        <v>59</v>
      </c>
      <c r="I80" s="29">
        <v>3</v>
      </c>
      <c r="J80" s="3" t="s">
        <v>37</v>
      </c>
      <c r="K80" s="30">
        <v>40.870626666699998</v>
      </c>
      <c r="L80" s="30">
        <v>72.030681666700005</v>
      </c>
      <c r="M80" s="20">
        <v>160</v>
      </c>
    </row>
    <row r="81" spans="1:13" ht="30" customHeight="1">
      <c r="A81" s="5" t="s">
        <v>30</v>
      </c>
      <c r="B81" s="30" t="s">
        <v>387</v>
      </c>
      <c r="C81" s="30" t="s">
        <v>185</v>
      </c>
      <c r="D81" s="27">
        <v>18141.027240327414</v>
      </c>
      <c r="E81" s="28">
        <v>16258.796365294776</v>
      </c>
      <c r="F81" s="27">
        <f t="shared" si="3"/>
        <v>1882.2308750326374</v>
      </c>
      <c r="G81" s="27">
        <f t="shared" si="2"/>
        <v>10.375547371697053</v>
      </c>
      <c r="H81" s="29">
        <v>97</v>
      </c>
      <c r="I81" s="29">
        <v>2</v>
      </c>
      <c r="J81" s="3" t="s">
        <v>38</v>
      </c>
      <c r="K81" s="30">
        <v>40.885669999999998</v>
      </c>
      <c r="L81" s="30">
        <v>71.975136666699996</v>
      </c>
      <c r="M81" s="20">
        <v>160</v>
      </c>
    </row>
    <row r="82" spans="1:13" ht="30" customHeight="1">
      <c r="A82" s="7" t="s">
        <v>13</v>
      </c>
      <c r="B82" s="30" t="s">
        <v>387</v>
      </c>
      <c r="C82" s="30" t="s">
        <v>186</v>
      </c>
      <c r="D82" s="27">
        <v>16261.89333032741</v>
      </c>
      <c r="E82" s="28">
        <v>14614.759698628108</v>
      </c>
      <c r="F82" s="27">
        <f t="shared" si="3"/>
        <v>1647.133631699302</v>
      </c>
      <c r="G82" s="27">
        <f t="shared" si="2"/>
        <v>10.128793728018749</v>
      </c>
      <c r="H82" s="29">
        <v>81</v>
      </c>
      <c r="I82" s="29">
        <v>4</v>
      </c>
      <c r="J82" s="3" t="s">
        <v>23</v>
      </c>
      <c r="K82" s="30">
        <v>40.875881666700003</v>
      </c>
      <c r="L82" s="30">
        <v>71.976506666700004</v>
      </c>
      <c r="M82" s="20">
        <v>63</v>
      </c>
    </row>
    <row r="83" spans="1:13" ht="30" customHeight="1">
      <c r="A83" s="5" t="s">
        <v>30</v>
      </c>
      <c r="B83" s="30" t="s">
        <v>389</v>
      </c>
      <c r="C83" s="30" t="s">
        <v>187</v>
      </c>
      <c r="D83" s="27">
        <v>21602.709420327417</v>
      </c>
      <c r="E83" s="28">
        <v>19287.389698628111</v>
      </c>
      <c r="F83" s="27">
        <f t="shared" si="3"/>
        <v>2315.3197216993067</v>
      </c>
      <c r="G83" s="27">
        <f t="shared" si="2"/>
        <v>10.717728395312623</v>
      </c>
      <c r="H83" s="29">
        <v>157</v>
      </c>
      <c r="I83" s="29">
        <v>2</v>
      </c>
      <c r="J83" s="3" t="s">
        <v>39</v>
      </c>
      <c r="K83" s="30">
        <v>40.876424999999998</v>
      </c>
      <c r="L83" s="30">
        <v>72.024273333300002</v>
      </c>
      <c r="M83" s="20">
        <v>100</v>
      </c>
    </row>
    <row r="84" spans="1:13" ht="30" customHeight="1">
      <c r="A84" s="7" t="s">
        <v>13</v>
      </c>
      <c r="B84" s="30" t="s">
        <v>387</v>
      </c>
      <c r="C84" s="30" t="s">
        <v>188</v>
      </c>
      <c r="D84" s="27">
        <v>17082.277770327411</v>
      </c>
      <c r="E84" s="28">
        <v>15332.506365294776</v>
      </c>
      <c r="F84" s="27">
        <f t="shared" si="3"/>
        <v>1749.7714050326358</v>
      </c>
      <c r="G84" s="27">
        <f t="shared" si="2"/>
        <v>10.243197239609682</v>
      </c>
      <c r="H84" s="29">
        <v>172</v>
      </c>
      <c r="I84" s="29">
        <v>2</v>
      </c>
      <c r="J84" s="3"/>
      <c r="K84" s="30">
        <v>40.870156999999999</v>
      </c>
      <c r="L84" s="30">
        <v>71.971063000000001</v>
      </c>
      <c r="M84" s="20">
        <v>100</v>
      </c>
    </row>
    <row r="85" spans="1:13" ht="30" customHeight="1">
      <c r="A85" s="7" t="s">
        <v>13</v>
      </c>
      <c r="B85" s="30" t="s">
        <v>388</v>
      </c>
      <c r="C85" s="30" t="s">
        <v>189</v>
      </c>
      <c r="D85" s="27">
        <v>18605.066190327416</v>
      </c>
      <c r="E85" s="28">
        <v>16664.77969862811</v>
      </c>
      <c r="F85" s="27">
        <f t="shared" si="3"/>
        <v>1940.2864916993058</v>
      </c>
      <c r="G85" s="27">
        <f t="shared" si="2"/>
        <v>10.428807249866388</v>
      </c>
      <c r="H85" s="29">
        <v>78</v>
      </c>
      <c r="I85" s="29">
        <v>2</v>
      </c>
      <c r="J85" s="3"/>
      <c r="K85" s="30">
        <v>40.8745966667</v>
      </c>
      <c r="L85" s="30">
        <v>71.988754999999998</v>
      </c>
      <c r="M85" s="20">
        <v>160</v>
      </c>
    </row>
    <row r="86" spans="1:13" ht="30" customHeight="1">
      <c r="A86" s="7" t="s">
        <v>13</v>
      </c>
      <c r="B86" s="30" t="s">
        <v>389</v>
      </c>
      <c r="C86" s="30" t="s">
        <v>190</v>
      </c>
      <c r="D86" s="27">
        <v>17572.960050327412</v>
      </c>
      <c r="E86" s="28">
        <v>15761.79969862811</v>
      </c>
      <c r="F86" s="27">
        <f t="shared" si="3"/>
        <v>1811.1603516993018</v>
      </c>
      <c r="G86" s="27">
        <f t="shared" si="2"/>
        <v>10.30651834700755</v>
      </c>
      <c r="H86" s="29">
        <v>60</v>
      </c>
      <c r="I86" s="29">
        <v>2</v>
      </c>
      <c r="J86" s="4"/>
      <c r="K86" s="30">
        <v>40.878901666700003</v>
      </c>
      <c r="L86" s="30">
        <v>72.031078333300002</v>
      </c>
      <c r="M86" s="20">
        <v>250</v>
      </c>
    </row>
    <row r="87" spans="1:13" ht="30" customHeight="1">
      <c r="A87" s="7" t="s">
        <v>13</v>
      </c>
      <c r="B87" s="30" t="s">
        <v>389</v>
      </c>
      <c r="C87" s="30" t="s">
        <v>191</v>
      </c>
      <c r="D87" s="27">
        <v>16188.764190327413</v>
      </c>
      <c r="E87" s="28">
        <v>14550.779698628108</v>
      </c>
      <c r="F87" s="27">
        <f t="shared" si="3"/>
        <v>1637.9844916993043</v>
      </c>
      <c r="G87" s="27">
        <f t="shared" si="2"/>
        <v>10.118032929764828</v>
      </c>
      <c r="H87" s="29">
        <v>39</v>
      </c>
      <c r="I87" s="29">
        <v>1</v>
      </c>
      <c r="J87" s="4"/>
      <c r="K87" s="30">
        <v>40.877465000000001</v>
      </c>
      <c r="L87" s="30">
        <v>72.08811</v>
      </c>
      <c r="M87" s="20">
        <v>100</v>
      </c>
    </row>
    <row r="88" spans="1:13" ht="30" customHeight="1">
      <c r="A88" s="7" t="s">
        <v>13</v>
      </c>
      <c r="B88" s="30" t="s">
        <v>389</v>
      </c>
      <c r="C88" s="30" t="s">
        <v>192</v>
      </c>
      <c r="D88" s="27">
        <v>16067.601800327413</v>
      </c>
      <c r="E88" s="28">
        <v>14222.419365294774</v>
      </c>
      <c r="F88" s="27">
        <f t="shared" si="3"/>
        <v>1845.1824350326388</v>
      </c>
      <c r="G88" s="27">
        <f t="shared" si="2"/>
        <v>11.483869577817387</v>
      </c>
      <c r="H88" s="29">
        <v>95</v>
      </c>
      <c r="I88" s="29">
        <v>3</v>
      </c>
      <c r="J88" s="4"/>
      <c r="K88" s="30">
        <v>40.875194999999998</v>
      </c>
      <c r="L88" s="30">
        <v>72.038955000000001</v>
      </c>
      <c r="M88" s="20">
        <v>100</v>
      </c>
    </row>
    <row r="89" spans="1:13" ht="30" customHeight="1">
      <c r="A89" s="7" t="s">
        <v>13</v>
      </c>
      <c r="B89" s="30" t="s">
        <v>389</v>
      </c>
      <c r="C89" s="30" t="s">
        <v>193</v>
      </c>
      <c r="D89" s="27">
        <v>13225.568650327412</v>
      </c>
      <c r="E89" s="28">
        <v>11744.92419862811</v>
      </c>
      <c r="F89" s="27">
        <f t="shared" si="3"/>
        <v>1480.6444516993015</v>
      </c>
      <c r="G89" s="27">
        <f t="shared" si="2"/>
        <v>11.195317878922708</v>
      </c>
      <c r="H89" s="29">
        <v>77</v>
      </c>
      <c r="I89" s="29">
        <v>1</v>
      </c>
      <c r="J89" s="4" t="s">
        <v>14</v>
      </c>
      <c r="K89" s="30">
        <v>40.879893333299997</v>
      </c>
      <c r="L89" s="30">
        <v>72.067336666700001</v>
      </c>
      <c r="M89" s="20">
        <v>250</v>
      </c>
    </row>
    <row r="90" spans="1:13" ht="30" customHeight="1">
      <c r="A90" s="7" t="s">
        <v>13</v>
      </c>
      <c r="B90" s="30" t="s">
        <v>389</v>
      </c>
      <c r="C90" s="30" t="s">
        <v>194</v>
      </c>
      <c r="D90" s="27">
        <v>21821.746320327416</v>
      </c>
      <c r="E90" s="28">
        <v>19479.023031961446</v>
      </c>
      <c r="F90" s="27">
        <f t="shared" si="3"/>
        <v>2342.7232883659708</v>
      </c>
      <c r="G90" s="27">
        <f t="shared" si="2"/>
        <v>10.735727810123404</v>
      </c>
      <c r="H90" s="29">
        <v>83</v>
      </c>
      <c r="I90" s="29">
        <v>1</v>
      </c>
      <c r="J90" s="4" t="s">
        <v>24</v>
      </c>
      <c r="K90" s="30">
        <v>40.878976666699998</v>
      </c>
      <c r="L90" s="30">
        <v>72.029004999999998</v>
      </c>
      <c r="M90" s="14">
        <v>250</v>
      </c>
    </row>
    <row r="91" spans="1:13" ht="30" customHeight="1">
      <c r="A91" s="7" t="s">
        <v>13</v>
      </c>
      <c r="B91" s="30" t="s">
        <v>384</v>
      </c>
      <c r="C91" s="30" t="s">
        <v>121</v>
      </c>
      <c r="D91" s="27">
        <v>19002.888420327414</v>
      </c>
      <c r="E91" s="28">
        <v>16794.318198628112</v>
      </c>
      <c r="F91" s="27">
        <f t="shared" si="3"/>
        <v>2208.5702216993013</v>
      </c>
      <c r="G91" s="27">
        <f t="shared" si="2"/>
        <v>11.622286953686425</v>
      </c>
      <c r="H91" s="29">
        <v>129</v>
      </c>
      <c r="I91" s="29">
        <v>2</v>
      </c>
      <c r="J91" s="4" t="s">
        <v>23</v>
      </c>
      <c r="K91" s="30">
        <v>40.881158094900002</v>
      </c>
      <c r="L91" s="30">
        <v>71.960061555699994</v>
      </c>
      <c r="M91" s="14">
        <v>250</v>
      </c>
    </row>
    <row r="92" spans="1:13" ht="30" customHeight="1">
      <c r="A92" s="7" t="s">
        <v>13</v>
      </c>
      <c r="B92" s="30" t="s">
        <v>388</v>
      </c>
      <c r="C92" s="30" t="s">
        <v>195</v>
      </c>
      <c r="D92" s="27">
        <v>18511.154480327412</v>
      </c>
      <c r="E92" s="28">
        <v>16362.822531961445</v>
      </c>
      <c r="F92" s="27">
        <f t="shared" si="3"/>
        <v>2148.331948365967</v>
      </c>
      <c r="G92" s="27">
        <f t="shared" si="2"/>
        <v>11.605607584600357</v>
      </c>
      <c r="H92" s="29">
        <v>98</v>
      </c>
      <c r="I92" s="29">
        <v>3</v>
      </c>
      <c r="J92" s="4" t="s">
        <v>40</v>
      </c>
      <c r="K92" s="30">
        <v>40.880791666699999</v>
      </c>
      <c r="L92" s="30">
        <v>72.024038333299998</v>
      </c>
      <c r="M92" s="14">
        <v>160</v>
      </c>
    </row>
    <row r="93" spans="1:13" ht="30" customHeight="1">
      <c r="A93" s="7" t="s">
        <v>13</v>
      </c>
      <c r="B93" s="30" t="s">
        <v>389</v>
      </c>
      <c r="C93" s="30" t="s">
        <v>196</v>
      </c>
      <c r="D93" s="27">
        <v>19007.93036032742</v>
      </c>
      <c r="E93" s="28">
        <v>16780.806365294782</v>
      </c>
      <c r="F93" s="27">
        <f t="shared" si="3"/>
        <v>2227.123995032638</v>
      </c>
      <c r="G93" s="27">
        <f t="shared" si="2"/>
        <v>11.716814786322034</v>
      </c>
      <c r="H93" s="29">
        <v>99</v>
      </c>
      <c r="I93" s="29">
        <v>2</v>
      </c>
      <c r="J93" s="4" t="s">
        <v>23</v>
      </c>
      <c r="K93" s="30">
        <v>40.880018333300001</v>
      </c>
      <c r="L93" s="30">
        <v>72.078343333299998</v>
      </c>
      <c r="M93" s="14">
        <v>100</v>
      </c>
    </row>
    <row r="94" spans="1:13" ht="30" customHeight="1">
      <c r="A94" s="7" t="s">
        <v>13</v>
      </c>
      <c r="B94" s="30" t="s">
        <v>387</v>
      </c>
      <c r="C94" s="30" t="s">
        <v>197</v>
      </c>
      <c r="D94" s="27">
        <v>22744.08128032742</v>
      </c>
      <c r="E94" s="28">
        <v>19968.346365294776</v>
      </c>
      <c r="F94" s="27">
        <f t="shared" si="3"/>
        <v>2775.7349150326445</v>
      </c>
      <c r="G94" s="27">
        <f t="shared" si="2"/>
        <v>12.204207682961137</v>
      </c>
      <c r="H94" s="29">
        <v>154</v>
      </c>
      <c r="I94" s="29">
        <v>2</v>
      </c>
      <c r="J94" s="3" t="s">
        <v>14</v>
      </c>
      <c r="K94" s="30">
        <v>40.878603333299999</v>
      </c>
      <c r="L94" s="30">
        <v>71.966620000000006</v>
      </c>
      <c r="M94" s="14">
        <v>100</v>
      </c>
    </row>
    <row r="95" spans="1:13" ht="30" customHeight="1">
      <c r="A95" s="7" t="s">
        <v>13</v>
      </c>
      <c r="B95" s="30" t="s">
        <v>390</v>
      </c>
      <c r="C95" s="30" t="s">
        <v>198</v>
      </c>
      <c r="D95" s="27">
        <v>14040.305120327412</v>
      </c>
      <c r="E95" s="28">
        <v>12214.059698628109</v>
      </c>
      <c r="F95" s="27">
        <f t="shared" si="3"/>
        <v>1826.2454216993028</v>
      </c>
      <c r="G95" s="27">
        <f t="shared" si="2"/>
        <v>13.007163349002177</v>
      </c>
      <c r="H95" s="29">
        <v>101</v>
      </c>
      <c r="I95" s="29">
        <v>3</v>
      </c>
      <c r="J95" s="5" t="s">
        <v>40</v>
      </c>
      <c r="K95" s="30">
        <v>40.858133333300003</v>
      </c>
      <c r="L95" s="30">
        <v>72.060698333299996</v>
      </c>
      <c r="M95" s="14">
        <v>100</v>
      </c>
    </row>
    <row r="96" spans="1:13" ht="30" customHeight="1">
      <c r="A96" s="7" t="s">
        <v>13</v>
      </c>
      <c r="B96" s="30" t="s">
        <v>389</v>
      </c>
      <c r="C96" s="30" t="s">
        <v>199</v>
      </c>
      <c r="D96" s="27">
        <v>10978.166630327414</v>
      </c>
      <c r="E96" s="28">
        <v>9442.1296986281086</v>
      </c>
      <c r="F96" s="27">
        <f t="shared" si="3"/>
        <v>1536.0369316993056</v>
      </c>
      <c r="G96" s="27">
        <f t="shared" si="2"/>
        <v>13.991743643751693</v>
      </c>
      <c r="H96" s="29">
        <v>68</v>
      </c>
      <c r="I96" s="29">
        <v>3</v>
      </c>
      <c r="J96" s="5" t="s">
        <v>40</v>
      </c>
      <c r="K96" s="30">
        <v>40.879048333299998</v>
      </c>
      <c r="L96" s="30">
        <v>72.052588333299994</v>
      </c>
      <c r="M96" s="14">
        <v>100</v>
      </c>
    </row>
    <row r="97" spans="1:13" ht="30" customHeight="1">
      <c r="A97" s="7" t="s">
        <v>13</v>
      </c>
      <c r="B97" s="30" t="s">
        <v>388</v>
      </c>
      <c r="C97" s="30" t="s">
        <v>200</v>
      </c>
      <c r="D97" s="27">
        <v>16464.69344032741</v>
      </c>
      <c r="E97" s="28">
        <v>14578.163031961443</v>
      </c>
      <c r="F97" s="27">
        <f t="shared" si="3"/>
        <v>1886.5304083659667</v>
      </c>
      <c r="G97" s="27">
        <f t="shared" si="2"/>
        <v>11.45803543323338</v>
      </c>
      <c r="H97" s="29">
        <v>62</v>
      </c>
      <c r="I97" s="29">
        <v>1</v>
      </c>
      <c r="J97" s="5"/>
      <c r="K97" s="30">
        <v>40.877659999999999</v>
      </c>
      <c r="L97" s="30">
        <v>72.015798333299998</v>
      </c>
      <c r="M97" s="14">
        <v>160</v>
      </c>
    </row>
    <row r="98" spans="1:13" ht="30" customHeight="1">
      <c r="A98" s="7" t="s">
        <v>13</v>
      </c>
      <c r="B98" s="30" t="s">
        <v>389</v>
      </c>
      <c r="C98" s="30" t="s">
        <v>201</v>
      </c>
      <c r="D98" s="27">
        <v>13030.804130327417</v>
      </c>
      <c r="E98" s="28">
        <v>11706.597865294774</v>
      </c>
      <c r="F98" s="27">
        <f t="shared" si="3"/>
        <v>1324.2062650326425</v>
      </c>
      <c r="G98" s="27">
        <f t="shared" si="2"/>
        <v>10.162122396964998</v>
      </c>
      <c r="H98" s="29">
        <v>20</v>
      </c>
      <c r="I98" s="29">
        <v>1</v>
      </c>
      <c r="J98" s="5" t="s">
        <v>14</v>
      </c>
      <c r="K98" s="30">
        <v>40.877465000000001</v>
      </c>
      <c r="L98" s="30">
        <v>72.08811</v>
      </c>
      <c r="M98" s="14">
        <v>160</v>
      </c>
    </row>
    <row r="99" spans="1:13" ht="30" customHeight="1">
      <c r="A99" s="7" t="s">
        <v>13</v>
      </c>
      <c r="B99" s="30" t="s">
        <v>389</v>
      </c>
      <c r="C99" s="30" t="s">
        <v>202</v>
      </c>
      <c r="D99" s="27">
        <v>17489.346390327413</v>
      </c>
      <c r="E99" s="28">
        <v>15610.540365294775</v>
      </c>
      <c r="F99" s="27">
        <f t="shared" si="3"/>
        <v>1878.806025032638</v>
      </c>
      <c r="G99" s="27">
        <f t="shared" si="2"/>
        <v>10.742574268365585</v>
      </c>
      <c r="H99" s="29">
        <v>81</v>
      </c>
      <c r="I99" s="29">
        <v>2</v>
      </c>
      <c r="J99" s="5" t="s">
        <v>23</v>
      </c>
      <c r="K99" s="30">
        <v>40.875548333300003</v>
      </c>
      <c r="L99" s="30">
        <v>72.079404999999994</v>
      </c>
      <c r="M99" s="19">
        <v>160</v>
      </c>
    </row>
    <row r="100" spans="1:13" ht="30" customHeight="1">
      <c r="A100" s="7" t="s">
        <v>13</v>
      </c>
      <c r="B100" s="30" t="s">
        <v>389</v>
      </c>
      <c r="C100" s="30" t="s">
        <v>203</v>
      </c>
      <c r="D100" s="27">
        <v>13683.168550327413</v>
      </c>
      <c r="E100" s="28">
        <v>12143.350698628108</v>
      </c>
      <c r="F100" s="27">
        <f t="shared" si="3"/>
        <v>1539.8178516993048</v>
      </c>
      <c r="G100" s="27">
        <f t="shared" si="2"/>
        <v>11.253371951355959</v>
      </c>
      <c r="H100" s="29">
        <v>45</v>
      </c>
      <c r="I100" s="29">
        <v>2</v>
      </c>
      <c r="J100" s="12" t="s">
        <v>15</v>
      </c>
      <c r="K100" s="30">
        <v>40.883151666700002</v>
      </c>
      <c r="L100" s="30">
        <v>72.085181666699995</v>
      </c>
      <c r="M100" s="20">
        <v>63</v>
      </c>
    </row>
    <row r="101" spans="1:13" ht="30" customHeight="1">
      <c r="A101" s="7" t="s">
        <v>13</v>
      </c>
      <c r="B101" s="30" t="s">
        <v>390</v>
      </c>
      <c r="C101" s="30" t="s">
        <v>204</v>
      </c>
      <c r="D101" s="27">
        <v>15312.156710327414</v>
      </c>
      <c r="E101" s="28">
        <v>13565.972698628109</v>
      </c>
      <c r="F101" s="27">
        <f t="shared" si="3"/>
        <v>1746.1840116993044</v>
      </c>
      <c r="G101" s="27">
        <f t="shared" si="2"/>
        <v>11.403906351882982</v>
      </c>
      <c r="H101" s="29">
        <v>72</v>
      </c>
      <c r="I101" s="29">
        <v>2</v>
      </c>
      <c r="J101" s="12" t="s">
        <v>17</v>
      </c>
      <c r="K101" s="30">
        <v>40.858853333299997</v>
      </c>
      <c r="L101" s="30">
        <v>72.0770083333</v>
      </c>
      <c r="M101" s="20">
        <v>400</v>
      </c>
    </row>
    <row r="102" spans="1:13" ht="30" customHeight="1">
      <c r="A102" s="7" t="s">
        <v>13</v>
      </c>
      <c r="B102" s="30" t="s">
        <v>390</v>
      </c>
      <c r="C102" s="30" t="s">
        <v>205</v>
      </c>
      <c r="D102" s="27">
        <v>13412.299080327415</v>
      </c>
      <c r="E102" s="28">
        <v>12121.676365294776</v>
      </c>
      <c r="F102" s="27">
        <f t="shared" si="3"/>
        <v>1290.6227150326395</v>
      </c>
      <c r="G102" s="27">
        <f t="shared" si="2"/>
        <v>9.6226807000275549</v>
      </c>
      <c r="H102" s="29">
        <v>15</v>
      </c>
      <c r="I102" s="29">
        <v>1</v>
      </c>
      <c r="J102" s="12" t="s">
        <v>17</v>
      </c>
      <c r="K102" s="30">
        <v>40.874026666600002</v>
      </c>
      <c r="L102" s="30">
        <v>72.094549999700007</v>
      </c>
      <c r="M102" s="20">
        <v>320</v>
      </c>
    </row>
    <row r="103" spans="1:13" ht="30" customHeight="1">
      <c r="A103" s="7" t="s">
        <v>13</v>
      </c>
      <c r="B103" s="30" t="s">
        <v>387</v>
      </c>
      <c r="C103" s="30" t="s">
        <v>206</v>
      </c>
      <c r="D103" s="27">
        <v>22552.09412032742</v>
      </c>
      <c r="E103" s="28">
        <v>19902.049531961446</v>
      </c>
      <c r="F103" s="27">
        <f t="shared" si="3"/>
        <v>2650.0445883659741</v>
      </c>
      <c r="G103" s="27">
        <f t="shared" si="2"/>
        <v>11.750769459486007</v>
      </c>
      <c r="H103" s="29">
        <v>154</v>
      </c>
      <c r="I103" s="29">
        <v>4</v>
      </c>
      <c r="J103" s="12" t="s">
        <v>17</v>
      </c>
      <c r="K103" s="30">
        <v>40.876869999999997</v>
      </c>
      <c r="L103" s="30">
        <v>71.973841666699997</v>
      </c>
      <c r="M103" s="20">
        <v>160</v>
      </c>
    </row>
    <row r="104" spans="1:13" ht="30" customHeight="1">
      <c r="A104" s="7" t="s">
        <v>13</v>
      </c>
      <c r="B104" s="30" t="s">
        <v>391</v>
      </c>
      <c r="C104" s="30" t="s">
        <v>207</v>
      </c>
      <c r="D104" s="27">
        <v>15723.651450327412</v>
      </c>
      <c r="E104" s="28">
        <v>13919.574365294779</v>
      </c>
      <c r="F104" s="27">
        <f t="shared" si="3"/>
        <v>1804.0770850326335</v>
      </c>
      <c r="G104" s="27">
        <f t="shared" si="2"/>
        <v>11.473652228503624</v>
      </c>
      <c r="H104" s="29">
        <v>68</v>
      </c>
      <c r="I104" s="29">
        <v>1</v>
      </c>
      <c r="J104" s="12" t="s">
        <v>17</v>
      </c>
      <c r="K104" s="30">
        <v>40.849305000000001</v>
      </c>
      <c r="L104" s="30">
        <v>72.038023333300004</v>
      </c>
      <c r="M104" s="20">
        <v>100</v>
      </c>
    </row>
    <row r="105" spans="1:13" ht="30" customHeight="1">
      <c r="A105" s="7" t="s">
        <v>13</v>
      </c>
      <c r="B105" s="30" t="s">
        <v>391</v>
      </c>
      <c r="C105" s="30" t="s">
        <v>208</v>
      </c>
      <c r="D105" s="27">
        <v>18990.562520327418</v>
      </c>
      <c r="E105" s="28">
        <v>16776.482031961445</v>
      </c>
      <c r="F105" s="27">
        <f t="shared" si="3"/>
        <v>2214.080488365973</v>
      </c>
      <c r="G105" s="27">
        <f t="shared" si="2"/>
        <v>11.658846261115386</v>
      </c>
      <c r="H105" s="29">
        <v>116</v>
      </c>
      <c r="I105" s="29">
        <v>9</v>
      </c>
      <c r="J105" s="12" t="s">
        <v>17</v>
      </c>
      <c r="K105" s="30">
        <v>40.848043333299998</v>
      </c>
      <c r="L105" s="30">
        <v>72.060901666700005</v>
      </c>
      <c r="M105" s="20">
        <v>160</v>
      </c>
    </row>
    <row r="106" spans="1:13" ht="30" customHeight="1">
      <c r="A106" s="7" t="s">
        <v>13</v>
      </c>
      <c r="B106" s="30" t="s">
        <v>387</v>
      </c>
      <c r="C106" s="30" t="s">
        <v>209</v>
      </c>
      <c r="D106" s="27">
        <v>21020.777520327418</v>
      </c>
      <c r="E106" s="28">
        <v>18544.363531961444</v>
      </c>
      <c r="F106" s="27">
        <f t="shared" si="3"/>
        <v>2476.4139883659736</v>
      </c>
      <c r="G106" s="27">
        <f t="shared" si="2"/>
        <v>11.78079158095481</v>
      </c>
      <c r="H106" s="29">
        <v>97</v>
      </c>
      <c r="I106" s="29">
        <v>1</v>
      </c>
      <c r="J106" s="12" t="s">
        <v>17</v>
      </c>
      <c r="K106" s="30">
        <v>40.8855233333</v>
      </c>
      <c r="L106" s="30">
        <v>71.964566666699994</v>
      </c>
      <c r="M106" s="20">
        <v>400</v>
      </c>
    </row>
    <row r="107" spans="1:13" ht="30" customHeight="1">
      <c r="A107" s="7" t="s">
        <v>13</v>
      </c>
      <c r="B107" s="30" t="s">
        <v>390</v>
      </c>
      <c r="C107" s="30" t="s">
        <v>210</v>
      </c>
      <c r="D107" s="27">
        <v>13785.515370327417</v>
      </c>
      <c r="E107" s="28">
        <v>12111.076365294775</v>
      </c>
      <c r="F107" s="27">
        <f t="shared" si="3"/>
        <v>1674.4390050326419</v>
      </c>
      <c r="G107" s="27">
        <f t="shared" si="2"/>
        <v>12.146364934870567</v>
      </c>
      <c r="H107" s="29">
        <v>120</v>
      </c>
      <c r="I107" s="29">
        <v>2</v>
      </c>
      <c r="J107" s="12" t="s">
        <v>19</v>
      </c>
      <c r="K107" s="30">
        <v>40.867975000000001</v>
      </c>
      <c r="L107" s="30">
        <v>72.100838333300004</v>
      </c>
      <c r="M107" s="20">
        <v>160</v>
      </c>
    </row>
    <row r="108" spans="1:13" ht="30" customHeight="1">
      <c r="A108" s="7" t="s">
        <v>13</v>
      </c>
      <c r="B108" s="30" t="s">
        <v>390</v>
      </c>
      <c r="C108" s="30" t="s">
        <v>211</v>
      </c>
      <c r="D108" s="27">
        <v>16781.049910327412</v>
      </c>
      <c r="E108" s="28">
        <v>14872.789698628112</v>
      </c>
      <c r="F108" s="27">
        <f t="shared" si="3"/>
        <v>1908.2602116993003</v>
      </c>
      <c r="G108" s="27">
        <f t="shared" si="2"/>
        <v>11.371518599232081</v>
      </c>
      <c r="H108" s="29">
        <v>82</v>
      </c>
      <c r="I108" s="29">
        <v>3</v>
      </c>
      <c r="J108" s="12" t="s">
        <v>21</v>
      </c>
      <c r="K108" s="30">
        <v>40.872354999999999</v>
      </c>
      <c r="L108" s="30">
        <v>72.101595000000003</v>
      </c>
      <c r="M108" s="20">
        <v>100</v>
      </c>
    </row>
    <row r="109" spans="1:13" ht="30" customHeight="1">
      <c r="A109" s="7" t="s">
        <v>13</v>
      </c>
      <c r="B109" s="30" t="s">
        <v>390</v>
      </c>
      <c r="C109" s="30" t="s">
        <v>212</v>
      </c>
      <c r="D109" s="27">
        <v>12269.602080327411</v>
      </c>
      <c r="E109" s="28">
        <v>10664.713031961444</v>
      </c>
      <c r="F109" s="27">
        <f t="shared" si="3"/>
        <v>1604.889048365967</v>
      </c>
      <c r="G109" s="27">
        <f t="shared" si="2"/>
        <v>13.080204540122631</v>
      </c>
      <c r="H109" s="29">
        <v>121</v>
      </c>
      <c r="I109" s="29">
        <v>2</v>
      </c>
      <c r="J109" s="12" t="s">
        <v>21</v>
      </c>
      <c r="K109" s="30">
        <v>40.874026666600002</v>
      </c>
      <c r="L109" s="30">
        <v>72.094549999700007</v>
      </c>
      <c r="M109" s="20">
        <v>100</v>
      </c>
    </row>
    <row r="110" spans="1:13" ht="30" customHeight="1">
      <c r="A110" s="7" t="s">
        <v>13</v>
      </c>
      <c r="B110" s="30" t="s">
        <v>387</v>
      </c>
      <c r="C110" s="30" t="s">
        <v>213</v>
      </c>
      <c r="D110" s="27">
        <v>15352.051550327415</v>
      </c>
      <c r="E110" s="28">
        <v>13702.814865294777</v>
      </c>
      <c r="F110" s="27">
        <f t="shared" si="3"/>
        <v>1649.236685032638</v>
      </c>
      <c r="G110" s="27">
        <f t="shared" si="2"/>
        <v>10.742777143667579</v>
      </c>
      <c r="H110" s="29">
        <v>32</v>
      </c>
      <c r="I110" s="29">
        <v>1</v>
      </c>
      <c r="J110" s="12" t="s">
        <v>21</v>
      </c>
      <c r="K110" s="30">
        <v>40.887851666700001</v>
      </c>
      <c r="L110" s="30">
        <v>71.969193333299998</v>
      </c>
      <c r="M110" s="20">
        <v>160</v>
      </c>
    </row>
    <row r="111" spans="1:13" ht="30" customHeight="1">
      <c r="A111" s="5" t="s">
        <v>30</v>
      </c>
      <c r="B111" s="30" t="s">
        <v>389</v>
      </c>
      <c r="C111" s="30" t="s">
        <v>214</v>
      </c>
      <c r="D111" s="27">
        <v>18849.210650327415</v>
      </c>
      <c r="E111" s="28">
        <v>16739.366198628111</v>
      </c>
      <c r="F111" s="27">
        <f t="shared" si="3"/>
        <v>2109.844451699304</v>
      </c>
      <c r="G111" s="27">
        <f t="shared" si="2"/>
        <v>11.19327748434206</v>
      </c>
      <c r="H111" s="29">
        <v>106</v>
      </c>
      <c r="I111" s="29">
        <v>3</v>
      </c>
      <c r="J111" s="12" t="s">
        <v>41</v>
      </c>
      <c r="K111" s="30">
        <v>40.877478333299997</v>
      </c>
      <c r="L111" s="30">
        <v>72.076426666700002</v>
      </c>
      <c r="M111" s="20">
        <v>250</v>
      </c>
    </row>
    <row r="112" spans="1:13" ht="30" customHeight="1">
      <c r="A112" s="5" t="s">
        <v>30</v>
      </c>
      <c r="B112" s="30" t="s">
        <v>390</v>
      </c>
      <c r="C112" s="30" t="s">
        <v>215</v>
      </c>
      <c r="D112" s="27">
        <v>16337.070120327415</v>
      </c>
      <c r="E112" s="28">
        <v>14469.712198628109</v>
      </c>
      <c r="F112" s="27">
        <f t="shared" si="3"/>
        <v>1867.3579216993057</v>
      </c>
      <c r="G112" s="27">
        <f t="shared" si="2"/>
        <v>11.430188570812609</v>
      </c>
      <c r="H112" s="29">
        <v>94</v>
      </c>
      <c r="I112" s="29">
        <v>3</v>
      </c>
      <c r="J112" s="12" t="s">
        <v>37</v>
      </c>
      <c r="K112" s="30">
        <v>40.870533333300003</v>
      </c>
      <c r="L112" s="30">
        <v>72.120976666700003</v>
      </c>
      <c r="M112" s="20">
        <v>100</v>
      </c>
    </row>
    <row r="113" spans="1:13" ht="30" customHeight="1">
      <c r="A113" s="5" t="s">
        <v>30</v>
      </c>
      <c r="B113" s="30" t="s">
        <v>390</v>
      </c>
      <c r="C113" s="30" t="s">
        <v>216</v>
      </c>
      <c r="D113" s="27">
        <v>12956.941780327415</v>
      </c>
      <c r="E113" s="28">
        <v>11274.179698628108</v>
      </c>
      <c r="F113" s="27">
        <f t="shared" si="3"/>
        <v>1682.7620816993076</v>
      </c>
      <c r="G113" s="27">
        <f t="shared" si="2"/>
        <v>12.987339992946893</v>
      </c>
      <c r="H113" s="29">
        <v>51</v>
      </c>
      <c r="I113" s="29">
        <v>3</v>
      </c>
      <c r="J113" s="12" t="s">
        <v>33</v>
      </c>
      <c r="K113" s="30">
        <v>40.859666666700001</v>
      </c>
      <c r="L113" s="30">
        <v>72.121076666700006</v>
      </c>
      <c r="M113" s="20">
        <v>63</v>
      </c>
    </row>
    <row r="114" spans="1:13" ht="30" customHeight="1">
      <c r="A114" s="5" t="s">
        <v>30</v>
      </c>
      <c r="B114" s="30" t="s">
        <v>390</v>
      </c>
      <c r="C114" s="30" t="s">
        <v>217</v>
      </c>
      <c r="D114" s="27">
        <v>12161.347570327413</v>
      </c>
      <c r="E114" s="28">
        <v>10808.077031961444</v>
      </c>
      <c r="F114" s="27">
        <f t="shared" si="3"/>
        <v>1353.2705383659686</v>
      </c>
      <c r="G114" s="27">
        <f t="shared" si="2"/>
        <v>11.127636395063869</v>
      </c>
      <c r="H114" s="29">
        <v>41</v>
      </c>
      <c r="I114" s="29">
        <v>1</v>
      </c>
      <c r="J114" s="12" t="s">
        <v>17</v>
      </c>
      <c r="K114" s="30">
        <v>40.8576716667</v>
      </c>
      <c r="L114" s="30">
        <v>72.123549999999994</v>
      </c>
      <c r="M114" s="14">
        <v>40</v>
      </c>
    </row>
    <row r="115" spans="1:13" ht="30" customHeight="1">
      <c r="A115" s="5" t="s">
        <v>30</v>
      </c>
      <c r="B115" s="30" t="s">
        <v>388</v>
      </c>
      <c r="C115" s="30" t="s">
        <v>218</v>
      </c>
      <c r="D115" s="27">
        <v>26931.224520327418</v>
      </c>
      <c r="E115" s="28">
        <v>23882.691365294777</v>
      </c>
      <c r="F115" s="27">
        <f t="shared" si="3"/>
        <v>3048.5331550326409</v>
      </c>
      <c r="G115" s="27">
        <f t="shared" si="2"/>
        <v>11.319697523340013</v>
      </c>
      <c r="H115" s="29">
        <v>108</v>
      </c>
      <c r="I115" s="29">
        <v>2</v>
      </c>
      <c r="J115" s="12" t="s">
        <v>34</v>
      </c>
      <c r="K115" s="30">
        <v>40.877068333300002</v>
      </c>
      <c r="L115" s="30">
        <v>71.983761666700005</v>
      </c>
      <c r="M115" s="14">
        <v>100</v>
      </c>
    </row>
    <row r="116" spans="1:13" ht="30" customHeight="1">
      <c r="A116" s="5" t="s">
        <v>30</v>
      </c>
      <c r="B116" s="30" t="s">
        <v>384</v>
      </c>
      <c r="C116" s="30" t="s">
        <v>94</v>
      </c>
      <c r="D116" s="27">
        <v>13967.190480327412</v>
      </c>
      <c r="E116" s="28">
        <v>12259.513031961444</v>
      </c>
      <c r="F116" s="27">
        <f t="shared" si="3"/>
        <v>1707.6774483659683</v>
      </c>
      <c r="G116" s="27">
        <f t="shared" si="2"/>
        <v>12.226348962385869</v>
      </c>
      <c r="H116" s="29">
        <v>85</v>
      </c>
      <c r="I116" s="29">
        <v>3</v>
      </c>
      <c r="J116" s="12" t="s">
        <v>34</v>
      </c>
      <c r="K116" s="30">
        <v>40.865369999999999</v>
      </c>
      <c r="L116" s="30">
        <v>71.96087</v>
      </c>
      <c r="M116" s="19">
        <v>160</v>
      </c>
    </row>
    <row r="117" spans="1:13" ht="30" customHeight="1">
      <c r="A117" s="5" t="s">
        <v>30</v>
      </c>
      <c r="B117" s="30" t="s">
        <v>390</v>
      </c>
      <c r="C117" s="30" t="s">
        <v>219</v>
      </c>
      <c r="D117" s="27">
        <v>13310.756770327416</v>
      </c>
      <c r="E117" s="28">
        <v>11921.393031961441</v>
      </c>
      <c r="F117" s="27">
        <f t="shared" si="3"/>
        <v>1389.3637383659752</v>
      </c>
      <c r="G117" s="27">
        <f t="shared" si="2"/>
        <v>10.437901934044579</v>
      </c>
      <c r="H117" s="29">
        <v>46</v>
      </c>
      <c r="I117" s="29">
        <v>2</v>
      </c>
      <c r="J117" s="12" t="s">
        <v>42</v>
      </c>
      <c r="K117" s="30">
        <v>40.858196666700003</v>
      </c>
      <c r="L117" s="30">
        <v>72.1313583333</v>
      </c>
      <c r="M117" s="14">
        <v>100</v>
      </c>
    </row>
    <row r="118" spans="1:13" ht="30" customHeight="1">
      <c r="A118" s="5" t="s">
        <v>30</v>
      </c>
      <c r="B118" s="30" t="s">
        <v>388</v>
      </c>
      <c r="C118" s="30" t="s">
        <v>220</v>
      </c>
      <c r="D118" s="27">
        <v>26738.427472327417</v>
      </c>
      <c r="E118" s="28">
        <v>23628.357031961445</v>
      </c>
      <c r="F118" s="27">
        <f t="shared" si="3"/>
        <v>3110.0704403659729</v>
      </c>
      <c r="G118" s="27">
        <f t="shared" si="2"/>
        <v>11.631463531595863</v>
      </c>
      <c r="H118" s="29">
        <v>165</v>
      </c>
      <c r="I118" s="29">
        <v>2</v>
      </c>
      <c r="J118" s="12" t="s">
        <v>42</v>
      </c>
      <c r="K118" s="30">
        <v>40.881914999999999</v>
      </c>
      <c r="L118" s="30">
        <v>71.997399999999999</v>
      </c>
      <c r="M118" s="22">
        <v>160</v>
      </c>
    </row>
    <row r="119" spans="1:13" ht="30" customHeight="1">
      <c r="A119" s="5" t="s">
        <v>30</v>
      </c>
      <c r="B119" s="30" t="s">
        <v>388</v>
      </c>
      <c r="C119" s="30" t="s">
        <v>221</v>
      </c>
      <c r="D119" s="27">
        <v>22236.508310327412</v>
      </c>
      <c r="E119" s="28">
        <v>19629.793198628111</v>
      </c>
      <c r="F119" s="27">
        <f t="shared" si="3"/>
        <v>2606.7151116993009</v>
      </c>
      <c r="G119" s="27">
        <f t="shared" si="2"/>
        <v>11.722681795723528</v>
      </c>
      <c r="H119" s="29">
        <v>135</v>
      </c>
      <c r="I119" s="29">
        <v>4</v>
      </c>
      <c r="J119" s="12" t="s">
        <v>22</v>
      </c>
      <c r="K119" s="30">
        <v>40.8827666667</v>
      </c>
      <c r="L119" s="30">
        <v>72.008274999999998</v>
      </c>
      <c r="M119" s="14">
        <v>250</v>
      </c>
    </row>
    <row r="120" spans="1:13" ht="30" customHeight="1">
      <c r="A120" s="5" t="s">
        <v>30</v>
      </c>
      <c r="B120" s="30" t="s">
        <v>390</v>
      </c>
      <c r="C120" s="30" t="s">
        <v>222</v>
      </c>
      <c r="D120" s="27">
        <v>15231.704870327412</v>
      </c>
      <c r="E120" s="28">
        <v>13643.685531961442</v>
      </c>
      <c r="F120" s="27">
        <f t="shared" si="3"/>
        <v>1588.0193383659698</v>
      </c>
      <c r="G120" s="27">
        <f t="shared" si="2"/>
        <v>10.425749132387402</v>
      </c>
      <c r="H120" s="29">
        <v>83</v>
      </c>
      <c r="I120" s="29">
        <v>3</v>
      </c>
      <c r="J120" s="12" t="s">
        <v>22</v>
      </c>
      <c r="K120" s="30">
        <v>40.851415000000003</v>
      </c>
      <c r="L120" s="30">
        <v>72.131756666699999</v>
      </c>
      <c r="M120" s="14">
        <v>63</v>
      </c>
    </row>
    <row r="121" spans="1:13" ht="30" customHeight="1">
      <c r="A121" s="5" t="s">
        <v>30</v>
      </c>
      <c r="B121" s="30" t="s">
        <v>392</v>
      </c>
      <c r="C121" s="30" t="s">
        <v>223</v>
      </c>
      <c r="D121" s="27">
        <v>14166.60406032741</v>
      </c>
      <c r="E121" s="28">
        <v>12564.380531961444</v>
      </c>
      <c r="F121" s="27">
        <f t="shared" si="3"/>
        <v>1602.2235283659666</v>
      </c>
      <c r="G121" s="27">
        <f t="shared" si="2"/>
        <v>11.309863122757006</v>
      </c>
      <c r="H121" s="29">
        <v>107</v>
      </c>
      <c r="I121" s="29">
        <v>3</v>
      </c>
      <c r="J121" s="12" t="s">
        <v>22</v>
      </c>
      <c r="K121" s="30">
        <v>40.833135628299999</v>
      </c>
      <c r="L121" s="30">
        <v>72.203557438199994</v>
      </c>
      <c r="M121" s="14">
        <v>100</v>
      </c>
    </row>
    <row r="122" spans="1:13" ht="30" customHeight="1">
      <c r="A122" s="5" t="s">
        <v>30</v>
      </c>
      <c r="B122" s="30" t="s">
        <v>392</v>
      </c>
      <c r="C122" s="30" t="s">
        <v>224</v>
      </c>
      <c r="D122" s="27">
        <v>13385.149750327415</v>
      </c>
      <c r="E122" s="28">
        <v>11874.923365294775</v>
      </c>
      <c r="F122" s="27">
        <f t="shared" si="3"/>
        <v>1510.2263850326399</v>
      </c>
      <c r="G122" s="27">
        <f t="shared" si="2"/>
        <v>11.282850122731711</v>
      </c>
      <c r="H122" s="29">
        <v>85</v>
      </c>
      <c r="I122" s="29">
        <v>1</v>
      </c>
      <c r="J122" s="12" t="s">
        <v>43</v>
      </c>
      <c r="K122" s="30">
        <v>40.830279691100003</v>
      </c>
      <c r="L122" s="30">
        <v>72.204835088899998</v>
      </c>
      <c r="M122" s="14">
        <v>250</v>
      </c>
    </row>
    <row r="123" spans="1:13" ht="30" customHeight="1">
      <c r="A123" s="5" t="s">
        <v>30</v>
      </c>
      <c r="B123" s="30" t="s">
        <v>392</v>
      </c>
      <c r="C123" s="30" t="s">
        <v>225</v>
      </c>
      <c r="D123" s="27">
        <v>18311.120880327413</v>
      </c>
      <c r="E123" s="28">
        <v>16407.609698628108</v>
      </c>
      <c r="F123" s="27">
        <f t="shared" si="3"/>
        <v>1903.5111816993049</v>
      </c>
      <c r="G123" s="27">
        <f t="shared" si="2"/>
        <v>10.395383188935995</v>
      </c>
      <c r="H123" s="29">
        <v>76</v>
      </c>
      <c r="I123" s="29">
        <v>2</v>
      </c>
      <c r="J123" s="12" t="s">
        <v>31</v>
      </c>
      <c r="K123" s="30">
        <v>40.838736666700001</v>
      </c>
      <c r="L123" s="30">
        <v>72.234039999999993</v>
      </c>
      <c r="M123" s="20">
        <v>180</v>
      </c>
    </row>
    <row r="124" spans="1:13" ht="30" customHeight="1">
      <c r="A124" s="5" t="s">
        <v>30</v>
      </c>
      <c r="B124" s="30" t="s">
        <v>388</v>
      </c>
      <c r="C124" s="30" t="s">
        <v>226</v>
      </c>
      <c r="D124" s="27">
        <v>19474.797650327419</v>
      </c>
      <c r="E124" s="28">
        <v>17338.61736529478</v>
      </c>
      <c r="F124" s="27">
        <f t="shared" si="3"/>
        <v>2136.1802850326385</v>
      </c>
      <c r="G124" s="27">
        <f t="shared" si="2"/>
        <v>10.96894726912207</v>
      </c>
      <c r="H124" s="29">
        <v>88</v>
      </c>
      <c r="I124" s="29">
        <v>3</v>
      </c>
      <c r="J124" s="12" t="s">
        <v>31</v>
      </c>
      <c r="K124" s="30">
        <v>40.8765683333</v>
      </c>
      <c r="L124" s="30">
        <v>71.988531666699998</v>
      </c>
      <c r="M124" s="20">
        <v>400</v>
      </c>
    </row>
    <row r="125" spans="1:13" ht="30" customHeight="1">
      <c r="A125" s="5" t="s">
        <v>30</v>
      </c>
      <c r="B125" s="30" t="s">
        <v>390</v>
      </c>
      <c r="C125" s="30" t="s">
        <v>227</v>
      </c>
      <c r="D125" s="27">
        <v>14837.722950327414</v>
      </c>
      <c r="E125" s="28">
        <v>13368.766365294776</v>
      </c>
      <c r="F125" s="27">
        <f t="shared" si="3"/>
        <v>1468.956585032638</v>
      </c>
      <c r="G125" s="27">
        <f t="shared" si="2"/>
        <v>9.9001483580081509</v>
      </c>
      <c r="H125" s="29">
        <v>95</v>
      </c>
      <c r="I125" s="29">
        <v>1</v>
      </c>
      <c r="J125" s="12" t="s">
        <v>44</v>
      </c>
      <c r="K125" s="30">
        <v>40.813206666600003</v>
      </c>
      <c r="L125" s="30">
        <v>72.109205000000003</v>
      </c>
      <c r="M125" s="14">
        <v>160</v>
      </c>
    </row>
    <row r="126" spans="1:13" ht="30" customHeight="1">
      <c r="A126" s="5" t="s">
        <v>30</v>
      </c>
      <c r="B126" s="30" t="s">
        <v>390</v>
      </c>
      <c r="C126" s="30" t="s">
        <v>228</v>
      </c>
      <c r="D126" s="27">
        <v>59531.671730327391</v>
      </c>
      <c r="E126" s="28">
        <v>52249.365698628098</v>
      </c>
      <c r="F126" s="27">
        <f t="shared" si="3"/>
        <v>7282.3060316992924</v>
      </c>
      <c r="G126" s="27">
        <f t="shared" si="2"/>
        <v>12.23265838172229</v>
      </c>
      <c r="H126" s="29">
        <v>62</v>
      </c>
      <c r="I126" s="29">
        <v>3</v>
      </c>
      <c r="J126" s="12" t="s">
        <v>44</v>
      </c>
      <c r="K126" s="30">
        <v>40.849451666699998</v>
      </c>
      <c r="L126" s="30">
        <v>72.135064999999997</v>
      </c>
      <c r="M126" s="22">
        <v>160</v>
      </c>
    </row>
    <row r="127" spans="1:13" ht="30" customHeight="1">
      <c r="A127" s="5" t="s">
        <v>30</v>
      </c>
      <c r="B127" s="30" t="s">
        <v>390</v>
      </c>
      <c r="C127" s="30" t="s">
        <v>229</v>
      </c>
      <c r="D127" s="27">
        <v>12245.091570327411</v>
      </c>
      <c r="E127" s="28">
        <v>10883.908365294776</v>
      </c>
      <c r="F127" s="27">
        <f t="shared" si="3"/>
        <v>1361.1832050326357</v>
      </c>
      <c r="G127" s="27">
        <f t="shared" si="2"/>
        <v>11.116153743848566</v>
      </c>
      <c r="H127" s="29">
        <v>40</v>
      </c>
      <c r="I127" s="29">
        <v>3</v>
      </c>
      <c r="J127" s="12" t="s">
        <v>44</v>
      </c>
      <c r="K127" s="30">
        <v>40.845351666699997</v>
      </c>
      <c r="L127" s="30">
        <v>72.155680000000004</v>
      </c>
      <c r="M127" s="14">
        <v>160</v>
      </c>
    </row>
    <row r="128" spans="1:13" ht="30" customHeight="1">
      <c r="A128" s="5" t="s">
        <v>30</v>
      </c>
      <c r="B128" s="30" t="s">
        <v>390</v>
      </c>
      <c r="C128" s="30" t="s">
        <v>230</v>
      </c>
      <c r="D128" s="27">
        <v>12232.734790327409</v>
      </c>
      <c r="E128" s="28">
        <v>10860.916198628109</v>
      </c>
      <c r="F128" s="27">
        <f t="shared" si="3"/>
        <v>1371.8185916993007</v>
      </c>
      <c r="G128" s="27">
        <f t="shared" si="2"/>
        <v>11.21432463968741</v>
      </c>
      <c r="H128" s="29">
        <v>39</v>
      </c>
      <c r="I128" s="29">
        <v>2</v>
      </c>
      <c r="J128" s="12" t="s">
        <v>41</v>
      </c>
      <c r="K128" s="30">
        <v>40.847826666700001</v>
      </c>
      <c r="L128" s="30">
        <v>72.157156666700004</v>
      </c>
      <c r="M128" s="22">
        <v>160</v>
      </c>
    </row>
    <row r="129" spans="1:13" ht="30" customHeight="1">
      <c r="A129" s="5" t="s">
        <v>30</v>
      </c>
      <c r="B129" s="30" t="s">
        <v>390</v>
      </c>
      <c r="C129" s="30" t="s">
        <v>231</v>
      </c>
      <c r="D129" s="27">
        <v>15707.475320327412</v>
      </c>
      <c r="E129" s="28">
        <v>14017.618531961441</v>
      </c>
      <c r="F129" s="27">
        <f t="shared" si="3"/>
        <v>1689.8567883659707</v>
      </c>
      <c r="G129" s="27">
        <f t="shared" si="2"/>
        <v>10.758296632044281</v>
      </c>
      <c r="H129" s="29">
        <v>157</v>
      </c>
      <c r="I129" s="29">
        <v>2</v>
      </c>
      <c r="J129" s="12" t="s">
        <v>41</v>
      </c>
      <c r="K129" s="30">
        <v>40.850563333300002</v>
      </c>
      <c r="L129" s="30">
        <v>72.157133333299996</v>
      </c>
      <c r="M129" s="14">
        <v>160</v>
      </c>
    </row>
    <row r="130" spans="1:13" ht="30" customHeight="1">
      <c r="A130" s="5" t="s">
        <v>30</v>
      </c>
      <c r="B130" s="30" t="s">
        <v>384</v>
      </c>
      <c r="C130" s="30" t="s">
        <v>96</v>
      </c>
      <c r="D130" s="27">
        <v>19640.578900327415</v>
      </c>
      <c r="E130" s="28">
        <v>17343.893031961448</v>
      </c>
      <c r="F130" s="27">
        <f t="shared" si="3"/>
        <v>2296.6858683659666</v>
      </c>
      <c r="G130" s="27">
        <f t="shared" si="2"/>
        <v>11.693575225156323</v>
      </c>
      <c r="H130" s="29">
        <v>95</v>
      </c>
      <c r="I130" s="29">
        <v>2</v>
      </c>
      <c r="J130" s="12" t="s">
        <v>41</v>
      </c>
      <c r="K130" s="30">
        <v>40.876168333300001</v>
      </c>
      <c r="L130" s="30">
        <v>71.945710000000005</v>
      </c>
      <c r="M130" s="14">
        <v>250</v>
      </c>
    </row>
    <row r="131" spans="1:13" ht="30" customHeight="1">
      <c r="A131" s="5" t="s">
        <v>30</v>
      </c>
      <c r="B131" s="30" t="s">
        <v>392</v>
      </c>
      <c r="C131" s="30" t="s">
        <v>232</v>
      </c>
      <c r="D131" s="27">
        <v>44484.336940327419</v>
      </c>
      <c r="E131" s="28">
        <v>39196.789865294777</v>
      </c>
      <c r="F131" s="27">
        <f t="shared" si="3"/>
        <v>5287.5470750326422</v>
      </c>
      <c r="G131" s="27">
        <f t="shared" ref="G131:G194" si="4">+F131*100/D131</f>
        <v>11.886311989151396</v>
      </c>
      <c r="H131" s="29">
        <v>50</v>
      </c>
      <c r="I131" s="29">
        <v>1</v>
      </c>
      <c r="J131" s="12" t="s">
        <v>41</v>
      </c>
      <c r="K131" s="30">
        <v>40.833511839099998</v>
      </c>
      <c r="L131" s="30">
        <v>72.151867640199995</v>
      </c>
      <c r="M131" s="14">
        <v>160</v>
      </c>
    </row>
    <row r="132" spans="1:13" ht="30" customHeight="1">
      <c r="A132" s="5" t="s">
        <v>30</v>
      </c>
      <c r="B132" s="30" t="s">
        <v>392</v>
      </c>
      <c r="C132" s="30" t="s">
        <v>233</v>
      </c>
      <c r="D132" s="27">
        <v>13274.357540327414</v>
      </c>
      <c r="E132" s="28">
        <v>11860.056031961441</v>
      </c>
      <c r="F132" s="27">
        <f t="shared" si="3"/>
        <v>1414.301508365972</v>
      </c>
      <c r="G132" s="27">
        <f t="shared" si="4"/>
        <v>10.654387634726072</v>
      </c>
      <c r="H132" s="29">
        <v>50</v>
      </c>
      <c r="I132" s="29">
        <v>1</v>
      </c>
      <c r="J132" s="12" t="s">
        <v>41</v>
      </c>
      <c r="K132" s="30">
        <v>40.829519256700003</v>
      </c>
      <c r="L132" s="30">
        <v>72.156100756300006</v>
      </c>
      <c r="M132" s="14">
        <v>160</v>
      </c>
    </row>
    <row r="133" spans="1:13" ht="30" customHeight="1">
      <c r="A133" s="5" t="s">
        <v>30</v>
      </c>
      <c r="B133" s="30" t="s">
        <v>388</v>
      </c>
      <c r="C133" s="30" t="s">
        <v>234</v>
      </c>
      <c r="D133" s="27">
        <v>17246.480980327411</v>
      </c>
      <c r="E133" s="28">
        <v>15241.625698628113</v>
      </c>
      <c r="F133" s="27">
        <f t="shared" ref="F133:F196" si="5">+D133-E133</f>
        <v>2004.8552816992978</v>
      </c>
      <c r="G133" s="27">
        <f t="shared" si="4"/>
        <v>11.624720915450412</v>
      </c>
      <c r="H133" s="29">
        <v>113</v>
      </c>
      <c r="I133" s="29">
        <v>1</v>
      </c>
      <c r="J133" s="12" t="s">
        <v>43</v>
      </c>
      <c r="K133" s="30">
        <v>40.876078333300001</v>
      </c>
      <c r="L133" s="30">
        <v>71.987033333300005</v>
      </c>
      <c r="M133" s="14">
        <v>40</v>
      </c>
    </row>
    <row r="134" spans="1:13" ht="30" customHeight="1">
      <c r="A134" s="5" t="s">
        <v>30</v>
      </c>
      <c r="B134" s="30" t="s">
        <v>391</v>
      </c>
      <c r="C134" s="30" t="s">
        <v>235</v>
      </c>
      <c r="D134" s="27">
        <v>21675.43715032742</v>
      </c>
      <c r="E134" s="28">
        <v>19296.633531961448</v>
      </c>
      <c r="F134" s="27">
        <f t="shared" si="5"/>
        <v>2378.8036183659715</v>
      </c>
      <c r="G134" s="27">
        <f t="shared" si="4"/>
        <v>10.974651177127647</v>
      </c>
      <c r="H134" s="29">
        <v>144</v>
      </c>
      <c r="I134" s="29">
        <v>3</v>
      </c>
      <c r="J134" s="12" t="s">
        <v>43</v>
      </c>
      <c r="K134" s="30">
        <v>40.846466666700003</v>
      </c>
      <c r="L134" s="30">
        <v>72.057214999999999</v>
      </c>
      <c r="M134" s="14">
        <v>160</v>
      </c>
    </row>
    <row r="135" spans="1:13" ht="30" customHeight="1">
      <c r="A135" s="5" t="s">
        <v>30</v>
      </c>
      <c r="B135" s="30" t="s">
        <v>389</v>
      </c>
      <c r="C135" s="30" t="s">
        <v>236</v>
      </c>
      <c r="D135" s="27">
        <v>18393.548820327414</v>
      </c>
      <c r="E135" s="28">
        <v>16424.699031961445</v>
      </c>
      <c r="F135" s="27">
        <f t="shared" si="5"/>
        <v>1968.8497883659693</v>
      </c>
      <c r="G135" s="27">
        <f t="shared" si="4"/>
        <v>10.704023500838067</v>
      </c>
      <c r="H135" s="29">
        <v>64</v>
      </c>
      <c r="I135" s="29">
        <v>3</v>
      </c>
      <c r="J135" s="12"/>
      <c r="K135" s="30">
        <v>40.877453333299997</v>
      </c>
      <c r="L135" s="30">
        <v>72.071951666700002</v>
      </c>
      <c r="M135" s="14">
        <v>160</v>
      </c>
    </row>
    <row r="136" spans="1:13" ht="30" customHeight="1">
      <c r="A136" s="5" t="s">
        <v>30</v>
      </c>
      <c r="B136" s="30" t="s">
        <v>391</v>
      </c>
      <c r="C136" s="30" t="s">
        <v>237</v>
      </c>
      <c r="D136" s="27">
        <v>18028.690170327412</v>
      </c>
      <c r="E136" s="28">
        <v>15938.154531961443</v>
      </c>
      <c r="F136" s="27">
        <f t="shared" si="5"/>
        <v>2090.5356383659691</v>
      </c>
      <c r="G136" s="27">
        <f t="shared" si="4"/>
        <v>11.59560466465104</v>
      </c>
      <c r="H136" s="29">
        <v>91</v>
      </c>
      <c r="I136" s="29">
        <v>4</v>
      </c>
      <c r="J136" s="12" t="s">
        <v>27</v>
      </c>
      <c r="K136" s="30">
        <v>40.849350000000001</v>
      </c>
      <c r="L136" s="30">
        <v>72.064971666700004</v>
      </c>
      <c r="M136" s="14">
        <v>100</v>
      </c>
    </row>
    <row r="137" spans="1:13" ht="30" customHeight="1">
      <c r="A137" s="5" t="s">
        <v>30</v>
      </c>
      <c r="B137" s="30" t="s">
        <v>391</v>
      </c>
      <c r="C137" s="30" t="s">
        <v>238</v>
      </c>
      <c r="D137" s="27">
        <v>14114.491080327412</v>
      </c>
      <c r="E137" s="28">
        <v>12521.351865294775</v>
      </c>
      <c r="F137" s="27">
        <f t="shared" si="5"/>
        <v>1593.1392150326374</v>
      </c>
      <c r="G137" s="27">
        <f t="shared" si="4"/>
        <v>11.28725935611758</v>
      </c>
      <c r="H137" s="29">
        <v>40</v>
      </c>
      <c r="I137" s="29">
        <v>1</v>
      </c>
      <c r="J137" s="12" t="s">
        <v>27</v>
      </c>
      <c r="K137" s="30">
        <v>40.843751666700001</v>
      </c>
      <c r="L137" s="30">
        <v>72.084658333299998</v>
      </c>
      <c r="M137" s="14">
        <v>160</v>
      </c>
    </row>
    <row r="138" spans="1:13" ht="30" customHeight="1">
      <c r="A138" s="5" t="s">
        <v>30</v>
      </c>
      <c r="B138" s="30" t="s">
        <v>391</v>
      </c>
      <c r="C138" s="30" t="s">
        <v>239</v>
      </c>
      <c r="D138" s="27">
        <v>13984.055230327414</v>
      </c>
      <c r="E138" s="28">
        <v>12400.823531961443</v>
      </c>
      <c r="F138" s="27">
        <f t="shared" si="5"/>
        <v>1583.2316983659712</v>
      </c>
      <c r="G138" s="27">
        <f t="shared" si="4"/>
        <v>11.321692257996769</v>
      </c>
      <c r="H138" s="29">
        <v>148</v>
      </c>
      <c r="I138" s="29">
        <v>2</v>
      </c>
      <c r="J138" s="12" t="s">
        <v>41</v>
      </c>
      <c r="K138" s="30">
        <v>40.822108333300001</v>
      </c>
      <c r="L138" s="30">
        <v>72.138861666699995</v>
      </c>
      <c r="M138" s="14">
        <v>400</v>
      </c>
    </row>
    <row r="139" spans="1:13" ht="30" customHeight="1">
      <c r="A139" s="5" t="s">
        <v>30</v>
      </c>
      <c r="B139" s="30" t="s">
        <v>391</v>
      </c>
      <c r="C139" s="30" t="s">
        <v>240</v>
      </c>
      <c r="D139" s="27">
        <v>18108.44386032741</v>
      </c>
      <c r="E139" s="28">
        <v>16190.00919862811</v>
      </c>
      <c r="F139" s="27">
        <f t="shared" si="5"/>
        <v>1918.4346616993007</v>
      </c>
      <c r="G139" s="27">
        <f t="shared" si="4"/>
        <v>10.59414423733158</v>
      </c>
      <c r="H139" s="29">
        <v>54</v>
      </c>
      <c r="I139" s="29">
        <v>1</v>
      </c>
      <c r="J139" s="12" t="s">
        <v>42</v>
      </c>
      <c r="K139" s="30">
        <v>40.845888333300003</v>
      </c>
      <c r="L139" s="30">
        <v>72.078975</v>
      </c>
      <c r="M139" s="14">
        <v>40</v>
      </c>
    </row>
    <row r="140" spans="1:13" ht="30" customHeight="1">
      <c r="A140" s="5" t="s">
        <v>30</v>
      </c>
      <c r="B140" s="30" t="s">
        <v>391</v>
      </c>
      <c r="C140" s="30" t="s">
        <v>241</v>
      </c>
      <c r="D140" s="27">
        <v>18408.489920327414</v>
      </c>
      <c r="E140" s="28">
        <v>16269.155531961444</v>
      </c>
      <c r="F140" s="27">
        <f t="shared" si="5"/>
        <v>2139.3343883659709</v>
      </c>
      <c r="G140" s="27">
        <f t="shared" si="4"/>
        <v>11.62145508743566</v>
      </c>
      <c r="H140" s="29">
        <v>138</v>
      </c>
      <c r="I140" s="29">
        <v>4</v>
      </c>
      <c r="J140" s="12" t="s">
        <v>27</v>
      </c>
      <c r="K140" s="30">
        <v>40.831020376700003</v>
      </c>
      <c r="L140" s="30">
        <v>72.119740415600006</v>
      </c>
      <c r="M140" s="14">
        <v>100</v>
      </c>
    </row>
    <row r="141" spans="1:13" ht="30" customHeight="1">
      <c r="A141" s="5" t="s">
        <v>30</v>
      </c>
      <c r="B141" s="30" t="s">
        <v>391</v>
      </c>
      <c r="C141" s="30" t="s">
        <v>242</v>
      </c>
      <c r="D141" s="27">
        <v>15498.835240327413</v>
      </c>
      <c r="E141" s="28">
        <v>13924.197365294774</v>
      </c>
      <c r="F141" s="27">
        <f t="shared" si="5"/>
        <v>1574.6378750326385</v>
      </c>
      <c r="G141" s="27">
        <f t="shared" si="4"/>
        <v>10.159717492418316</v>
      </c>
      <c r="H141" s="29">
        <v>134</v>
      </c>
      <c r="I141" s="29">
        <v>2</v>
      </c>
      <c r="J141" s="12" t="s">
        <v>44</v>
      </c>
      <c r="K141" s="30">
        <v>40.8254529031</v>
      </c>
      <c r="L141" s="30">
        <v>72.125863367899996</v>
      </c>
      <c r="M141" s="14">
        <v>100</v>
      </c>
    </row>
    <row r="142" spans="1:13" ht="30" customHeight="1">
      <c r="A142" s="5" t="s">
        <v>30</v>
      </c>
      <c r="B142" s="30" t="s">
        <v>391</v>
      </c>
      <c r="C142" s="30" t="s">
        <v>243</v>
      </c>
      <c r="D142" s="27">
        <v>11882.020280327411</v>
      </c>
      <c r="E142" s="28">
        <v>10551.514865294774</v>
      </c>
      <c r="F142" s="27">
        <f t="shared" si="5"/>
        <v>1330.5054150326378</v>
      </c>
      <c r="G142" s="27">
        <f t="shared" si="4"/>
        <v>11.197636291157513</v>
      </c>
      <c r="H142" s="29">
        <v>56</v>
      </c>
      <c r="I142" s="29">
        <v>1</v>
      </c>
      <c r="J142" s="12" t="s">
        <v>41</v>
      </c>
      <c r="K142" s="30">
        <v>40.8212983333</v>
      </c>
      <c r="L142" s="30">
        <v>72.128469999999993</v>
      </c>
      <c r="M142" s="14">
        <v>160</v>
      </c>
    </row>
    <row r="143" spans="1:13" ht="30" customHeight="1">
      <c r="A143" s="5" t="s">
        <v>30</v>
      </c>
      <c r="B143" s="30" t="s">
        <v>391</v>
      </c>
      <c r="C143" s="30" t="s">
        <v>244</v>
      </c>
      <c r="D143" s="27">
        <v>15788.824740327413</v>
      </c>
      <c r="E143" s="28">
        <v>14066.99219862811</v>
      </c>
      <c r="F143" s="27">
        <f t="shared" si="5"/>
        <v>1721.832541699303</v>
      </c>
      <c r="G143" s="27">
        <f t="shared" si="4"/>
        <v>10.905387639787035</v>
      </c>
      <c r="H143" s="29">
        <v>60</v>
      </c>
      <c r="I143" s="29">
        <v>1</v>
      </c>
      <c r="J143" s="12" t="s">
        <v>31</v>
      </c>
      <c r="K143" s="30">
        <v>40.817111666700001</v>
      </c>
      <c r="L143" s="30">
        <v>72.1181916667</v>
      </c>
      <c r="M143" s="14">
        <v>63</v>
      </c>
    </row>
    <row r="144" spans="1:13" ht="30" customHeight="1">
      <c r="A144" s="5" t="s">
        <v>30</v>
      </c>
      <c r="B144" s="30" t="s">
        <v>391</v>
      </c>
      <c r="C144" s="30" t="s">
        <v>245</v>
      </c>
      <c r="D144" s="27">
        <v>14678.578980327415</v>
      </c>
      <c r="E144" s="28">
        <v>12993.710031961444</v>
      </c>
      <c r="F144" s="27">
        <f t="shared" si="5"/>
        <v>1684.8689483659709</v>
      </c>
      <c r="G144" s="27">
        <f t="shared" si="4"/>
        <v>11.47842002024905</v>
      </c>
      <c r="H144" s="29">
        <v>65</v>
      </c>
      <c r="I144" s="29">
        <v>4</v>
      </c>
      <c r="J144" s="12" t="s">
        <v>41</v>
      </c>
      <c r="K144" s="30">
        <v>40.820258333300004</v>
      </c>
      <c r="L144" s="30">
        <v>72.133414999999999</v>
      </c>
      <c r="M144" s="14">
        <v>100</v>
      </c>
    </row>
    <row r="145" spans="1:13" ht="30" customHeight="1">
      <c r="A145" s="5" t="s">
        <v>30</v>
      </c>
      <c r="B145" s="30" t="s">
        <v>391</v>
      </c>
      <c r="C145" s="30" t="s">
        <v>246</v>
      </c>
      <c r="D145" s="27">
        <v>16389.619770327416</v>
      </c>
      <c r="E145" s="28">
        <v>14726.506365294774</v>
      </c>
      <c r="F145" s="27">
        <f t="shared" si="5"/>
        <v>1663.1134050326418</v>
      </c>
      <c r="G145" s="27">
        <f t="shared" si="4"/>
        <v>10.147358073819536</v>
      </c>
      <c r="H145" s="29">
        <v>35</v>
      </c>
      <c r="I145" s="29">
        <v>4</v>
      </c>
      <c r="J145" s="12" t="s">
        <v>22</v>
      </c>
      <c r="K145" s="30">
        <v>40.8469716667</v>
      </c>
      <c r="L145" s="30">
        <v>72.074391666699995</v>
      </c>
      <c r="M145" s="14">
        <v>160</v>
      </c>
    </row>
    <row r="146" spans="1:13" ht="30" customHeight="1">
      <c r="A146" s="5" t="s">
        <v>30</v>
      </c>
      <c r="B146" s="30" t="s">
        <v>392</v>
      </c>
      <c r="C146" s="30" t="s">
        <v>247</v>
      </c>
      <c r="D146" s="27">
        <v>15618.289080327413</v>
      </c>
      <c r="E146" s="28">
        <v>14051.676365294776</v>
      </c>
      <c r="F146" s="27">
        <f t="shared" si="5"/>
        <v>1566.6127150326374</v>
      </c>
      <c r="G146" s="27">
        <f t="shared" si="4"/>
        <v>10.03062952014329</v>
      </c>
      <c r="H146" s="29">
        <v>30</v>
      </c>
      <c r="I146" s="29">
        <v>4</v>
      </c>
      <c r="J146" s="12" t="s">
        <v>31</v>
      </c>
      <c r="K146" s="30">
        <v>40.820270000000001</v>
      </c>
      <c r="L146" s="30">
        <v>72.169821666700003</v>
      </c>
      <c r="M146" s="14">
        <v>160</v>
      </c>
    </row>
    <row r="147" spans="1:13" ht="30" customHeight="1">
      <c r="A147" s="5" t="s">
        <v>45</v>
      </c>
      <c r="B147" s="30" t="s">
        <v>392</v>
      </c>
      <c r="C147" s="30" t="s">
        <v>248</v>
      </c>
      <c r="D147" s="27">
        <v>12663.504720327415</v>
      </c>
      <c r="E147" s="28">
        <v>11236.510531961443</v>
      </c>
      <c r="F147" s="27">
        <f t="shared" si="5"/>
        <v>1426.9941883659721</v>
      </c>
      <c r="G147" s="27">
        <f t="shared" si="4"/>
        <v>11.268556532184695</v>
      </c>
      <c r="H147" s="29">
        <v>59</v>
      </c>
      <c r="I147" s="29">
        <v>1</v>
      </c>
      <c r="J147" s="12" t="s">
        <v>46</v>
      </c>
      <c r="K147" s="30">
        <v>40.834253333299998</v>
      </c>
      <c r="L147" s="30">
        <v>72.203491666700003</v>
      </c>
      <c r="M147" s="20">
        <v>100</v>
      </c>
    </row>
    <row r="148" spans="1:13" ht="30" customHeight="1">
      <c r="A148" s="5" t="s">
        <v>45</v>
      </c>
      <c r="B148" s="30" t="s">
        <v>392</v>
      </c>
      <c r="C148" s="30" t="s">
        <v>249</v>
      </c>
      <c r="D148" s="27">
        <v>22609.749250327415</v>
      </c>
      <c r="E148" s="28">
        <v>19931.975531961449</v>
      </c>
      <c r="F148" s="27">
        <f t="shared" si="5"/>
        <v>2677.7737183659665</v>
      </c>
      <c r="G148" s="27">
        <f t="shared" si="4"/>
        <v>11.843447217032667</v>
      </c>
      <c r="H148" s="29">
        <v>100</v>
      </c>
      <c r="I148" s="29">
        <v>4</v>
      </c>
      <c r="J148" s="12" t="s">
        <v>46</v>
      </c>
      <c r="K148" s="30">
        <v>40.837441666700002</v>
      </c>
      <c r="L148" s="30">
        <v>72.2019633333</v>
      </c>
      <c r="M148" s="20">
        <v>100</v>
      </c>
    </row>
    <row r="149" spans="1:13" ht="30" customHeight="1">
      <c r="A149" s="5" t="s">
        <v>45</v>
      </c>
      <c r="B149" s="30" t="s">
        <v>392</v>
      </c>
      <c r="C149" s="30" t="s">
        <v>250</v>
      </c>
      <c r="D149" s="27">
        <v>21191.996160327413</v>
      </c>
      <c r="E149" s="28">
        <v>18707.624698628111</v>
      </c>
      <c r="F149" s="27">
        <f t="shared" si="5"/>
        <v>2484.371461699302</v>
      </c>
      <c r="G149" s="27">
        <f t="shared" si="4"/>
        <v>11.723159266847087</v>
      </c>
      <c r="H149" s="29">
        <v>116</v>
      </c>
      <c r="I149" s="29">
        <v>1</v>
      </c>
      <c r="J149" s="12" t="s">
        <v>47</v>
      </c>
      <c r="K149" s="30">
        <v>40.832535</v>
      </c>
      <c r="L149" s="30">
        <v>72.175714999999997</v>
      </c>
      <c r="M149" s="20">
        <v>160</v>
      </c>
    </row>
    <row r="150" spans="1:13" ht="30" customHeight="1">
      <c r="A150" s="5" t="s">
        <v>45</v>
      </c>
      <c r="B150" s="30" t="s">
        <v>385</v>
      </c>
      <c r="C150" s="30" t="s">
        <v>251</v>
      </c>
      <c r="D150" s="27">
        <v>17191.392290327411</v>
      </c>
      <c r="E150" s="28">
        <v>15194.711365294776</v>
      </c>
      <c r="F150" s="27">
        <f t="shared" si="5"/>
        <v>1996.6809250326351</v>
      </c>
      <c r="G150" s="27">
        <f t="shared" si="4"/>
        <v>11.614422446494054</v>
      </c>
      <c r="H150" s="29">
        <v>67</v>
      </c>
      <c r="I150" s="29">
        <v>1</v>
      </c>
      <c r="J150" s="12" t="s">
        <v>47</v>
      </c>
      <c r="K150" s="30">
        <v>40.862508333299999</v>
      </c>
      <c r="L150" s="30">
        <v>72.001638333299994</v>
      </c>
      <c r="M150" s="20">
        <v>63</v>
      </c>
    </row>
    <row r="151" spans="1:13" ht="30" customHeight="1">
      <c r="A151" s="5" t="s">
        <v>45</v>
      </c>
      <c r="B151" s="30" t="s">
        <v>387</v>
      </c>
      <c r="C151" s="30" t="s">
        <v>252</v>
      </c>
      <c r="D151" s="27">
        <v>17404.645710327415</v>
      </c>
      <c r="E151" s="28">
        <v>15382.567031961446</v>
      </c>
      <c r="F151" s="27">
        <f t="shared" si="5"/>
        <v>2022.0786783659696</v>
      </c>
      <c r="G151" s="27">
        <f t="shared" si="4"/>
        <v>11.618039872918105</v>
      </c>
      <c r="H151" s="29">
        <v>80</v>
      </c>
      <c r="I151" s="29">
        <v>1</v>
      </c>
      <c r="J151" s="12" t="s">
        <v>46</v>
      </c>
      <c r="K151" s="30">
        <v>40.881864999999998</v>
      </c>
      <c r="L151" s="30">
        <v>71.974893333300002</v>
      </c>
      <c r="M151" s="20">
        <v>250</v>
      </c>
    </row>
    <row r="152" spans="1:13" ht="30" customHeight="1">
      <c r="A152" s="5" t="s">
        <v>45</v>
      </c>
      <c r="B152" s="30" t="s">
        <v>387</v>
      </c>
      <c r="C152" s="30" t="s">
        <v>253</v>
      </c>
      <c r="D152" s="27">
        <v>17504.037150327415</v>
      </c>
      <c r="E152" s="28">
        <v>15701.499698628111</v>
      </c>
      <c r="F152" s="27">
        <f t="shared" si="5"/>
        <v>1802.5374516993033</v>
      </c>
      <c r="G152" s="27">
        <f t="shared" si="4"/>
        <v>10.297838357053458</v>
      </c>
      <c r="H152" s="29">
        <v>52</v>
      </c>
      <c r="I152" s="29">
        <v>1</v>
      </c>
      <c r="J152" s="12" t="s">
        <v>47</v>
      </c>
      <c r="K152" s="30">
        <v>40.871471666700003</v>
      </c>
      <c r="L152" s="30">
        <v>71.970541666700001</v>
      </c>
      <c r="M152" s="20">
        <v>63</v>
      </c>
    </row>
    <row r="153" spans="1:13" ht="30" customHeight="1">
      <c r="A153" s="5" t="s">
        <v>45</v>
      </c>
      <c r="B153" s="30" t="s">
        <v>391</v>
      </c>
      <c r="C153" s="30" t="s">
        <v>254</v>
      </c>
      <c r="D153" s="27">
        <v>23860.896420327415</v>
      </c>
      <c r="E153" s="28">
        <v>21263.056365294779</v>
      </c>
      <c r="F153" s="27">
        <f t="shared" si="5"/>
        <v>2597.8400550326369</v>
      </c>
      <c r="G153" s="27">
        <f t="shared" si="4"/>
        <v>10.887436956557517</v>
      </c>
      <c r="H153" s="29">
        <v>137</v>
      </c>
      <c r="I153" s="29">
        <v>4</v>
      </c>
      <c r="J153" s="12" t="s">
        <v>47</v>
      </c>
      <c r="K153" s="30">
        <v>40.847968333300003</v>
      </c>
      <c r="L153" s="30">
        <v>72.039503333300004</v>
      </c>
      <c r="M153" s="20">
        <v>100</v>
      </c>
    </row>
    <row r="154" spans="1:13" ht="30" customHeight="1">
      <c r="A154" s="5" t="s">
        <v>45</v>
      </c>
      <c r="B154" s="30" t="s">
        <v>391</v>
      </c>
      <c r="C154" s="30" t="s">
        <v>255</v>
      </c>
      <c r="D154" s="27">
        <v>17374.466670327412</v>
      </c>
      <c r="E154" s="28">
        <v>15588.139698628111</v>
      </c>
      <c r="F154" s="27">
        <f t="shared" si="5"/>
        <v>1786.3269716993018</v>
      </c>
      <c r="G154" s="27">
        <f t="shared" si="4"/>
        <v>10.281334130100463</v>
      </c>
      <c r="H154" s="29">
        <v>91</v>
      </c>
      <c r="I154" s="29">
        <v>1</v>
      </c>
      <c r="J154" s="12" t="s">
        <v>47</v>
      </c>
      <c r="K154" s="30">
        <v>40.817636666699997</v>
      </c>
      <c r="L154" s="30">
        <v>72.128388333299995</v>
      </c>
      <c r="M154" s="20">
        <v>100</v>
      </c>
    </row>
    <row r="155" spans="1:13" ht="30" customHeight="1">
      <c r="A155" s="5" t="s">
        <v>45</v>
      </c>
      <c r="B155" s="30" t="s">
        <v>390</v>
      </c>
      <c r="C155" s="30" t="s">
        <v>256</v>
      </c>
      <c r="D155" s="27">
        <v>23363.165640327417</v>
      </c>
      <c r="E155" s="28">
        <v>20827.596365294779</v>
      </c>
      <c r="F155" s="27">
        <f t="shared" si="5"/>
        <v>2535.569275032638</v>
      </c>
      <c r="G155" s="27">
        <f t="shared" si="4"/>
        <v>10.852849798128229</v>
      </c>
      <c r="H155" s="29">
        <v>100</v>
      </c>
      <c r="I155" s="29">
        <v>1</v>
      </c>
      <c r="J155" s="12" t="s">
        <v>48</v>
      </c>
      <c r="K155" s="30">
        <v>40.863979999999998</v>
      </c>
      <c r="L155" s="30">
        <v>72.082644999999999</v>
      </c>
      <c r="M155" s="20">
        <v>160</v>
      </c>
    </row>
    <row r="156" spans="1:13" ht="30" customHeight="1">
      <c r="A156" s="5" t="s">
        <v>45</v>
      </c>
      <c r="B156" s="30" t="s">
        <v>388</v>
      </c>
      <c r="C156" s="30" t="s">
        <v>257</v>
      </c>
      <c r="D156" s="27">
        <v>40624.808790327406</v>
      </c>
      <c r="E156" s="28">
        <v>35929.646365294771</v>
      </c>
      <c r="F156" s="27">
        <f t="shared" si="5"/>
        <v>4695.1624250326349</v>
      </c>
      <c r="G156" s="27">
        <f t="shared" si="4"/>
        <v>11.557377289491473</v>
      </c>
      <c r="H156" s="29">
        <v>116</v>
      </c>
      <c r="I156" s="29">
        <v>1</v>
      </c>
      <c r="J156" s="12" t="s">
        <v>48</v>
      </c>
      <c r="K156" s="30">
        <v>40.869881666700003</v>
      </c>
      <c r="L156" s="30">
        <v>71.981340000000003</v>
      </c>
      <c r="M156" s="20">
        <v>250</v>
      </c>
    </row>
    <row r="157" spans="1:13" ht="30" customHeight="1">
      <c r="A157" s="5" t="s">
        <v>45</v>
      </c>
      <c r="B157" s="30" t="s">
        <v>387</v>
      </c>
      <c r="C157" s="30" t="s">
        <v>258</v>
      </c>
      <c r="D157" s="27">
        <v>16701.841650327413</v>
      </c>
      <c r="E157" s="28">
        <v>14999.666365294779</v>
      </c>
      <c r="F157" s="27">
        <f t="shared" si="5"/>
        <v>1702.1752850326338</v>
      </c>
      <c r="G157" s="27">
        <f t="shared" si="4"/>
        <v>10.191542469804611</v>
      </c>
      <c r="H157" s="29">
        <v>65</v>
      </c>
      <c r="I157" s="29">
        <v>1</v>
      </c>
      <c r="J157" s="12" t="s">
        <v>47</v>
      </c>
      <c r="K157" s="30">
        <v>40.883203333300003</v>
      </c>
      <c r="L157" s="30">
        <v>71.969184999999996</v>
      </c>
      <c r="M157" s="14">
        <v>100</v>
      </c>
    </row>
    <row r="158" spans="1:13" ht="30" customHeight="1">
      <c r="A158" s="5" t="s">
        <v>45</v>
      </c>
      <c r="B158" s="30" t="s">
        <v>389</v>
      </c>
      <c r="C158" s="30" t="s">
        <v>259</v>
      </c>
      <c r="D158" s="27">
        <v>16179.086790327412</v>
      </c>
      <c r="E158" s="28">
        <v>14542.313031961441</v>
      </c>
      <c r="F158" s="27">
        <f t="shared" si="5"/>
        <v>1636.7737583659709</v>
      </c>
      <c r="G158" s="27">
        <f t="shared" si="4"/>
        <v>10.116601632574888</v>
      </c>
      <c r="H158" s="29">
        <v>31</v>
      </c>
      <c r="I158" s="29">
        <v>1</v>
      </c>
      <c r="J158" s="12" t="s">
        <v>49</v>
      </c>
      <c r="K158" s="30">
        <v>40.877465000000001</v>
      </c>
      <c r="L158" s="30">
        <v>72.08811</v>
      </c>
      <c r="M158" s="14">
        <v>250</v>
      </c>
    </row>
    <row r="159" spans="1:13" ht="30" customHeight="1">
      <c r="A159" s="5" t="s">
        <v>45</v>
      </c>
      <c r="B159" s="30" t="s">
        <v>387</v>
      </c>
      <c r="C159" s="30" t="s">
        <v>260</v>
      </c>
      <c r="D159" s="27">
        <v>15686.533800327416</v>
      </c>
      <c r="E159" s="28">
        <v>14111.383031961441</v>
      </c>
      <c r="F159" s="27">
        <f t="shared" si="5"/>
        <v>1575.1507683659747</v>
      </c>
      <c r="G159" s="27">
        <f t="shared" si="4"/>
        <v>10.041420165958508</v>
      </c>
      <c r="H159" s="29">
        <v>49</v>
      </c>
      <c r="I159" s="29">
        <v>1</v>
      </c>
      <c r="J159" s="12" t="s">
        <v>20</v>
      </c>
      <c r="K159" s="30">
        <v>40.886789999999998</v>
      </c>
      <c r="L159" s="30">
        <v>71.967898333299999</v>
      </c>
      <c r="M159" s="14">
        <v>100</v>
      </c>
    </row>
    <row r="160" spans="1:13" ht="30" customHeight="1">
      <c r="A160" s="5" t="s">
        <v>45</v>
      </c>
      <c r="B160" s="30" t="s">
        <v>391</v>
      </c>
      <c r="C160" s="30" t="s">
        <v>261</v>
      </c>
      <c r="D160" s="27">
        <v>19056.943620327416</v>
      </c>
      <c r="E160" s="28">
        <v>17060.123031961444</v>
      </c>
      <c r="F160" s="27">
        <f t="shared" si="5"/>
        <v>1996.8205883659721</v>
      </c>
      <c r="G160" s="27">
        <f t="shared" si="4"/>
        <v>10.47817860066516</v>
      </c>
      <c r="H160" s="29">
        <v>72</v>
      </c>
      <c r="I160" s="29">
        <v>2</v>
      </c>
      <c r="J160" s="12" t="s">
        <v>48</v>
      </c>
      <c r="K160" s="30">
        <v>40.813769904799997</v>
      </c>
      <c r="L160" s="30">
        <v>72.127671415400002</v>
      </c>
      <c r="M160" s="14">
        <v>100</v>
      </c>
    </row>
    <row r="161" spans="1:13" ht="30" customHeight="1">
      <c r="A161" s="5" t="s">
        <v>45</v>
      </c>
      <c r="B161" s="30" t="s">
        <v>387</v>
      </c>
      <c r="C161" s="30" t="s">
        <v>262</v>
      </c>
      <c r="D161" s="27">
        <v>15828.44487032741</v>
      </c>
      <c r="E161" s="28">
        <v>14235.53969862811</v>
      </c>
      <c r="F161" s="27">
        <f t="shared" si="5"/>
        <v>1592.9051716992999</v>
      </c>
      <c r="G161" s="27">
        <f t="shared" si="4"/>
        <v>10.063560790393369</v>
      </c>
      <c r="H161" s="29">
        <v>144</v>
      </c>
      <c r="I161" s="29">
        <v>2</v>
      </c>
      <c r="J161" s="12" t="s">
        <v>29</v>
      </c>
      <c r="K161" s="30">
        <v>40.868474999999997</v>
      </c>
      <c r="L161" s="30">
        <v>71.973686666700004</v>
      </c>
      <c r="M161" s="14">
        <v>100</v>
      </c>
    </row>
    <row r="162" spans="1:13" ht="30" customHeight="1">
      <c r="A162" s="5" t="s">
        <v>45</v>
      </c>
      <c r="B162" s="30" t="s">
        <v>389</v>
      </c>
      <c r="C162" s="30" t="s">
        <v>263</v>
      </c>
      <c r="D162" s="27">
        <v>17996.792070327414</v>
      </c>
      <c r="E162" s="28">
        <v>16132.606365294778</v>
      </c>
      <c r="F162" s="27">
        <f t="shared" si="5"/>
        <v>1864.1857050326362</v>
      </c>
      <c r="G162" s="27">
        <f t="shared" si="4"/>
        <v>10.358433312713831</v>
      </c>
      <c r="H162" s="29">
        <v>225</v>
      </c>
      <c r="I162" s="29">
        <v>3</v>
      </c>
      <c r="J162" s="12" t="s">
        <v>46</v>
      </c>
      <c r="K162" s="30">
        <v>40.877846666700002</v>
      </c>
      <c r="L162" s="30">
        <v>72.089301666699996</v>
      </c>
      <c r="M162" s="14">
        <v>100</v>
      </c>
    </row>
    <row r="163" spans="1:13" ht="30" customHeight="1">
      <c r="A163" s="5" t="s">
        <v>30</v>
      </c>
      <c r="B163" s="30" t="s">
        <v>392</v>
      </c>
      <c r="C163" s="30" t="s">
        <v>264</v>
      </c>
      <c r="D163" s="27">
        <v>22374.451590327415</v>
      </c>
      <c r="E163" s="28">
        <v>19962.579698628109</v>
      </c>
      <c r="F163" s="27">
        <f t="shared" si="5"/>
        <v>2411.8718916993057</v>
      </c>
      <c r="G163" s="27">
        <f t="shared" si="4"/>
        <v>10.779579923835854</v>
      </c>
      <c r="H163" s="29">
        <v>83</v>
      </c>
      <c r="I163" s="29">
        <v>2</v>
      </c>
      <c r="J163" s="12" t="s">
        <v>36</v>
      </c>
      <c r="K163" s="30">
        <v>40.820733333299998</v>
      </c>
      <c r="L163" s="30">
        <v>72.163296666700006</v>
      </c>
      <c r="M163" s="20">
        <v>63</v>
      </c>
    </row>
    <row r="164" spans="1:13" ht="30" customHeight="1">
      <c r="A164" s="5" t="s">
        <v>30</v>
      </c>
      <c r="B164" s="30" t="s">
        <v>391</v>
      </c>
      <c r="C164" s="30" t="s">
        <v>265</v>
      </c>
      <c r="D164" s="27">
        <v>17214.054240327416</v>
      </c>
      <c r="E164" s="28">
        <v>15447.796365294776</v>
      </c>
      <c r="F164" s="27">
        <f t="shared" si="5"/>
        <v>1766.2578750326393</v>
      </c>
      <c r="G164" s="27">
        <f t="shared" si="4"/>
        <v>10.260557160873942</v>
      </c>
      <c r="H164" s="29">
        <v>70</v>
      </c>
      <c r="I164" s="29">
        <v>2</v>
      </c>
      <c r="J164" s="12" t="s">
        <v>36</v>
      </c>
      <c r="K164" s="30">
        <v>40.852661666700001</v>
      </c>
      <c r="L164" s="30">
        <v>72.0707816667</v>
      </c>
      <c r="M164" s="20">
        <v>100</v>
      </c>
    </row>
    <row r="165" spans="1:13" ht="30" customHeight="1">
      <c r="A165" s="5" t="s">
        <v>30</v>
      </c>
      <c r="B165" s="30" t="s">
        <v>388</v>
      </c>
      <c r="C165" s="30" t="s">
        <v>266</v>
      </c>
      <c r="D165" s="27">
        <v>18839.819340327413</v>
      </c>
      <c r="E165" s="28">
        <v>16870.163031961445</v>
      </c>
      <c r="F165" s="27">
        <f t="shared" si="5"/>
        <v>1969.6563083659676</v>
      </c>
      <c r="G165" s="27">
        <f t="shared" si="4"/>
        <v>10.45475157051977</v>
      </c>
      <c r="H165" s="29">
        <v>92</v>
      </c>
      <c r="I165" s="29">
        <v>1</v>
      </c>
      <c r="J165" s="12" t="s">
        <v>36</v>
      </c>
      <c r="K165" s="30">
        <v>40.877846666700002</v>
      </c>
      <c r="L165" s="30">
        <v>72.000298333299995</v>
      </c>
      <c r="M165" s="20">
        <v>100</v>
      </c>
    </row>
    <row r="166" spans="1:13" ht="30" customHeight="1">
      <c r="A166" s="5" t="s">
        <v>30</v>
      </c>
      <c r="B166" s="30" t="s">
        <v>385</v>
      </c>
      <c r="C166" s="30" t="s">
        <v>267</v>
      </c>
      <c r="D166" s="27">
        <v>24455.229750327417</v>
      </c>
      <c r="E166" s="28">
        <v>21783.033031961448</v>
      </c>
      <c r="F166" s="27">
        <f t="shared" si="5"/>
        <v>2672.196718365969</v>
      </c>
      <c r="G166" s="27">
        <f t="shared" si="4"/>
        <v>10.926892716394098</v>
      </c>
      <c r="H166" s="29">
        <v>111</v>
      </c>
      <c r="I166" s="29">
        <v>1</v>
      </c>
      <c r="J166" s="12" t="s">
        <v>36</v>
      </c>
      <c r="K166" s="30">
        <v>40.869096666700003</v>
      </c>
      <c r="L166" s="30">
        <v>71.993186666699998</v>
      </c>
      <c r="M166" s="20">
        <v>160</v>
      </c>
    </row>
    <row r="167" spans="1:13" ht="30" customHeight="1">
      <c r="A167" s="5" t="s">
        <v>30</v>
      </c>
      <c r="B167" s="30" t="s">
        <v>390</v>
      </c>
      <c r="C167" s="30" t="s">
        <v>268</v>
      </c>
      <c r="D167" s="27">
        <v>14527.074600327411</v>
      </c>
      <c r="E167" s="28">
        <v>13096.983031961443</v>
      </c>
      <c r="F167" s="27">
        <f t="shared" si="5"/>
        <v>1430.0915683659678</v>
      </c>
      <c r="G167" s="27">
        <f t="shared" si="4"/>
        <v>9.8443190230036848</v>
      </c>
      <c r="H167" s="29">
        <v>69</v>
      </c>
      <c r="I167" s="29">
        <v>1</v>
      </c>
      <c r="J167" s="12" t="s">
        <v>50</v>
      </c>
      <c r="K167" s="30">
        <v>40.859043333300001</v>
      </c>
      <c r="L167" s="30">
        <v>72.065916666700005</v>
      </c>
      <c r="M167" s="20">
        <v>250</v>
      </c>
    </row>
    <row r="168" spans="1:13" ht="30" customHeight="1">
      <c r="A168" s="5" t="s">
        <v>30</v>
      </c>
      <c r="B168" s="30" t="s">
        <v>389</v>
      </c>
      <c r="C168" s="30" t="s">
        <v>269</v>
      </c>
      <c r="D168" s="27">
        <v>21917.343030327414</v>
      </c>
      <c r="E168" s="28">
        <v>19562.659698628111</v>
      </c>
      <c r="F168" s="27">
        <f t="shared" si="5"/>
        <v>2354.6833316993034</v>
      </c>
      <c r="G168" s="27">
        <f t="shared" si="4"/>
        <v>10.743470722893219</v>
      </c>
      <c r="H168" s="29">
        <v>134</v>
      </c>
      <c r="I168" s="29">
        <v>1</v>
      </c>
      <c r="J168" s="12" t="s">
        <v>50</v>
      </c>
      <c r="K168" s="30">
        <v>40.880443333300001</v>
      </c>
      <c r="L168" s="30">
        <v>72.033211666699998</v>
      </c>
      <c r="M168" s="20">
        <v>400</v>
      </c>
    </row>
    <row r="169" spans="1:13" ht="30" customHeight="1">
      <c r="A169" s="5" t="s">
        <v>30</v>
      </c>
      <c r="B169" s="30" t="s">
        <v>388</v>
      </c>
      <c r="C169" s="30" t="s">
        <v>270</v>
      </c>
      <c r="D169" s="27">
        <v>21190.722690327413</v>
      </c>
      <c r="E169" s="28">
        <v>18926.946365294778</v>
      </c>
      <c r="F169" s="27">
        <f t="shared" si="5"/>
        <v>2263.7763250326352</v>
      </c>
      <c r="G169" s="27">
        <f t="shared" si="4"/>
        <v>10.682865129776554</v>
      </c>
      <c r="H169" s="29">
        <v>84</v>
      </c>
      <c r="I169" s="29">
        <v>2</v>
      </c>
      <c r="J169" s="12" t="s">
        <v>50</v>
      </c>
      <c r="K169" s="30">
        <v>40.874026666600002</v>
      </c>
      <c r="L169" s="30">
        <v>72.094549999700007</v>
      </c>
      <c r="M169" s="20">
        <v>160</v>
      </c>
    </row>
    <row r="170" spans="1:13" ht="30" customHeight="1">
      <c r="A170" s="5" t="s">
        <v>30</v>
      </c>
      <c r="B170" s="30" t="s">
        <v>388</v>
      </c>
      <c r="C170" s="30" t="s">
        <v>271</v>
      </c>
      <c r="D170" s="27">
        <v>17471.179710327415</v>
      </c>
      <c r="E170" s="28">
        <v>15672.753031961442</v>
      </c>
      <c r="F170" s="27">
        <f t="shared" si="5"/>
        <v>1798.4266783659732</v>
      </c>
      <c r="G170" s="27">
        <f t="shared" si="4"/>
        <v>10.293676261042076</v>
      </c>
      <c r="H170" s="29">
        <v>54</v>
      </c>
      <c r="I170" s="29">
        <v>2</v>
      </c>
      <c r="J170" s="12" t="s">
        <v>37</v>
      </c>
      <c r="K170" s="30">
        <v>40.877225000000003</v>
      </c>
      <c r="L170" s="30">
        <v>71.997230000000002</v>
      </c>
      <c r="M170" s="23">
        <v>100</v>
      </c>
    </row>
    <row r="171" spans="1:13" ht="30" customHeight="1">
      <c r="A171" s="5" t="s">
        <v>30</v>
      </c>
      <c r="B171" s="30" t="s">
        <v>388</v>
      </c>
      <c r="C171" s="30" t="s">
        <v>272</v>
      </c>
      <c r="D171" s="27">
        <v>19273.881210327418</v>
      </c>
      <c r="E171" s="28">
        <v>17249.919698628109</v>
      </c>
      <c r="F171" s="27">
        <f t="shared" si="5"/>
        <v>2023.9615116993082</v>
      </c>
      <c r="G171" s="27">
        <f t="shared" si="4"/>
        <v>10.501058347370222</v>
      </c>
      <c r="H171" s="29">
        <v>111</v>
      </c>
      <c r="I171" s="29">
        <v>3</v>
      </c>
      <c r="J171" s="12" t="s">
        <v>37</v>
      </c>
      <c r="K171" s="30">
        <v>40.878791666700003</v>
      </c>
      <c r="L171" s="30">
        <v>72.014080000000007</v>
      </c>
      <c r="M171" s="20">
        <v>100</v>
      </c>
    </row>
    <row r="172" spans="1:13" ht="30" customHeight="1">
      <c r="A172" s="5" t="s">
        <v>30</v>
      </c>
      <c r="B172" s="30" t="s">
        <v>384</v>
      </c>
      <c r="C172" s="30" t="s">
        <v>100</v>
      </c>
      <c r="D172" s="27">
        <v>19837.866366327413</v>
      </c>
      <c r="E172" s="28">
        <v>17743.345031961446</v>
      </c>
      <c r="F172" s="27">
        <f t="shared" si="5"/>
        <v>2094.521334365967</v>
      </c>
      <c r="G172" s="27">
        <f t="shared" si="4"/>
        <v>10.558198627253512</v>
      </c>
      <c r="H172" s="29">
        <v>83</v>
      </c>
      <c r="I172" s="29">
        <v>2</v>
      </c>
      <c r="J172" s="12" t="s">
        <v>37</v>
      </c>
      <c r="K172" s="30">
        <v>40.879103333300002</v>
      </c>
      <c r="L172" s="30">
        <v>71.946520000000007</v>
      </c>
      <c r="M172" s="20">
        <v>100</v>
      </c>
    </row>
    <row r="173" spans="1:13" ht="30" customHeight="1">
      <c r="A173" s="5" t="s">
        <v>13</v>
      </c>
      <c r="B173" s="30" t="s">
        <v>389</v>
      </c>
      <c r="C173" s="30" t="s">
        <v>273</v>
      </c>
      <c r="D173" s="27">
        <v>18038.039130327415</v>
      </c>
      <c r="E173" s="28">
        <v>16168.693031961444</v>
      </c>
      <c r="F173" s="27">
        <f t="shared" si="5"/>
        <v>1869.3460983659716</v>
      </c>
      <c r="G173" s="27">
        <f t="shared" si="4"/>
        <v>10.363355378373882</v>
      </c>
      <c r="H173" s="29">
        <v>96</v>
      </c>
      <c r="I173" s="29">
        <v>3</v>
      </c>
      <c r="J173" s="12"/>
      <c r="K173" s="30">
        <v>40.867316666699999</v>
      </c>
      <c r="L173" s="30">
        <v>72.0448633333</v>
      </c>
      <c r="M173" s="14">
        <v>400</v>
      </c>
    </row>
    <row r="174" spans="1:13" ht="30" customHeight="1">
      <c r="A174" s="5" t="s">
        <v>13</v>
      </c>
      <c r="B174" s="30" t="s">
        <v>391</v>
      </c>
      <c r="C174" s="30" t="s">
        <v>274</v>
      </c>
      <c r="D174" s="27">
        <v>19463.32965032741</v>
      </c>
      <c r="E174" s="28">
        <v>17415.666365294775</v>
      </c>
      <c r="F174" s="27">
        <f t="shared" si="5"/>
        <v>2047.663285032635</v>
      </c>
      <c r="G174" s="27">
        <f t="shared" si="4"/>
        <v>10.520621711805562</v>
      </c>
      <c r="H174" s="29">
        <v>70</v>
      </c>
      <c r="I174" s="29">
        <v>6</v>
      </c>
      <c r="J174" s="12" t="s">
        <v>23</v>
      </c>
      <c r="K174" s="30">
        <v>40.821199999999997</v>
      </c>
      <c r="L174" s="30">
        <v>72.145963333300003</v>
      </c>
      <c r="M174" s="14">
        <v>100</v>
      </c>
    </row>
    <row r="175" spans="1:13" ht="30" customHeight="1">
      <c r="A175" s="5" t="s">
        <v>13</v>
      </c>
      <c r="B175" s="30" t="s">
        <v>391</v>
      </c>
      <c r="C175" s="30" t="s">
        <v>275</v>
      </c>
      <c r="D175" s="27">
        <v>22183.463910327417</v>
      </c>
      <c r="E175" s="28">
        <v>19795.486365294779</v>
      </c>
      <c r="F175" s="27">
        <f t="shared" si="5"/>
        <v>2387.9775450326379</v>
      </c>
      <c r="G175" s="27">
        <f t="shared" si="4"/>
        <v>10.764673879091196</v>
      </c>
      <c r="H175" s="29">
        <v>147</v>
      </c>
      <c r="I175" s="29">
        <v>4</v>
      </c>
      <c r="J175" s="12" t="s">
        <v>40</v>
      </c>
      <c r="K175" s="30">
        <v>40.853495000000002</v>
      </c>
      <c r="L175" s="30">
        <v>72.061329999999998</v>
      </c>
      <c r="M175" s="20">
        <v>250</v>
      </c>
    </row>
    <row r="176" spans="1:13" ht="30" customHeight="1">
      <c r="A176" s="5" t="s">
        <v>13</v>
      </c>
      <c r="B176" s="30" t="s">
        <v>390</v>
      </c>
      <c r="C176" s="30" t="s">
        <v>276</v>
      </c>
      <c r="D176" s="27">
        <v>17211.619650327411</v>
      </c>
      <c r="E176" s="28">
        <v>15445.666365294775</v>
      </c>
      <c r="F176" s="27">
        <f t="shared" si="5"/>
        <v>1765.9532850326359</v>
      </c>
      <c r="G176" s="27">
        <f t="shared" si="4"/>
        <v>10.260238843931475</v>
      </c>
      <c r="H176" s="29">
        <v>81</v>
      </c>
      <c r="I176" s="29">
        <v>1</v>
      </c>
      <c r="J176" s="12" t="s">
        <v>40</v>
      </c>
      <c r="K176" s="30">
        <v>40.8542466667</v>
      </c>
      <c r="L176" s="30">
        <v>72.141778333299996</v>
      </c>
      <c r="M176" s="21">
        <v>160</v>
      </c>
    </row>
    <row r="177" spans="1:13" ht="30" customHeight="1">
      <c r="A177" s="5" t="s">
        <v>13</v>
      </c>
      <c r="B177" s="30" t="s">
        <v>390</v>
      </c>
      <c r="C177" s="30" t="s">
        <v>277</v>
      </c>
      <c r="D177" s="27">
        <v>17752.883490327411</v>
      </c>
      <c r="E177" s="28">
        <v>15919.213031961444</v>
      </c>
      <c r="F177" s="27">
        <f t="shared" si="5"/>
        <v>1833.6704583659666</v>
      </c>
      <c r="G177" s="27">
        <f t="shared" si="4"/>
        <v>10.328859868680121</v>
      </c>
      <c r="H177" s="29">
        <v>106</v>
      </c>
      <c r="I177" s="29">
        <v>2</v>
      </c>
      <c r="J177" s="12" t="s">
        <v>40</v>
      </c>
      <c r="K177" s="30">
        <v>40.870876666699999</v>
      </c>
      <c r="L177" s="30">
        <v>72.127028333300004</v>
      </c>
      <c r="M177" s="20">
        <v>100</v>
      </c>
    </row>
    <row r="178" spans="1:13" ht="30" customHeight="1">
      <c r="A178" s="5" t="s">
        <v>13</v>
      </c>
      <c r="B178" s="30" t="s">
        <v>385</v>
      </c>
      <c r="C178" s="30" t="s">
        <v>278</v>
      </c>
      <c r="D178" s="27">
        <v>17917.498350327412</v>
      </c>
      <c r="E178" s="28">
        <v>16063.233031961445</v>
      </c>
      <c r="F178" s="27">
        <f t="shared" si="5"/>
        <v>1854.2653183659677</v>
      </c>
      <c r="G178" s="27">
        <f t="shared" si="4"/>
        <v>10.348907431779304</v>
      </c>
      <c r="H178" s="29">
        <v>104</v>
      </c>
      <c r="I178" s="29">
        <v>6</v>
      </c>
      <c r="J178" s="12" t="s">
        <v>18</v>
      </c>
      <c r="K178" s="30">
        <v>40.85586</v>
      </c>
      <c r="L178" s="30">
        <v>72.008968333300004</v>
      </c>
      <c r="M178" s="20">
        <v>100</v>
      </c>
    </row>
    <row r="179" spans="1:13" ht="30" customHeight="1">
      <c r="A179" s="5" t="s">
        <v>13</v>
      </c>
      <c r="B179" s="30" t="s">
        <v>391</v>
      </c>
      <c r="C179" s="30" t="s">
        <v>279</v>
      </c>
      <c r="D179" s="27">
        <v>18810.009900327415</v>
      </c>
      <c r="E179" s="28">
        <v>16844.083031961443</v>
      </c>
      <c r="F179" s="27">
        <f t="shared" si="5"/>
        <v>1965.926868365972</v>
      </c>
      <c r="G179" s="27">
        <f t="shared" si="4"/>
        <v>10.45149300177536</v>
      </c>
      <c r="H179" s="29">
        <v>64</v>
      </c>
      <c r="I179" s="29">
        <v>2</v>
      </c>
      <c r="J179" s="12" t="s">
        <v>23</v>
      </c>
      <c r="K179" s="30">
        <v>40.827616666700003</v>
      </c>
      <c r="L179" s="30">
        <v>72.112166666700006</v>
      </c>
      <c r="M179" s="20">
        <v>100</v>
      </c>
    </row>
    <row r="180" spans="1:13" ht="30" customHeight="1">
      <c r="A180" s="5" t="s">
        <v>13</v>
      </c>
      <c r="B180" s="30" t="s">
        <v>391</v>
      </c>
      <c r="C180" s="30" t="s">
        <v>280</v>
      </c>
      <c r="D180" s="27">
        <v>19574.844540327416</v>
      </c>
      <c r="E180" s="28">
        <v>17513.229698628111</v>
      </c>
      <c r="F180" s="27">
        <f t="shared" si="5"/>
        <v>2061.6148416993055</v>
      </c>
      <c r="G180" s="27">
        <f t="shared" si="4"/>
        <v>10.531960228098049</v>
      </c>
      <c r="H180" s="29">
        <v>58</v>
      </c>
      <c r="I180" s="29">
        <v>6</v>
      </c>
      <c r="J180" s="12" t="s">
        <v>23</v>
      </c>
      <c r="K180" s="30">
        <v>40.813206666699998</v>
      </c>
      <c r="L180" s="30">
        <v>72.109205000000003</v>
      </c>
      <c r="M180" s="20">
        <v>160</v>
      </c>
    </row>
    <row r="181" spans="1:13" ht="30" customHeight="1">
      <c r="A181" s="5" t="s">
        <v>13</v>
      </c>
      <c r="B181" s="30" t="s">
        <v>387</v>
      </c>
      <c r="C181" s="30" t="s">
        <v>281</v>
      </c>
      <c r="D181" s="27">
        <v>14114.139180327416</v>
      </c>
      <c r="E181" s="28">
        <v>12735.709698628109</v>
      </c>
      <c r="F181" s="27">
        <f t="shared" si="5"/>
        <v>1378.4294816993079</v>
      </c>
      <c r="G181" s="27">
        <f t="shared" si="4"/>
        <v>9.7663021746348644</v>
      </c>
      <c r="H181" s="29">
        <v>15</v>
      </c>
      <c r="I181" s="29">
        <v>1</v>
      </c>
      <c r="J181" s="12" t="s">
        <v>23</v>
      </c>
      <c r="K181" s="30">
        <v>40.879336666699999</v>
      </c>
      <c r="L181" s="30">
        <v>71.986581666700005</v>
      </c>
      <c r="M181" s="20">
        <v>100</v>
      </c>
    </row>
    <row r="182" spans="1:13" ht="30" customHeight="1">
      <c r="A182" s="5" t="s">
        <v>13</v>
      </c>
      <c r="B182" s="30" t="s">
        <v>390</v>
      </c>
      <c r="C182" s="30" t="s">
        <v>282</v>
      </c>
      <c r="D182" s="27">
        <v>16956.223920327415</v>
      </c>
      <c r="E182" s="28">
        <v>15222.223031961443</v>
      </c>
      <c r="F182" s="27">
        <f t="shared" si="5"/>
        <v>1734.0008883659721</v>
      </c>
      <c r="G182" s="27">
        <f t="shared" si="4"/>
        <v>10.226338697304072</v>
      </c>
      <c r="H182" s="29">
        <v>25</v>
      </c>
      <c r="I182" s="29">
        <v>1</v>
      </c>
      <c r="J182" s="12" t="s">
        <v>23</v>
      </c>
      <c r="K182" s="30">
        <v>40.851741666700001</v>
      </c>
      <c r="L182" s="30">
        <v>72.133139999999997</v>
      </c>
      <c r="M182" s="20">
        <v>100</v>
      </c>
    </row>
    <row r="183" spans="1:13" ht="30" customHeight="1">
      <c r="A183" s="5" t="s">
        <v>13</v>
      </c>
      <c r="B183" s="30" t="s">
        <v>389</v>
      </c>
      <c r="C183" s="30" t="s">
        <v>283</v>
      </c>
      <c r="D183" s="27">
        <v>18004.198710327415</v>
      </c>
      <c r="E183" s="28">
        <v>16139.086365294777</v>
      </c>
      <c r="F183" s="27">
        <f t="shared" si="5"/>
        <v>1865.1123450326377</v>
      </c>
      <c r="G183" s="27">
        <f t="shared" si="4"/>
        <v>10.359318818019865</v>
      </c>
      <c r="H183" s="29">
        <v>81</v>
      </c>
      <c r="I183" s="29">
        <v>2</v>
      </c>
      <c r="J183" s="12" t="s">
        <v>23</v>
      </c>
      <c r="K183" s="30">
        <v>40.878543333300001</v>
      </c>
      <c r="L183" s="30">
        <v>72.055769999999995</v>
      </c>
      <c r="M183" s="20">
        <v>250</v>
      </c>
    </row>
    <row r="184" spans="1:13" ht="30" customHeight="1">
      <c r="A184" s="5" t="s">
        <v>13</v>
      </c>
      <c r="B184" s="30" t="s">
        <v>385</v>
      </c>
      <c r="C184" s="30" t="s">
        <v>284</v>
      </c>
      <c r="D184" s="27">
        <v>19761.321180327417</v>
      </c>
      <c r="E184" s="28">
        <v>17676.376365294778</v>
      </c>
      <c r="F184" s="27">
        <f t="shared" si="5"/>
        <v>2084.9448150326389</v>
      </c>
      <c r="G184" s="27">
        <f t="shared" si="4"/>
        <v>10.550634727339087</v>
      </c>
      <c r="H184" s="29">
        <v>94</v>
      </c>
      <c r="I184" s="29">
        <v>1</v>
      </c>
      <c r="J184" s="12" t="s">
        <v>23</v>
      </c>
      <c r="K184" s="30">
        <v>40.863901666700002</v>
      </c>
      <c r="L184" s="30">
        <v>71.990183333299996</v>
      </c>
      <c r="M184" s="20">
        <v>100</v>
      </c>
    </row>
    <row r="185" spans="1:13" ht="30" customHeight="1">
      <c r="A185" s="5" t="s">
        <v>13</v>
      </c>
      <c r="B185" s="30" t="s">
        <v>384</v>
      </c>
      <c r="C185" s="30" t="s">
        <v>112</v>
      </c>
      <c r="D185" s="27">
        <v>17361.646020327418</v>
      </c>
      <c r="E185" s="28">
        <v>15576.923031961443</v>
      </c>
      <c r="F185" s="27">
        <f t="shared" si="5"/>
        <v>1784.7229883659747</v>
      </c>
      <c r="G185" s="27">
        <f t="shared" si="4"/>
        <v>10.279687687886158</v>
      </c>
      <c r="H185" s="29">
        <v>91</v>
      </c>
      <c r="I185" s="29">
        <v>4</v>
      </c>
      <c r="J185" s="12" t="s">
        <v>19</v>
      </c>
      <c r="K185" s="30">
        <v>40.877413333299998</v>
      </c>
      <c r="L185" s="30">
        <v>71.930764999999994</v>
      </c>
      <c r="M185" s="20">
        <v>160</v>
      </c>
    </row>
    <row r="186" spans="1:13" ht="30" customHeight="1">
      <c r="A186" s="5" t="s">
        <v>13</v>
      </c>
      <c r="B186" s="30" t="s">
        <v>388</v>
      </c>
      <c r="C186" s="30" t="s">
        <v>285</v>
      </c>
      <c r="D186" s="27">
        <v>15610.493820327414</v>
      </c>
      <c r="E186" s="28">
        <v>14044.856365294776</v>
      </c>
      <c r="F186" s="27">
        <f t="shared" si="5"/>
        <v>1565.6374550326382</v>
      </c>
      <c r="G186" s="27">
        <f t="shared" si="4"/>
        <v>10.0293909536284</v>
      </c>
      <c r="H186" s="29">
        <v>44</v>
      </c>
      <c r="I186" s="29">
        <v>1</v>
      </c>
      <c r="J186" s="12" t="s">
        <v>19</v>
      </c>
      <c r="K186" s="30">
        <v>40.874026666600002</v>
      </c>
      <c r="L186" s="30">
        <v>72.094549999700007</v>
      </c>
      <c r="M186" s="20">
        <v>160</v>
      </c>
    </row>
    <row r="187" spans="1:13" ht="30" customHeight="1">
      <c r="A187" s="5" t="s">
        <v>13</v>
      </c>
      <c r="B187" s="30" t="s">
        <v>387</v>
      </c>
      <c r="C187" s="30" t="s">
        <v>286</v>
      </c>
      <c r="D187" s="27">
        <v>25273.933980327412</v>
      </c>
      <c r="E187" s="28">
        <v>22499.309698628113</v>
      </c>
      <c r="F187" s="27">
        <f t="shared" si="5"/>
        <v>2774.6242816992999</v>
      </c>
      <c r="G187" s="27">
        <f t="shared" si="4"/>
        <v>10.978204991193682</v>
      </c>
      <c r="H187" s="29">
        <v>51</v>
      </c>
      <c r="I187" s="29">
        <v>4</v>
      </c>
      <c r="J187" s="12" t="s">
        <v>19</v>
      </c>
      <c r="K187" s="30">
        <v>40.8828566667</v>
      </c>
      <c r="L187" s="30">
        <v>71.988209999999995</v>
      </c>
      <c r="M187" s="20">
        <v>160</v>
      </c>
    </row>
    <row r="188" spans="1:13" ht="30" customHeight="1">
      <c r="A188" s="5" t="s">
        <v>13</v>
      </c>
      <c r="B188" s="30" t="s">
        <v>390</v>
      </c>
      <c r="C188" s="30" t="s">
        <v>287</v>
      </c>
      <c r="D188" s="27">
        <v>16645.909707327417</v>
      </c>
      <c r="E188" s="28">
        <v>14950.732031961445</v>
      </c>
      <c r="F188" s="27">
        <f t="shared" si="5"/>
        <v>1695.1776753659724</v>
      </c>
      <c r="G188" s="27">
        <f t="shared" si="4"/>
        <v>10.183749072120502</v>
      </c>
      <c r="H188" s="29">
        <v>69</v>
      </c>
      <c r="I188" s="29">
        <v>1</v>
      </c>
      <c r="J188" s="12" t="s">
        <v>19</v>
      </c>
      <c r="K188" s="30">
        <v>40.859856666699997</v>
      </c>
      <c r="L188" s="30">
        <v>72.077610000000007</v>
      </c>
      <c r="M188" s="20">
        <v>63</v>
      </c>
    </row>
    <row r="189" spans="1:13" ht="30" customHeight="1">
      <c r="A189" s="5" t="s">
        <v>13</v>
      </c>
      <c r="B189" s="30" t="s">
        <v>391</v>
      </c>
      <c r="C189" s="30" t="s">
        <v>288</v>
      </c>
      <c r="D189" s="27">
        <v>17842.608990327411</v>
      </c>
      <c r="E189" s="28">
        <v>15997.713031961444</v>
      </c>
      <c r="F189" s="27">
        <f t="shared" si="5"/>
        <v>1844.8959583659671</v>
      </c>
      <c r="G189" s="27">
        <f t="shared" si="4"/>
        <v>10.339832921105296</v>
      </c>
      <c r="H189" s="29">
        <v>81</v>
      </c>
      <c r="I189" s="29">
        <v>1</v>
      </c>
      <c r="J189" s="12" t="s">
        <v>23</v>
      </c>
      <c r="K189" s="30">
        <v>40.848528333300003</v>
      </c>
      <c r="L189" s="30">
        <v>72.072953333300006</v>
      </c>
      <c r="M189" s="20">
        <v>100</v>
      </c>
    </row>
    <row r="190" spans="1:13" ht="30" customHeight="1">
      <c r="A190" s="5" t="s">
        <v>13</v>
      </c>
      <c r="B190" s="30" t="s">
        <v>390</v>
      </c>
      <c r="C190" s="30" t="s">
        <v>289</v>
      </c>
      <c r="D190" s="27">
        <v>16325.798460327409</v>
      </c>
      <c r="E190" s="28">
        <v>14670.669698628108</v>
      </c>
      <c r="F190" s="27">
        <f t="shared" si="5"/>
        <v>1655.1287616993013</v>
      </c>
      <c r="G190" s="27">
        <f t="shared" si="4"/>
        <v>10.138118302276949</v>
      </c>
      <c r="H190" s="29">
        <v>53</v>
      </c>
      <c r="I190" s="29">
        <v>2</v>
      </c>
      <c r="J190" s="12" t="s">
        <v>19</v>
      </c>
      <c r="K190" s="30">
        <v>40.877876666699997</v>
      </c>
      <c r="L190" s="30">
        <v>72.082390000000004</v>
      </c>
      <c r="M190" s="20">
        <v>100</v>
      </c>
    </row>
    <row r="191" spans="1:13" ht="30" customHeight="1">
      <c r="A191" s="5" t="s">
        <v>13</v>
      </c>
      <c r="B191" s="30" t="s">
        <v>384</v>
      </c>
      <c r="C191" s="30" t="s">
        <v>97</v>
      </c>
      <c r="D191" s="27">
        <v>15971.521800327413</v>
      </c>
      <c r="E191" s="28">
        <v>14360.716365294777</v>
      </c>
      <c r="F191" s="27">
        <f t="shared" si="5"/>
        <v>1610.8054350326365</v>
      </c>
      <c r="G191" s="27">
        <f t="shared" si="4"/>
        <v>10.085484997425951</v>
      </c>
      <c r="H191" s="29">
        <v>36</v>
      </c>
      <c r="I191" s="29">
        <v>1</v>
      </c>
      <c r="J191" s="12" t="s">
        <v>19</v>
      </c>
      <c r="K191" s="30">
        <v>40.864673333299997</v>
      </c>
      <c r="L191" s="30">
        <v>71.946511666700005</v>
      </c>
      <c r="M191" s="20">
        <v>100</v>
      </c>
    </row>
    <row r="192" spans="1:13" ht="30" customHeight="1">
      <c r="A192" s="5" t="s">
        <v>30</v>
      </c>
      <c r="B192" s="30" t="s">
        <v>385</v>
      </c>
      <c r="C192" s="30" t="s">
        <v>290</v>
      </c>
      <c r="D192" s="27">
        <v>23700.96405032742</v>
      </c>
      <c r="E192" s="28">
        <v>21123.133031961446</v>
      </c>
      <c r="F192" s="27">
        <f t="shared" si="5"/>
        <v>2577.8310183659742</v>
      </c>
      <c r="G192" s="27">
        <f t="shared" si="4"/>
        <v>10.876481702989471</v>
      </c>
      <c r="H192" s="29">
        <v>78</v>
      </c>
      <c r="I192" s="29">
        <v>2</v>
      </c>
      <c r="J192" s="12" t="s">
        <v>33</v>
      </c>
      <c r="K192" s="30">
        <v>40.865333333300001</v>
      </c>
      <c r="L192" s="30">
        <v>71.986301666700001</v>
      </c>
      <c r="M192" s="20">
        <v>160</v>
      </c>
    </row>
    <row r="193" spans="1:13" ht="30" customHeight="1">
      <c r="A193" s="5" t="s">
        <v>30</v>
      </c>
      <c r="B193" s="30" t="s">
        <v>388</v>
      </c>
      <c r="C193" s="30" t="s">
        <v>291</v>
      </c>
      <c r="D193" s="27">
        <v>18088.818810327415</v>
      </c>
      <c r="E193" s="28">
        <v>16213.11969862811</v>
      </c>
      <c r="F193" s="27">
        <f t="shared" si="5"/>
        <v>1875.6991116993049</v>
      </c>
      <c r="G193" s="27">
        <f t="shared" si="4"/>
        <v>10.369384155854419</v>
      </c>
      <c r="H193" s="29">
        <v>102</v>
      </c>
      <c r="I193" s="29">
        <v>1</v>
      </c>
      <c r="J193" s="12" t="s">
        <v>42</v>
      </c>
      <c r="K193" s="30">
        <v>40.872945000000001</v>
      </c>
      <c r="L193" s="30">
        <v>72.003528333299997</v>
      </c>
      <c r="M193" s="21">
        <v>250</v>
      </c>
    </row>
    <row r="194" spans="1:13" ht="30" customHeight="1">
      <c r="A194" s="5" t="s">
        <v>30</v>
      </c>
      <c r="B194" s="30" t="s">
        <v>384</v>
      </c>
      <c r="C194" s="30" t="s">
        <v>116</v>
      </c>
      <c r="D194" s="27">
        <v>28622.165790327417</v>
      </c>
      <c r="E194" s="28">
        <v>25428.646365294775</v>
      </c>
      <c r="F194" s="27">
        <f t="shared" si="5"/>
        <v>3193.5194250326422</v>
      </c>
      <c r="G194" s="27">
        <f t="shared" si="4"/>
        <v>11.157504461496275</v>
      </c>
      <c r="H194" s="29">
        <v>102</v>
      </c>
      <c r="I194" s="29">
        <v>2</v>
      </c>
      <c r="J194" s="12" t="s">
        <v>42</v>
      </c>
      <c r="K194" s="30">
        <v>40.890994999999997</v>
      </c>
      <c r="L194" s="30">
        <v>71.932898333300002</v>
      </c>
      <c r="M194" s="20">
        <v>400</v>
      </c>
    </row>
    <row r="195" spans="1:13" ht="30" customHeight="1">
      <c r="A195" s="5" t="s">
        <v>30</v>
      </c>
      <c r="B195" s="30" t="s">
        <v>389</v>
      </c>
      <c r="C195" s="30" t="s">
        <v>292</v>
      </c>
      <c r="D195" s="27">
        <v>15079.757010327412</v>
      </c>
      <c r="E195" s="28">
        <v>13580.51969862811</v>
      </c>
      <c r="F195" s="27">
        <f t="shared" si="5"/>
        <v>1499.2373116993022</v>
      </c>
      <c r="G195" s="27">
        <f t="shared" ref="G195:G258" si="6">+F195*100/D195</f>
        <v>9.9420521873962926</v>
      </c>
      <c r="H195" s="29">
        <v>23</v>
      </c>
      <c r="I195" s="29">
        <v>1</v>
      </c>
      <c r="J195" s="12" t="s">
        <v>42</v>
      </c>
      <c r="K195" s="30">
        <v>40.87829</v>
      </c>
      <c r="L195" s="30">
        <v>72.038823333300002</v>
      </c>
      <c r="M195" s="20">
        <v>160</v>
      </c>
    </row>
    <row r="196" spans="1:13" ht="30" customHeight="1">
      <c r="A196" s="5" t="s">
        <v>30</v>
      </c>
      <c r="B196" s="30" t="s">
        <v>392</v>
      </c>
      <c r="C196" s="30" t="s">
        <v>293</v>
      </c>
      <c r="D196" s="27">
        <v>16024.880850327412</v>
      </c>
      <c r="E196" s="28">
        <v>14407.399698628107</v>
      </c>
      <c r="F196" s="27">
        <f t="shared" si="5"/>
        <v>1617.481151699305</v>
      </c>
      <c r="G196" s="27">
        <f t="shared" si="6"/>
        <v>10.093561174067997</v>
      </c>
      <c r="H196" s="29">
        <v>88</v>
      </c>
      <c r="I196" s="29">
        <v>2</v>
      </c>
      <c r="J196" s="12" t="s">
        <v>51</v>
      </c>
      <c r="K196" s="30">
        <v>40.838336666700002</v>
      </c>
      <c r="L196" s="30">
        <v>72.207795000000004</v>
      </c>
      <c r="M196" s="20">
        <v>100</v>
      </c>
    </row>
    <row r="197" spans="1:13" ht="30" customHeight="1">
      <c r="A197" s="5" t="s">
        <v>30</v>
      </c>
      <c r="B197" s="30" t="s">
        <v>392</v>
      </c>
      <c r="C197" s="30" t="s">
        <v>294</v>
      </c>
      <c r="D197" s="27">
        <v>17188.470090327413</v>
      </c>
      <c r="E197" s="28">
        <v>15425.413031961445</v>
      </c>
      <c r="F197" s="27">
        <f t="shared" ref="F197:F260" si="7">+D197-E197</f>
        <v>1763.0570583659683</v>
      </c>
      <c r="G197" s="27">
        <f t="shared" si="6"/>
        <v>10.257207587998804</v>
      </c>
      <c r="H197" s="29">
        <v>75</v>
      </c>
      <c r="I197" s="29">
        <v>1</v>
      </c>
      <c r="J197" s="12" t="s">
        <v>51</v>
      </c>
      <c r="K197" s="30">
        <v>40.839168333300002</v>
      </c>
      <c r="L197" s="30">
        <v>72.209829999999997</v>
      </c>
      <c r="M197" s="20">
        <v>100</v>
      </c>
    </row>
    <row r="198" spans="1:13" ht="30" customHeight="1">
      <c r="A198" s="5" t="s">
        <v>30</v>
      </c>
      <c r="B198" s="30" t="s">
        <v>388</v>
      </c>
      <c r="C198" s="30" t="s">
        <v>295</v>
      </c>
      <c r="D198" s="27">
        <v>19962.748260327411</v>
      </c>
      <c r="E198" s="28">
        <v>17852.603031961444</v>
      </c>
      <c r="F198" s="27">
        <f t="shared" si="7"/>
        <v>2110.1452283659673</v>
      </c>
      <c r="G198" s="27">
        <f t="shared" si="6"/>
        <v>10.570414458211269</v>
      </c>
      <c r="H198" s="29">
        <v>101</v>
      </c>
      <c r="I198" s="29">
        <v>2</v>
      </c>
      <c r="J198" s="12" t="s">
        <v>51</v>
      </c>
      <c r="K198" s="30">
        <v>40.875433333300002</v>
      </c>
      <c r="L198" s="30">
        <v>72.019919999999999</v>
      </c>
      <c r="M198" s="20">
        <v>160</v>
      </c>
    </row>
    <row r="199" spans="1:13" ht="30" customHeight="1">
      <c r="A199" s="5" t="s">
        <v>30</v>
      </c>
      <c r="B199" s="30" t="s">
        <v>388</v>
      </c>
      <c r="C199" s="30" t="s">
        <v>296</v>
      </c>
      <c r="D199" s="27">
        <v>14643.271980327416</v>
      </c>
      <c r="E199" s="28">
        <v>13198.643031961443</v>
      </c>
      <c r="F199" s="27">
        <f t="shared" si="7"/>
        <v>1444.628948365973</v>
      </c>
      <c r="G199" s="27">
        <f t="shared" si="6"/>
        <v>9.8654791791531817</v>
      </c>
      <c r="H199" s="29">
        <v>22</v>
      </c>
      <c r="I199" s="29">
        <v>2</v>
      </c>
      <c r="J199" s="12" t="s">
        <v>51</v>
      </c>
      <c r="K199" s="30">
        <v>40.874026666600002</v>
      </c>
      <c r="L199" s="30">
        <v>72.094549999700007</v>
      </c>
      <c r="M199" s="20">
        <v>250</v>
      </c>
    </row>
    <row r="200" spans="1:13" ht="30" customHeight="1">
      <c r="A200" s="5" t="s">
        <v>30</v>
      </c>
      <c r="B200" s="30" t="s">
        <v>386</v>
      </c>
      <c r="C200" s="30" t="s">
        <v>297</v>
      </c>
      <c r="D200" s="27">
        <v>15336.269070327413</v>
      </c>
      <c r="E200" s="28">
        <v>13804.939698628108</v>
      </c>
      <c r="F200" s="27">
        <f t="shared" si="7"/>
        <v>1531.3293716993048</v>
      </c>
      <c r="G200" s="27">
        <f t="shared" si="6"/>
        <v>9.9850189422023004</v>
      </c>
      <c r="H200" s="29">
        <v>55</v>
      </c>
      <c r="I200" s="29">
        <v>1</v>
      </c>
      <c r="J200" s="12"/>
      <c r="K200" s="30">
        <v>40.872078333300003</v>
      </c>
      <c r="L200" s="30">
        <v>71.959788333299997</v>
      </c>
      <c r="M200" s="20">
        <v>63</v>
      </c>
    </row>
    <row r="201" spans="1:13" ht="30" customHeight="1">
      <c r="A201" s="5" t="s">
        <v>30</v>
      </c>
      <c r="B201" s="30" t="s">
        <v>387</v>
      </c>
      <c r="C201" s="30" t="s">
        <v>298</v>
      </c>
      <c r="D201" s="27">
        <v>15701.64045032741</v>
      </c>
      <c r="E201" s="28">
        <v>14124.599698628108</v>
      </c>
      <c r="F201" s="27">
        <f t="shared" si="7"/>
        <v>1577.0407516993018</v>
      </c>
      <c r="G201" s="27">
        <f t="shared" si="6"/>
        <v>10.043796103269052</v>
      </c>
      <c r="H201" s="29">
        <v>48</v>
      </c>
      <c r="I201" s="29">
        <v>1</v>
      </c>
      <c r="J201" s="12" t="s">
        <v>52</v>
      </c>
      <c r="K201" s="30">
        <v>40.885644999999997</v>
      </c>
      <c r="L201" s="30">
        <v>71.975255000000004</v>
      </c>
      <c r="M201" s="20">
        <v>250</v>
      </c>
    </row>
    <row r="202" spans="1:13" ht="30" customHeight="1">
      <c r="A202" s="19" t="s">
        <v>30</v>
      </c>
      <c r="B202" s="30" t="s">
        <v>387</v>
      </c>
      <c r="C202" s="30" t="s">
        <v>299</v>
      </c>
      <c r="D202" s="27">
        <v>14985.459510327411</v>
      </c>
      <c r="E202" s="28">
        <v>13498.01969862811</v>
      </c>
      <c r="F202" s="27">
        <f t="shared" si="7"/>
        <v>1487.4398116993016</v>
      </c>
      <c r="G202" s="27">
        <f t="shared" si="6"/>
        <v>9.9258872287113675</v>
      </c>
      <c r="H202" s="29">
        <v>43</v>
      </c>
      <c r="I202" s="29">
        <v>2</v>
      </c>
      <c r="J202" s="13" t="s">
        <v>52</v>
      </c>
      <c r="K202" s="30">
        <v>40.883506666700001</v>
      </c>
      <c r="L202" s="30">
        <v>71.977718333300004</v>
      </c>
      <c r="M202" s="20">
        <v>250</v>
      </c>
    </row>
    <row r="203" spans="1:13" ht="30" customHeight="1">
      <c r="A203" s="19" t="s">
        <v>30</v>
      </c>
      <c r="B203" s="30" t="s">
        <v>389</v>
      </c>
      <c r="C203" s="30" t="s">
        <v>300</v>
      </c>
      <c r="D203" s="27">
        <v>13450.707690327414</v>
      </c>
      <c r="E203" s="28">
        <v>12155.279698628108</v>
      </c>
      <c r="F203" s="27">
        <f t="shared" si="7"/>
        <v>1295.4279916993055</v>
      </c>
      <c r="G203" s="27">
        <f t="shared" si="6"/>
        <v>9.630928137936305</v>
      </c>
      <c r="H203" s="29">
        <v>25</v>
      </c>
      <c r="I203" s="29">
        <v>2</v>
      </c>
      <c r="J203" s="13" t="s">
        <v>52</v>
      </c>
      <c r="K203" s="30">
        <v>40.877465000000001</v>
      </c>
      <c r="L203" s="30">
        <v>72.08811</v>
      </c>
      <c r="M203" s="20">
        <v>250</v>
      </c>
    </row>
    <row r="204" spans="1:13" ht="30" customHeight="1">
      <c r="A204" s="19" t="s">
        <v>30</v>
      </c>
      <c r="B204" s="30" t="s">
        <v>390</v>
      </c>
      <c r="C204" s="30" t="s">
        <v>301</v>
      </c>
      <c r="D204" s="27">
        <v>22334.739960327417</v>
      </c>
      <c r="E204" s="28">
        <v>19927.836365294777</v>
      </c>
      <c r="F204" s="27">
        <f t="shared" si="7"/>
        <v>2406.9035950326397</v>
      </c>
      <c r="G204" s="27">
        <f t="shared" si="6"/>
        <v>10.776501536655255</v>
      </c>
      <c r="H204" s="29">
        <v>88</v>
      </c>
      <c r="I204" s="29">
        <v>1</v>
      </c>
      <c r="J204" s="13" t="s">
        <v>53</v>
      </c>
      <c r="K204" s="30">
        <v>40.861406666699999</v>
      </c>
      <c r="L204" s="30">
        <v>72.060223333300002</v>
      </c>
      <c r="M204" s="20">
        <v>100</v>
      </c>
    </row>
    <row r="205" spans="1:13" ht="30" customHeight="1">
      <c r="A205" s="19" t="s">
        <v>30</v>
      </c>
      <c r="B205" s="30" t="s">
        <v>388</v>
      </c>
      <c r="C205" s="30" t="s">
        <v>302</v>
      </c>
      <c r="D205" s="27">
        <v>16750.903020327416</v>
      </c>
      <c r="E205" s="28">
        <v>15042.589698628111</v>
      </c>
      <c r="F205" s="27">
        <f t="shared" si="7"/>
        <v>1708.3133216993047</v>
      </c>
      <c r="G205" s="27">
        <f t="shared" si="6"/>
        <v>10.198335693462296</v>
      </c>
      <c r="H205" s="29">
        <v>67</v>
      </c>
      <c r="I205" s="29">
        <v>1</v>
      </c>
      <c r="J205" s="13" t="s">
        <v>53</v>
      </c>
      <c r="K205" s="30">
        <v>40.876036666700003</v>
      </c>
      <c r="L205" s="30">
        <v>72.012455000000003</v>
      </c>
      <c r="M205" s="20">
        <v>63</v>
      </c>
    </row>
    <row r="206" spans="1:13" ht="30" customHeight="1">
      <c r="A206" s="19" t="s">
        <v>30</v>
      </c>
      <c r="B206" s="30" t="s">
        <v>387</v>
      </c>
      <c r="C206" s="30" t="s">
        <v>303</v>
      </c>
      <c r="D206" s="27">
        <v>36318.563910327415</v>
      </c>
      <c r="E206" s="28">
        <v>32162.153031961432</v>
      </c>
      <c r="F206" s="27">
        <f t="shared" si="7"/>
        <v>4156.4108783659831</v>
      </c>
      <c r="G206" s="27">
        <f t="shared" si="6"/>
        <v>11.444315057799081</v>
      </c>
      <c r="H206" s="29">
        <v>138</v>
      </c>
      <c r="I206" s="29">
        <v>1</v>
      </c>
      <c r="J206" s="13" t="s">
        <v>53</v>
      </c>
      <c r="K206" s="30">
        <v>40.878603333299999</v>
      </c>
      <c r="L206" s="30">
        <v>71.971546666699993</v>
      </c>
      <c r="M206" s="20">
        <v>100</v>
      </c>
    </row>
    <row r="207" spans="1:13" ht="30" customHeight="1">
      <c r="A207" s="19" t="s">
        <v>30</v>
      </c>
      <c r="B207" s="30" t="s">
        <v>388</v>
      </c>
      <c r="C207" s="30" t="s">
        <v>304</v>
      </c>
      <c r="D207" s="27">
        <v>15648.471900327415</v>
      </c>
      <c r="E207" s="28">
        <v>14078.083031961442</v>
      </c>
      <c r="F207" s="27">
        <f t="shared" si="7"/>
        <v>1570.3888683659734</v>
      </c>
      <c r="G207" s="27">
        <f t="shared" si="6"/>
        <v>10.035413543050909</v>
      </c>
      <c r="H207" s="29">
        <v>51</v>
      </c>
      <c r="I207" s="29">
        <v>1</v>
      </c>
      <c r="J207" s="13" t="s">
        <v>53</v>
      </c>
      <c r="K207" s="30">
        <v>40.877144999999999</v>
      </c>
      <c r="L207" s="30">
        <v>72.008285000000001</v>
      </c>
      <c r="M207" s="20">
        <v>160</v>
      </c>
    </row>
    <row r="208" spans="1:13" ht="30" customHeight="1">
      <c r="A208" s="19" t="s">
        <v>30</v>
      </c>
      <c r="B208" s="30" t="s">
        <v>389</v>
      </c>
      <c r="C208" s="30" t="s">
        <v>305</v>
      </c>
      <c r="D208" s="27">
        <v>18765.619590327413</v>
      </c>
      <c r="E208" s="28">
        <v>16805.246365294777</v>
      </c>
      <c r="F208" s="27">
        <f t="shared" si="7"/>
        <v>1960.3732250326357</v>
      </c>
      <c r="G208" s="27">
        <f t="shared" si="6"/>
        <v>10.446621363054243</v>
      </c>
      <c r="H208" s="29">
        <v>117</v>
      </c>
      <c r="I208" s="29">
        <v>1</v>
      </c>
      <c r="J208" s="13" t="s">
        <v>53</v>
      </c>
      <c r="K208" s="30">
        <v>40.881168333300003</v>
      </c>
      <c r="L208" s="30">
        <v>72.049769999999995</v>
      </c>
      <c r="M208" s="20">
        <v>160</v>
      </c>
    </row>
    <row r="209" spans="1:13" ht="30" customHeight="1">
      <c r="A209" s="19" t="s">
        <v>30</v>
      </c>
      <c r="B209" s="30" t="s">
        <v>390</v>
      </c>
      <c r="C209" s="30" t="s">
        <v>306</v>
      </c>
      <c r="D209" s="27">
        <v>14685.780150327417</v>
      </c>
      <c r="E209" s="28">
        <v>13235.833031961442</v>
      </c>
      <c r="F209" s="27">
        <f t="shared" si="7"/>
        <v>1449.9471183659753</v>
      </c>
      <c r="G209" s="27">
        <f t="shared" si="6"/>
        <v>9.8731364866145643</v>
      </c>
      <c r="H209" s="29">
        <v>84</v>
      </c>
      <c r="I209" s="29">
        <v>8</v>
      </c>
      <c r="J209" s="13" t="s">
        <v>53</v>
      </c>
      <c r="K209" s="30">
        <v>40.850251666699997</v>
      </c>
      <c r="L209" s="30">
        <v>72.055284999999998</v>
      </c>
      <c r="M209" s="20">
        <v>250</v>
      </c>
    </row>
    <row r="210" spans="1:13" ht="30" customHeight="1">
      <c r="A210" s="19" t="s">
        <v>30</v>
      </c>
      <c r="B210" s="30" t="s">
        <v>389</v>
      </c>
      <c r="C210" s="30" t="s">
        <v>307</v>
      </c>
      <c r="D210" s="27">
        <v>20662.61097032742</v>
      </c>
      <c r="E210" s="28">
        <v>18464.906365294777</v>
      </c>
      <c r="F210" s="27">
        <f t="shared" si="7"/>
        <v>2197.7046050326426</v>
      </c>
      <c r="G210" s="27">
        <f t="shared" si="6"/>
        <v>10.63614181280701</v>
      </c>
      <c r="H210" s="29">
        <v>55</v>
      </c>
      <c r="I210" s="29">
        <v>1</v>
      </c>
      <c r="J210" s="13" t="s">
        <v>53</v>
      </c>
      <c r="K210" s="30">
        <v>40.8797483333</v>
      </c>
      <c r="L210" s="30">
        <v>72.029821666700002</v>
      </c>
      <c r="M210" s="20">
        <v>40</v>
      </c>
    </row>
    <row r="211" spans="1:13" ht="30" customHeight="1">
      <c r="A211" s="19" t="s">
        <v>30</v>
      </c>
      <c r="B211" s="30" t="s">
        <v>387</v>
      </c>
      <c r="C211" s="30" t="s">
        <v>308</v>
      </c>
      <c r="D211" s="27">
        <v>19028.951550327416</v>
      </c>
      <c r="E211" s="28">
        <v>17035.633031961443</v>
      </c>
      <c r="F211" s="27">
        <f t="shared" si="7"/>
        <v>1993.3185183659734</v>
      </c>
      <c r="G211" s="27">
        <f t="shared" si="6"/>
        <v>10.475188362816953</v>
      </c>
      <c r="H211" s="29">
        <v>48</v>
      </c>
      <c r="I211" s="29">
        <v>1</v>
      </c>
      <c r="J211" s="13" t="s">
        <v>49</v>
      </c>
      <c r="K211" s="30">
        <v>40.87462</v>
      </c>
      <c r="L211" s="30">
        <v>71.975811666699997</v>
      </c>
      <c r="M211" s="20">
        <v>250</v>
      </c>
    </row>
    <row r="212" spans="1:13" ht="30" customHeight="1">
      <c r="A212" s="19" t="s">
        <v>30</v>
      </c>
      <c r="B212" s="30" t="s">
        <v>392</v>
      </c>
      <c r="C212" s="30" t="s">
        <v>309</v>
      </c>
      <c r="D212" s="27">
        <v>14236.21920032741</v>
      </c>
      <c r="E212" s="28">
        <v>12842.516365294776</v>
      </c>
      <c r="F212" s="27">
        <f t="shared" si="7"/>
        <v>1393.7028350326345</v>
      </c>
      <c r="G212" s="27">
        <f t="shared" si="6"/>
        <v>9.7898382668944972</v>
      </c>
      <c r="H212" s="29">
        <v>60</v>
      </c>
      <c r="I212" s="29">
        <v>2</v>
      </c>
      <c r="J212" s="13" t="s">
        <v>49</v>
      </c>
      <c r="K212" s="30">
        <v>40.841295000000002</v>
      </c>
      <c r="L212" s="30">
        <v>72.169233333299999</v>
      </c>
      <c r="M212" s="20">
        <v>63</v>
      </c>
    </row>
    <row r="213" spans="1:13" ht="30" customHeight="1">
      <c r="A213" s="19" t="s">
        <v>30</v>
      </c>
      <c r="B213" s="30" t="s">
        <v>389</v>
      </c>
      <c r="C213" s="30" t="s">
        <v>310</v>
      </c>
      <c r="D213" s="27">
        <v>17694.339030327414</v>
      </c>
      <c r="E213" s="28">
        <v>15867.993031961443</v>
      </c>
      <c r="F213" s="27">
        <f t="shared" si="7"/>
        <v>1826.3459983659704</v>
      </c>
      <c r="G213" s="27">
        <f t="shared" si="6"/>
        <v>10.321640131545371</v>
      </c>
      <c r="H213" s="29">
        <v>67</v>
      </c>
      <c r="I213" s="29">
        <v>2</v>
      </c>
      <c r="J213" s="13" t="s">
        <v>54</v>
      </c>
      <c r="K213" s="30">
        <v>40.8741466667</v>
      </c>
      <c r="L213" s="30">
        <v>72.027926666699997</v>
      </c>
      <c r="M213" s="20">
        <v>25</v>
      </c>
    </row>
    <row r="214" spans="1:13" ht="30" customHeight="1">
      <c r="A214" s="19" t="s">
        <v>30</v>
      </c>
      <c r="B214" s="30" t="s">
        <v>392</v>
      </c>
      <c r="C214" s="30" t="s">
        <v>311</v>
      </c>
      <c r="D214" s="27">
        <v>14236.748790327416</v>
      </c>
      <c r="E214" s="28">
        <v>12842.979698628109</v>
      </c>
      <c r="F214" s="27">
        <f t="shared" si="7"/>
        <v>1393.769091699307</v>
      </c>
      <c r="G214" s="27">
        <f t="shared" si="6"/>
        <v>9.7899394884753974</v>
      </c>
      <c r="H214" s="29">
        <v>55</v>
      </c>
      <c r="I214" s="29">
        <v>1</v>
      </c>
      <c r="J214" s="13" t="s">
        <v>52</v>
      </c>
      <c r="K214" s="30">
        <v>40.822923333299997</v>
      </c>
      <c r="L214" s="30">
        <v>72.176041666700002</v>
      </c>
      <c r="M214" s="20">
        <v>100</v>
      </c>
    </row>
    <row r="215" spans="1:13" ht="30" customHeight="1">
      <c r="A215" s="19" t="s">
        <v>30</v>
      </c>
      <c r="B215" s="30" t="s">
        <v>388</v>
      </c>
      <c r="C215" s="30" t="s">
        <v>312</v>
      </c>
      <c r="D215" s="27">
        <v>15803.500800327412</v>
      </c>
      <c r="E215" s="28">
        <v>14213.716365294777</v>
      </c>
      <c r="F215" s="27">
        <f t="shared" si="7"/>
        <v>1589.7844350326359</v>
      </c>
      <c r="G215" s="27">
        <f t="shared" si="6"/>
        <v>10.059697880356351</v>
      </c>
      <c r="H215" s="29">
        <v>73</v>
      </c>
      <c r="I215" s="29">
        <v>1</v>
      </c>
      <c r="J215" s="13" t="s">
        <v>42</v>
      </c>
      <c r="K215" s="30">
        <v>40.871153333300001</v>
      </c>
      <c r="L215" s="30">
        <v>72.022553333299996</v>
      </c>
      <c r="M215" s="20">
        <v>250</v>
      </c>
    </row>
    <row r="216" spans="1:13" ht="30" customHeight="1">
      <c r="A216" s="19" t="s">
        <v>30</v>
      </c>
      <c r="B216" s="30" t="s">
        <v>389</v>
      </c>
      <c r="C216" s="30" t="s">
        <v>313</v>
      </c>
      <c r="D216" s="27">
        <v>26421.319290327418</v>
      </c>
      <c r="E216" s="28">
        <v>23503.146365294775</v>
      </c>
      <c r="F216" s="27">
        <f t="shared" si="7"/>
        <v>2918.1729250326425</v>
      </c>
      <c r="G216" s="27">
        <f t="shared" si="6"/>
        <v>11.044766133616033</v>
      </c>
      <c r="H216" s="29">
        <v>96</v>
      </c>
      <c r="I216" s="29">
        <v>4</v>
      </c>
      <c r="J216" s="13" t="s">
        <v>27</v>
      </c>
      <c r="K216" s="30">
        <v>40.879914999999997</v>
      </c>
      <c r="L216" s="30">
        <v>72.089108333300004</v>
      </c>
      <c r="M216" s="20">
        <v>40</v>
      </c>
    </row>
    <row r="217" spans="1:13" ht="30" customHeight="1">
      <c r="A217" s="19" t="s">
        <v>30</v>
      </c>
      <c r="B217" s="30" t="s">
        <v>388</v>
      </c>
      <c r="C217" s="30" t="s">
        <v>314</v>
      </c>
      <c r="D217" s="27">
        <v>15039.542460327415</v>
      </c>
      <c r="E217" s="28">
        <v>13545.336365294776</v>
      </c>
      <c r="F217" s="27">
        <f t="shared" si="7"/>
        <v>1494.2060950326395</v>
      </c>
      <c r="G217" s="27">
        <f t="shared" si="6"/>
        <v>9.9351831943969273</v>
      </c>
      <c r="H217" s="29">
        <v>51</v>
      </c>
      <c r="I217" s="29">
        <v>2</v>
      </c>
      <c r="J217" s="13" t="s">
        <v>32</v>
      </c>
      <c r="K217" s="30">
        <v>40.876891666699997</v>
      </c>
      <c r="L217" s="30">
        <v>71.987205000000003</v>
      </c>
      <c r="M217" s="19">
        <v>160</v>
      </c>
    </row>
    <row r="218" spans="1:13" ht="30" customHeight="1">
      <c r="A218" s="19" t="s">
        <v>30</v>
      </c>
      <c r="B218" s="30" t="s">
        <v>388</v>
      </c>
      <c r="C218" s="30" t="s">
        <v>315</v>
      </c>
      <c r="D218" s="27">
        <v>15265.41450032741</v>
      </c>
      <c r="E218" s="28">
        <v>13742.94969862811</v>
      </c>
      <c r="F218" s="27">
        <f t="shared" si="7"/>
        <v>1522.4648016992996</v>
      </c>
      <c r="G218" s="27">
        <f t="shared" si="6"/>
        <v>9.9732948729734545</v>
      </c>
      <c r="H218" s="29">
        <v>42</v>
      </c>
      <c r="I218" s="29">
        <v>2</v>
      </c>
      <c r="J218" s="13"/>
      <c r="K218" s="30">
        <v>40.8787183333</v>
      </c>
      <c r="L218" s="30">
        <v>71.984646666700002</v>
      </c>
      <c r="M218" s="20">
        <v>160</v>
      </c>
    </row>
    <row r="219" spans="1:13" ht="30" customHeight="1">
      <c r="A219" s="19" t="s">
        <v>30</v>
      </c>
      <c r="B219" s="30" t="s">
        <v>392</v>
      </c>
      <c r="C219" s="30" t="s">
        <v>316</v>
      </c>
      <c r="D219" s="27">
        <v>17478.613020327415</v>
      </c>
      <c r="E219" s="28">
        <v>15679.256365294776</v>
      </c>
      <c r="F219" s="27">
        <f t="shared" si="7"/>
        <v>1799.3566550326395</v>
      </c>
      <c r="G219" s="27">
        <f t="shared" si="6"/>
        <v>10.294619218012375</v>
      </c>
      <c r="H219" s="29">
        <v>95</v>
      </c>
      <c r="I219" s="29">
        <v>1</v>
      </c>
      <c r="J219" s="13"/>
      <c r="K219" s="30">
        <v>40.835000000000001</v>
      </c>
      <c r="L219" s="30">
        <v>72.206898333300003</v>
      </c>
      <c r="M219" s="20">
        <v>63</v>
      </c>
    </row>
    <row r="220" spans="1:13" ht="30" customHeight="1">
      <c r="A220" s="19" t="s">
        <v>30</v>
      </c>
      <c r="B220" s="30" t="s">
        <v>387</v>
      </c>
      <c r="C220" s="30" t="s">
        <v>317</v>
      </c>
      <c r="D220" s="27">
        <v>15010.296900327412</v>
      </c>
      <c r="E220" s="28">
        <v>13519.749698628109</v>
      </c>
      <c r="F220" s="27">
        <f t="shared" si="7"/>
        <v>1490.5472016993026</v>
      </c>
      <c r="G220" s="27">
        <f t="shared" si="6"/>
        <v>9.9301646835965656</v>
      </c>
      <c r="H220" s="29">
        <v>79</v>
      </c>
      <c r="I220" s="29">
        <v>2</v>
      </c>
      <c r="J220" s="13"/>
      <c r="K220" s="30">
        <v>40.880708333299999</v>
      </c>
      <c r="L220" s="30">
        <v>71.964420000000004</v>
      </c>
      <c r="M220" s="20">
        <v>63</v>
      </c>
    </row>
    <row r="221" spans="1:13" ht="30" customHeight="1">
      <c r="A221" s="19" t="s">
        <v>13</v>
      </c>
      <c r="B221" s="30" t="s">
        <v>386</v>
      </c>
      <c r="C221" s="30" t="s">
        <v>318</v>
      </c>
      <c r="D221" s="27">
        <v>35911.099650327415</v>
      </c>
      <c r="E221" s="28">
        <v>31805.666365294768</v>
      </c>
      <c r="F221" s="27">
        <f t="shared" si="7"/>
        <v>4105.4332850326464</v>
      </c>
      <c r="G221" s="27">
        <f t="shared" si="6"/>
        <v>11.432212672427077</v>
      </c>
      <c r="H221" s="29">
        <v>70</v>
      </c>
      <c r="I221" s="29">
        <v>2</v>
      </c>
      <c r="J221" s="13"/>
      <c r="K221" s="30">
        <v>40.874901666699998</v>
      </c>
      <c r="L221" s="30">
        <v>71.967150000000004</v>
      </c>
      <c r="M221" s="20">
        <v>160</v>
      </c>
    </row>
    <row r="222" spans="1:13" ht="30" customHeight="1">
      <c r="A222" s="19" t="s">
        <v>30</v>
      </c>
      <c r="B222" s="30" t="s">
        <v>386</v>
      </c>
      <c r="C222" s="30" t="s">
        <v>319</v>
      </c>
      <c r="D222" s="27">
        <v>15921.206940327414</v>
      </c>
      <c r="E222" s="28">
        <v>14316.696365294776</v>
      </c>
      <c r="F222" s="27">
        <f t="shared" si="7"/>
        <v>1604.5105750326384</v>
      </c>
      <c r="G222" s="27">
        <f t="shared" si="6"/>
        <v>10.077819985924021</v>
      </c>
      <c r="H222" s="29">
        <v>124</v>
      </c>
      <c r="I222" s="29">
        <v>2</v>
      </c>
      <c r="J222" s="13"/>
      <c r="K222" s="30">
        <v>40.869693333299999</v>
      </c>
      <c r="L222" s="30">
        <v>71.966144999999997</v>
      </c>
      <c r="M222" s="19">
        <v>160</v>
      </c>
    </row>
    <row r="223" spans="1:13" ht="30" customHeight="1">
      <c r="A223" s="19" t="s">
        <v>30</v>
      </c>
      <c r="B223" s="30" t="s">
        <v>384</v>
      </c>
      <c r="C223" s="30" t="s">
        <v>90</v>
      </c>
      <c r="D223" s="27">
        <v>14810.858640327417</v>
      </c>
      <c r="E223" s="28">
        <v>13345.263031961442</v>
      </c>
      <c r="F223" s="27">
        <f t="shared" si="7"/>
        <v>1465.5956083659748</v>
      </c>
      <c r="G223" s="27">
        <f t="shared" si="6"/>
        <v>9.8954128451095364</v>
      </c>
      <c r="H223" s="29">
        <v>85</v>
      </c>
      <c r="I223" s="29">
        <v>1</v>
      </c>
      <c r="J223" s="13" t="s">
        <v>39</v>
      </c>
      <c r="K223" s="30">
        <v>40.8802053239</v>
      </c>
      <c r="L223" s="30">
        <v>71.948066717000003</v>
      </c>
      <c r="M223" s="20">
        <v>100</v>
      </c>
    </row>
    <row r="224" spans="1:13" ht="30" customHeight="1">
      <c r="A224" s="19" t="s">
        <v>13</v>
      </c>
      <c r="B224" s="30" t="s">
        <v>392</v>
      </c>
      <c r="C224" s="30" t="s">
        <v>320</v>
      </c>
      <c r="D224" s="27">
        <v>16483.688670327414</v>
      </c>
      <c r="E224" s="28">
        <v>14808.806365294777</v>
      </c>
      <c r="F224" s="27">
        <f t="shared" si="7"/>
        <v>1674.8823050326373</v>
      </c>
      <c r="G224" s="27">
        <f t="shared" si="6"/>
        <v>10.160846510330078</v>
      </c>
      <c r="H224" s="29">
        <v>40</v>
      </c>
      <c r="I224" s="29">
        <v>1</v>
      </c>
      <c r="J224" s="13" t="s">
        <v>23</v>
      </c>
      <c r="K224" s="30">
        <v>40.837551666700001</v>
      </c>
      <c r="L224" s="30">
        <v>72.172751666699995</v>
      </c>
      <c r="M224" s="20">
        <v>100</v>
      </c>
    </row>
    <row r="225" spans="1:13" ht="30" customHeight="1">
      <c r="A225" s="16" t="s">
        <v>13</v>
      </c>
      <c r="B225" s="30" t="s">
        <v>385</v>
      </c>
      <c r="C225" s="30" t="s">
        <v>321</v>
      </c>
      <c r="D225" s="27">
        <v>18358.924950327411</v>
      </c>
      <c r="E225" s="28">
        <v>16449.433031961442</v>
      </c>
      <c r="F225" s="27">
        <f t="shared" si="7"/>
        <v>1909.4919183659695</v>
      </c>
      <c r="G225" s="27">
        <f t="shared" si="6"/>
        <v>10.400891792587863</v>
      </c>
      <c r="H225" s="29">
        <v>86</v>
      </c>
      <c r="I225" s="29">
        <v>3</v>
      </c>
      <c r="J225" s="15" t="s">
        <v>55</v>
      </c>
      <c r="K225" s="30">
        <v>40.857341666700002</v>
      </c>
      <c r="L225" s="30">
        <v>72.001365000000007</v>
      </c>
      <c r="M225" s="15">
        <v>1000</v>
      </c>
    </row>
    <row r="226" spans="1:13" ht="30" customHeight="1">
      <c r="A226" s="16" t="s">
        <v>13</v>
      </c>
      <c r="B226" s="30" t="s">
        <v>387</v>
      </c>
      <c r="C226" s="30" t="s">
        <v>322</v>
      </c>
      <c r="D226" s="27">
        <v>15529.790400327416</v>
      </c>
      <c r="E226" s="28">
        <v>13974.249698628109</v>
      </c>
      <c r="F226" s="27">
        <f t="shared" si="7"/>
        <v>1555.5407016993067</v>
      </c>
      <c r="G226" s="27">
        <f t="shared" si="6"/>
        <v>10.016495146428447</v>
      </c>
      <c r="H226" s="29">
        <v>48</v>
      </c>
      <c r="I226" s="29">
        <v>1</v>
      </c>
      <c r="J226" s="15" t="s">
        <v>55</v>
      </c>
      <c r="K226" s="30">
        <v>40.883535000000002</v>
      </c>
      <c r="L226" s="30">
        <v>71.979993333300001</v>
      </c>
      <c r="M226" s="15">
        <v>630</v>
      </c>
    </row>
    <row r="227" spans="1:13" ht="30" customHeight="1">
      <c r="A227" s="16" t="s">
        <v>13</v>
      </c>
      <c r="B227" s="30" t="s">
        <v>390</v>
      </c>
      <c r="C227" s="30" t="s">
        <v>323</v>
      </c>
      <c r="D227" s="27">
        <v>16905.93954032741</v>
      </c>
      <c r="E227" s="28">
        <v>15178.229698628111</v>
      </c>
      <c r="F227" s="27">
        <f t="shared" si="7"/>
        <v>1727.7098416992994</v>
      </c>
      <c r="G227" s="27">
        <f t="shared" si="6"/>
        <v>10.219543478065932</v>
      </c>
      <c r="H227" s="29">
        <v>49</v>
      </c>
      <c r="I227" s="29">
        <v>4</v>
      </c>
      <c r="J227" s="15" t="s">
        <v>56</v>
      </c>
      <c r="K227" s="30">
        <v>40.874026666600002</v>
      </c>
      <c r="L227" s="30">
        <v>72.094549999700007</v>
      </c>
      <c r="M227" s="15">
        <v>400</v>
      </c>
    </row>
    <row r="228" spans="1:13" ht="30" customHeight="1">
      <c r="A228" s="16" t="s">
        <v>30</v>
      </c>
      <c r="B228" s="30" t="s">
        <v>391</v>
      </c>
      <c r="C228" s="30" t="s">
        <v>324</v>
      </c>
      <c r="D228" s="27">
        <v>14550.599445327411</v>
      </c>
      <c r="E228" s="28">
        <v>13117.564698628108</v>
      </c>
      <c r="F228" s="27">
        <f t="shared" si="7"/>
        <v>1433.0347466993026</v>
      </c>
      <c r="G228" s="27">
        <f t="shared" si="6"/>
        <v>9.8486303061520175</v>
      </c>
      <c r="H228" s="29">
        <v>72</v>
      </c>
      <c r="I228" s="29">
        <v>2</v>
      </c>
      <c r="J228" s="15" t="s">
        <v>57</v>
      </c>
      <c r="K228" s="30">
        <v>40.846710000000002</v>
      </c>
      <c r="L228" s="30">
        <v>72.065683333300001</v>
      </c>
      <c r="M228" s="15">
        <v>1000</v>
      </c>
    </row>
    <row r="229" spans="1:13" ht="30" customHeight="1">
      <c r="A229" s="16" t="s">
        <v>13</v>
      </c>
      <c r="B229" s="30" t="s">
        <v>392</v>
      </c>
      <c r="C229" s="30" t="s">
        <v>325</v>
      </c>
      <c r="D229" s="27">
        <v>25652.968020327411</v>
      </c>
      <c r="E229" s="28">
        <v>22830.923031961447</v>
      </c>
      <c r="F229" s="27">
        <f t="shared" si="7"/>
        <v>2822.0449883659639</v>
      </c>
      <c r="G229" s="27">
        <f t="shared" si="6"/>
        <v>11.000851777189196</v>
      </c>
      <c r="H229" s="29">
        <v>123</v>
      </c>
      <c r="I229" s="29">
        <v>1</v>
      </c>
      <c r="J229" s="15" t="s">
        <v>58</v>
      </c>
      <c r="K229" s="30">
        <v>40.839961666699999</v>
      </c>
      <c r="L229" s="30">
        <v>72.232654999999994</v>
      </c>
      <c r="M229" s="15">
        <v>1000</v>
      </c>
    </row>
    <row r="230" spans="1:13" ht="30" customHeight="1">
      <c r="A230" s="16" t="s">
        <v>13</v>
      </c>
      <c r="B230" s="30" t="s">
        <v>387</v>
      </c>
      <c r="C230" s="30" t="s">
        <v>326</v>
      </c>
      <c r="D230" s="27">
        <v>26299.605030327417</v>
      </c>
      <c r="E230" s="28">
        <v>23396.659698628111</v>
      </c>
      <c r="F230" s="27">
        <f t="shared" si="7"/>
        <v>2902.9453316993058</v>
      </c>
      <c r="G230" s="27">
        <f t="shared" si="6"/>
        <v>11.037980716257035</v>
      </c>
      <c r="H230" s="29">
        <v>99</v>
      </c>
      <c r="I230" s="29">
        <v>1</v>
      </c>
      <c r="J230" s="15" t="s">
        <v>55</v>
      </c>
      <c r="K230" s="30">
        <v>40.873249936800001</v>
      </c>
      <c r="L230" s="30">
        <v>71.969074951500005</v>
      </c>
      <c r="M230" s="15">
        <v>160</v>
      </c>
    </row>
    <row r="231" spans="1:13" ht="30" customHeight="1">
      <c r="A231" s="16" t="s">
        <v>13</v>
      </c>
      <c r="B231" s="30" t="s">
        <v>384</v>
      </c>
      <c r="C231" s="30" t="s">
        <v>118</v>
      </c>
      <c r="D231" s="27">
        <v>23059.302900327413</v>
      </c>
      <c r="E231" s="28">
        <v>20561.749698628115</v>
      </c>
      <c r="F231" s="27">
        <f t="shared" si="7"/>
        <v>2497.5532016992984</v>
      </c>
      <c r="G231" s="27">
        <f t="shared" si="6"/>
        <v>10.831000453460526</v>
      </c>
      <c r="H231" s="29">
        <v>50</v>
      </c>
      <c r="I231" s="29">
        <v>2</v>
      </c>
      <c r="J231" s="15" t="s">
        <v>59</v>
      </c>
      <c r="K231" s="30">
        <v>40.895608333299997</v>
      </c>
      <c r="L231" s="30">
        <v>71.923013333300005</v>
      </c>
      <c r="M231" s="15">
        <v>100</v>
      </c>
    </row>
    <row r="232" spans="1:13" ht="30" customHeight="1">
      <c r="A232" s="16" t="s">
        <v>13</v>
      </c>
      <c r="B232" s="30" t="s">
        <v>386</v>
      </c>
      <c r="C232" s="30" t="s">
        <v>327</v>
      </c>
      <c r="D232" s="27">
        <v>15493.161060327417</v>
      </c>
      <c r="E232" s="28">
        <v>13942.203031961444</v>
      </c>
      <c r="F232" s="27">
        <f t="shared" si="7"/>
        <v>1550.9580283659725</v>
      </c>
      <c r="G232" s="27">
        <f t="shared" si="6"/>
        <v>10.010597723258911</v>
      </c>
      <c r="H232" s="29">
        <v>65</v>
      </c>
      <c r="I232" s="29">
        <v>4</v>
      </c>
      <c r="J232" s="15" t="s">
        <v>55</v>
      </c>
      <c r="K232" s="30">
        <v>40.875115049900003</v>
      </c>
      <c r="L232" s="30">
        <v>72.008864803799995</v>
      </c>
      <c r="M232" s="15">
        <v>250</v>
      </c>
    </row>
    <row r="233" spans="1:13" ht="30" customHeight="1">
      <c r="A233" s="16" t="s">
        <v>13</v>
      </c>
      <c r="B233" s="30" t="s">
        <v>390</v>
      </c>
      <c r="C233" s="30" t="s">
        <v>328</v>
      </c>
      <c r="D233" s="27">
        <v>16222.151220327411</v>
      </c>
      <c r="E233" s="28">
        <v>14579.989698628107</v>
      </c>
      <c r="F233" s="27">
        <f t="shared" si="7"/>
        <v>1642.1615216993032</v>
      </c>
      <c r="G233" s="27">
        <f t="shared" si="6"/>
        <v>10.122957796383799</v>
      </c>
      <c r="H233" s="29">
        <v>43</v>
      </c>
      <c r="I233" s="29">
        <v>1</v>
      </c>
      <c r="J233" s="15" t="s">
        <v>60</v>
      </c>
      <c r="K233" s="30">
        <v>40.874026666600002</v>
      </c>
      <c r="L233" s="30">
        <v>72.094549999700007</v>
      </c>
      <c r="M233" s="15">
        <v>160</v>
      </c>
    </row>
    <row r="234" spans="1:13" ht="30" customHeight="1">
      <c r="A234" s="16" t="s">
        <v>13</v>
      </c>
      <c r="B234" s="30" t="s">
        <v>391</v>
      </c>
      <c r="C234" s="30" t="s">
        <v>329</v>
      </c>
      <c r="D234" s="27">
        <v>18662.635290327416</v>
      </c>
      <c r="E234" s="28">
        <v>16715.146365294775</v>
      </c>
      <c r="F234" s="27">
        <f t="shared" si="7"/>
        <v>1947.4889250326414</v>
      </c>
      <c r="G234" s="27">
        <f t="shared" si="6"/>
        <v>10.435230045148005</v>
      </c>
      <c r="H234" s="29">
        <v>99</v>
      </c>
      <c r="I234" s="29">
        <v>2</v>
      </c>
      <c r="J234" s="15" t="s">
        <v>61</v>
      </c>
      <c r="K234" s="30">
        <v>40.816318333300003</v>
      </c>
      <c r="L234" s="30">
        <v>72.106885000000005</v>
      </c>
      <c r="M234" s="15">
        <v>100</v>
      </c>
    </row>
    <row r="235" spans="1:13" ht="30" customHeight="1">
      <c r="A235" s="16" t="s">
        <v>13</v>
      </c>
      <c r="B235" s="30" t="s">
        <v>390</v>
      </c>
      <c r="C235" s="30" t="s">
        <v>330</v>
      </c>
      <c r="D235" s="27">
        <v>15618.974880327412</v>
      </c>
      <c r="E235" s="28">
        <v>14052.276365294774</v>
      </c>
      <c r="F235" s="27">
        <f t="shared" si="7"/>
        <v>1566.6985150326382</v>
      </c>
      <c r="G235" s="27">
        <f t="shared" si="6"/>
        <v>10.030738425771744</v>
      </c>
      <c r="H235" s="29">
        <v>34</v>
      </c>
      <c r="I235" s="29">
        <v>1</v>
      </c>
      <c r="J235" s="15" t="s">
        <v>55</v>
      </c>
      <c r="K235" s="30">
        <v>40.872684479199997</v>
      </c>
      <c r="L235" s="30">
        <v>72.093719629500001</v>
      </c>
      <c r="M235" s="15">
        <v>100</v>
      </c>
    </row>
    <row r="236" spans="1:13" ht="30" customHeight="1">
      <c r="A236" s="16" t="s">
        <v>13</v>
      </c>
      <c r="B236" s="30" t="s">
        <v>384</v>
      </c>
      <c r="C236" s="30" t="s">
        <v>95</v>
      </c>
      <c r="D236" s="27">
        <v>15521.015970327411</v>
      </c>
      <c r="E236" s="28">
        <v>13966.573031961443</v>
      </c>
      <c r="F236" s="27">
        <f t="shared" si="7"/>
        <v>1554.4429383659681</v>
      </c>
      <c r="G236" s="27">
        <f t="shared" si="6"/>
        <v>10.015084974705928</v>
      </c>
      <c r="H236" s="29">
        <v>47</v>
      </c>
      <c r="I236" s="29">
        <v>1</v>
      </c>
      <c r="J236" s="15" t="s">
        <v>62</v>
      </c>
      <c r="K236" s="30">
        <v>40.874026666600002</v>
      </c>
      <c r="L236" s="30">
        <v>72.094549999700007</v>
      </c>
      <c r="M236" s="15">
        <v>400</v>
      </c>
    </row>
    <row r="237" spans="1:13" ht="30" customHeight="1">
      <c r="A237" s="16" t="s">
        <v>13</v>
      </c>
      <c r="B237" s="30" t="s">
        <v>388</v>
      </c>
      <c r="C237" s="30" t="s">
        <v>331</v>
      </c>
      <c r="D237" s="27">
        <v>16776.243330327416</v>
      </c>
      <c r="E237" s="28">
        <v>15064.75969862811</v>
      </c>
      <c r="F237" s="27">
        <f t="shared" si="7"/>
        <v>1711.483631699306</v>
      </c>
      <c r="G237" s="27">
        <f t="shared" si="6"/>
        <v>10.201828848091127</v>
      </c>
      <c r="H237" s="29">
        <v>78</v>
      </c>
      <c r="I237" s="29">
        <v>2</v>
      </c>
      <c r="J237" s="15" t="s">
        <v>60</v>
      </c>
      <c r="K237" s="30">
        <v>40.869140000000002</v>
      </c>
      <c r="L237" s="30">
        <v>71.991384999999994</v>
      </c>
      <c r="M237" s="15">
        <v>100</v>
      </c>
    </row>
    <row r="238" spans="1:13" ht="30" customHeight="1">
      <c r="A238" s="16" t="s">
        <v>13</v>
      </c>
      <c r="B238" s="30" t="s">
        <v>392</v>
      </c>
      <c r="C238" s="30" t="s">
        <v>332</v>
      </c>
      <c r="D238" s="27">
        <v>16135.500390327412</v>
      </c>
      <c r="E238" s="28">
        <v>14504.17969862811</v>
      </c>
      <c r="F238" s="27">
        <f t="shared" si="7"/>
        <v>1631.3206916993022</v>
      </c>
      <c r="G238" s="27">
        <f t="shared" si="6"/>
        <v>10.110133880181452</v>
      </c>
      <c r="H238" s="29">
        <v>51</v>
      </c>
      <c r="I238" s="29">
        <v>1</v>
      </c>
      <c r="J238" s="15" t="s">
        <v>63</v>
      </c>
      <c r="K238" s="30">
        <v>40.820733333200003</v>
      </c>
      <c r="L238" s="30">
        <v>72.163296666700006</v>
      </c>
      <c r="M238" s="15">
        <v>160</v>
      </c>
    </row>
    <row r="239" spans="1:13" ht="30" customHeight="1">
      <c r="A239" s="16" t="s">
        <v>30</v>
      </c>
      <c r="B239" s="30" t="s">
        <v>391</v>
      </c>
      <c r="C239" s="30" t="s">
        <v>333</v>
      </c>
      <c r="D239" s="27">
        <v>17144.616990327413</v>
      </c>
      <c r="E239" s="28">
        <v>15387.046365294776</v>
      </c>
      <c r="F239" s="27">
        <f t="shared" si="7"/>
        <v>1757.5706250326366</v>
      </c>
      <c r="G239" s="27">
        <f t="shared" si="6"/>
        <v>10.251442922429916</v>
      </c>
      <c r="H239" s="29">
        <v>67</v>
      </c>
      <c r="I239" s="29">
        <v>1</v>
      </c>
      <c r="J239" s="15" t="s">
        <v>64</v>
      </c>
      <c r="K239" s="30">
        <v>40.813206666600003</v>
      </c>
      <c r="L239" s="30">
        <v>72.109205000000003</v>
      </c>
      <c r="M239" s="15">
        <v>630</v>
      </c>
    </row>
    <row r="240" spans="1:13" ht="30" customHeight="1">
      <c r="A240" s="16" t="s">
        <v>13</v>
      </c>
      <c r="B240" s="30" t="s">
        <v>386</v>
      </c>
      <c r="C240" s="30" t="s">
        <v>334</v>
      </c>
      <c r="D240" s="27">
        <v>18872.893950327416</v>
      </c>
      <c r="E240" s="28">
        <v>16899.09969862811</v>
      </c>
      <c r="F240" s="27">
        <f t="shared" si="7"/>
        <v>1973.7942516993062</v>
      </c>
      <c r="G240" s="27">
        <f t="shared" si="6"/>
        <v>10.458355019077844</v>
      </c>
      <c r="H240" s="29">
        <v>100</v>
      </c>
      <c r="I240" s="29">
        <v>4</v>
      </c>
      <c r="J240" s="15" t="s">
        <v>65</v>
      </c>
      <c r="K240" s="30">
        <v>40.872072950000003</v>
      </c>
      <c r="L240" s="30">
        <v>71.967303771499999</v>
      </c>
      <c r="M240" s="15">
        <v>100</v>
      </c>
    </row>
    <row r="241" spans="1:14" ht="30" customHeight="1">
      <c r="A241" s="16" t="s">
        <v>30</v>
      </c>
      <c r="B241" s="30" t="s">
        <v>389</v>
      </c>
      <c r="C241" s="30" t="s">
        <v>335</v>
      </c>
      <c r="D241" s="27">
        <v>18246.510900327412</v>
      </c>
      <c r="E241" s="28">
        <v>16351.083031961443</v>
      </c>
      <c r="F241" s="27">
        <f t="shared" si="7"/>
        <v>1895.4278683659686</v>
      </c>
      <c r="G241" s="27">
        <f t="shared" si="6"/>
        <v>10.387892122060208</v>
      </c>
      <c r="H241" s="29">
        <v>72</v>
      </c>
      <c r="I241" s="29">
        <v>2</v>
      </c>
      <c r="J241" s="15" t="s">
        <v>62</v>
      </c>
      <c r="K241" s="30">
        <v>40.875613333300002</v>
      </c>
      <c r="L241" s="30">
        <v>72.034936666700006</v>
      </c>
      <c r="M241" s="15">
        <v>400</v>
      </c>
    </row>
    <row r="242" spans="1:14" ht="30" customHeight="1">
      <c r="A242" s="16" t="s">
        <v>13</v>
      </c>
      <c r="B242" s="30" t="s">
        <v>391</v>
      </c>
      <c r="C242" s="30" t="s">
        <v>336</v>
      </c>
      <c r="D242" s="27">
        <v>13546.914000327415</v>
      </c>
      <c r="E242" s="28">
        <v>12239.44969862811</v>
      </c>
      <c r="F242" s="27">
        <f t="shared" si="7"/>
        <v>1307.464301699305</v>
      </c>
      <c r="G242" s="27">
        <f t="shared" si="6"/>
        <v>9.6513811312872075</v>
      </c>
      <c r="H242" s="29">
        <v>22</v>
      </c>
      <c r="I242" s="29">
        <v>1</v>
      </c>
      <c r="J242" s="15" t="s">
        <v>66</v>
      </c>
      <c r="K242" s="30">
        <v>40.813206666600003</v>
      </c>
      <c r="L242" s="30">
        <v>72.109205000000003</v>
      </c>
      <c r="M242" s="15">
        <v>100</v>
      </c>
    </row>
    <row r="243" spans="1:14" ht="30" customHeight="1">
      <c r="A243" s="16" t="s">
        <v>13</v>
      </c>
      <c r="B243" s="30" t="s">
        <v>391</v>
      </c>
      <c r="C243" s="30" t="s">
        <v>337</v>
      </c>
      <c r="D243" s="27">
        <v>14041.924440327413</v>
      </c>
      <c r="E243" s="28">
        <v>12672.529698628108</v>
      </c>
      <c r="F243" s="27">
        <f t="shared" si="7"/>
        <v>1369.3947416993051</v>
      </c>
      <c r="G243" s="27">
        <f t="shared" si="6"/>
        <v>9.7521870846028786</v>
      </c>
      <c r="H243" s="29">
        <v>47</v>
      </c>
      <c r="I243" s="29">
        <v>1</v>
      </c>
      <c r="J243" s="15" t="s">
        <v>59</v>
      </c>
      <c r="K243" s="30">
        <v>40.813206666600003</v>
      </c>
      <c r="L243" s="30">
        <v>72.109205000000003</v>
      </c>
      <c r="M243" s="15">
        <v>100</v>
      </c>
    </row>
    <row r="244" spans="1:14" ht="30" customHeight="1">
      <c r="A244" s="16" t="s">
        <v>13</v>
      </c>
      <c r="B244" s="30" t="s">
        <v>391</v>
      </c>
      <c r="C244" s="30" t="s">
        <v>338</v>
      </c>
      <c r="D244" s="27">
        <v>13662.654180327416</v>
      </c>
      <c r="E244" s="28">
        <v>12340.709698628109</v>
      </c>
      <c r="F244" s="27">
        <f t="shared" si="7"/>
        <v>1321.9444816993073</v>
      </c>
      <c r="G244" s="27">
        <f t="shared" si="6"/>
        <v>9.6756052246623412</v>
      </c>
      <c r="H244" s="29">
        <v>26</v>
      </c>
      <c r="I244" s="29">
        <v>2</v>
      </c>
      <c r="J244" s="15" t="s">
        <v>66</v>
      </c>
      <c r="K244" s="30">
        <v>40.813206666600003</v>
      </c>
      <c r="L244" s="30">
        <v>72.109205000000003</v>
      </c>
      <c r="M244" s="15">
        <v>25</v>
      </c>
    </row>
    <row r="245" spans="1:14" ht="30" customHeight="1">
      <c r="A245" s="16" t="s">
        <v>13</v>
      </c>
      <c r="B245" s="30" t="s">
        <v>387</v>
      </c>
      <c r="C245" s="30" t="s">
        <v>339</v>
      </c>
      <c r="D245" s="27">
        <v>13262.17746032741</v>
      </c>
      <c r="E245" s="28">
        <v>11990.336365294776</v>
      </c>
      <c r="F245" s="27">
        <f t="shared" si="7"/>
        <v>1271.8410950326343</v>
      </c>
      <c r="G245" s="27">
        <f t="shared" si="6"/>
        <v>9.5899870050542653</v>
      </c>
      <c r="H245" s="29">
        <v>34</v>
      </c>
      <c r="I245" s="29">
        <v>4</v>
      </c>
      <c r="J245" s="15" t="s">
        <v>66</v>
      </c>
      <c r="K245" s="30">
        <v>40.887124999999997</v>
      </c>
      <c r="L245" s="30">
        <v>71.961399</v>
      </c>
      <c r="M245" s="15">
        <v>63</v>
      </c>
    </row>
    <row r="246" spans="1:14" ht="30" customHeight="1">
      <c r="A246" s="16" t="s">
        <v>13</v>
      </c>
      <c r="B246" s="30" t="s">
        <v>388</v>
      </c>
      <c r="C246" s="30" t="s">
        <v>340</v>
      </c>
      <c r="D246" s="27">
        <v>13289.643750327414</v>
      </c>
      <c r="E246" s="28">
        <v>12014.366365294774</v>
      </c>
      <c r="F246" s="27">
        <f t="shared" si="7"/>
        <v>1275.2773850326394</v>
      </c>
      <c r="G246" s="27">
        <f t="shared" si="6"/>
        <v>9.5960238588127744</v>
      </c>
      <c r="H246" s="29">
        <v>97</v>
      </c>
      <c r="I246" s="29">
        <v>1</v>
      </c>
      <c r="J246" s="15" t="s">
        <v>67</v>
      </c>
      <c r="K246" s="30">
        <v>40.890337000000002</v>
      </c>
      <c r="L246" s="30">
        <v>72.009943000000007</v>
      </c>
      <c r="M246" s="15">
        <v>160</v>
      </c>
      <c r="N246" s="32">
        <v>7</v>
      </c>
    </row>
    <row r="247" spans="1:14" ht="30" customHeight="1">
      <c r="A247" s="16" t="s">
        <v>13</v>
      </c>
      <c r="B247" s="30" t="s">
        <v>390</v>
      </c>
      <c r="C247" s="30" t="s">
        <v>341</v>
      </c>
      <c r="D247" s="27">
        <v>13364.182590327415</v>
      </c>
      <c r="E247" s="28">
        <v>12079.579698628108</v>
      </c>
      <c r="F247" s="27">
        <f t="shared" si="7"/>
        <v>1284.6028916993073</v>
      </c>
      <c r="G247" s="27">
        <f t="shared" si="6"/>
        <v>9.6122818063640008</v>
      </c>
      <c r="H247" s="29">
        <v>56</v>
      </c>
      <c r="I247" s="29">
        <v>1</v>
      </c>
      <c r="J247" s="15" t="s">
        <v>60</v>
      </c>
      <c r="K247" s="13"/>
      <c r="L247" s="13"/>
      <c r="M247" s="15">
        <v>63</v>
      </c>
    </row>
    <row r="248" spans="1:14" ht="30" customHeight="1">
      <c r="A248" s="16" t="s">
        <v>13</v>
      </c>
      <c r="B248" s="30" t="s">
        <v>384</v>
      </c>
      <c r="C248" s="30" t="s">
        <v>122</v>
      </c>
      <c r="D248" s="27">
        <v>13262.17746032741</v>
      </c>
      <c r="E248" s="28">
        <v>11990.336365294776</v>
      </c>
      <c r="F248" s="27">
        <f t="shared" si="7"/>
        <v>1271.8410950326343</v>
      </c>
      <c r="G248" s="27">
        <f t="shared" si="6"/>
        <v>9.5899870050542653</v>
      </c>
      <c r="H248" s="29">
        <v>17</v>
      </c>
      <c r="I248" s="29">
        <v>2</v>
      </c>
      <c r="J248" s="15" t="s">
        <v>75</v>
      </c>
      <c r="K248" s="13"/>
      <c r="L248" s="13"/>
      <c r="M248" s="15">
        <v>160</v>
      </c>
    </row>
    <row r="249" spans="1:14" ht="30" customHeight="1">
      <c r="A249" s="16" t="s">
        <v>13</v>
      </c>
      <c r="B249" s="30" t="s">
        <v>387</v>
      </c>
      <c r="C249" s="30" t="s">
        <v>342</v>
      </c>
      <c r="D249" s="27">
        <v>30663.422820327418</v>
      </c>
      <c r="E249" s="28">
        <v>27214.523031961446</v>
      </c>
      <c r="F249" s="27">
        <f t="shared" si="7"/>
        <v>3448.8997883659722</v>
      </c>
      <c r="G249" s="27">
        <f t="shared" si="6"/>
        <v>11.247602097700669</v>
      </c>
      <c r="H249" s="29">
        <v>73</v>
      </c>
      <c r="I249" s="29">
        <v>2</v>
      </c>
      <c r="J249" s="15" t="s">
        <v>75</v>
      </c>
      <c r="K249" s="13"/>
      <c r="L249" s="13"/>
      <c r="M249" s="15">
        <v>63</v>
      </c>
    </row>
    <row r="250" spans="1:14" ht="30" customHeight="1">
      <c r="A250" s="16" t="s">
        <v>13</v>
      </c>
      <c r="B250" s="30" t="s">
        <v>388</v>
      </c>
      <c r="C250" s="30" t="s">
        <v>343</v>
      </c>
      <c r="D250" s="27">
        <v>19955.661660327416</v>
      </c>
      <c r="E250" s="28">
        <v>17846.403031961443</v>
      </c>
      <c r="F250" s="27">
        <f t="shared" si="7"/>
        <v>2109.258628365973</v>
      </c>
      <c r="G250" s="27">
        <f t="shared" si="6"/>
        <v>10.569725345460514</v>
      </c>
      <c r="H250" s="29">
        <v>36</v>
      </c>
      <c r="I250" s="29">
        <v>1</v>
      </c>
      <c r="J250" s="15" t="s">
        <v>75</v>
      </c>
      <c r="K250" s="13">
        <v>40.876370000000001</v>
      </c>
      <c r="L250" s="13">
        <v>71.934290000000004</v>
      </c>
      <c r="M250" s="15">
        <v>63</v>
      </c>
    </row>
    <row r="251" spans="1:14" ht="30" customHeight="1">
      <c r="A251" s="16" t="s">
        <v>13</v>
      </c>
      <c r="B251" s="30" t="s">
        <v>389</v>
      </c>
      <c r="C251" s="30" t="s">
        <v>344</v>
      </c>
      <c r="D251" s="27">
        <v>15809.223420327413</v>
      </c>
      <c r="E251" s="28">
        <v>14218.723031961441</v>
      </c>
      <c r="F251" s="27">
        <f t="shared" si="7"/>
        <v>1590.500388365972</v>
      </c>
      <c r="G251" s="27">
        <f t="shared" si="6"/>
        <v>10.060585179161396</v>
      </c>
      <c r="H251" s="29">
        <v>27</v>
      </c>
      <c r="I251" s="29">
        <v>1</v>
      </c>
      <c r="J251" s="15" t="s">
        <v>75</v>
      </c>
      <c r="K251" s="13"/>
      <c r="L251" s="13"/>
      <c r="M251" s="15">
        <v>160</v>
      </c>
    </row>
    <row r="252" spans="1:14" ht="30" customHeight="1">
      <c r="A252" s="16" t="s">
        <v>13</v>
      </c>
      <c r="B252" s="30" t="s">
        <v>389</v>
      </c>
      <c r="C252" s="30" t="s">
        <v>345</v>
      </c>
      <c r="D252" s="27">
        <v>16038.212040327417</v>
      </c>
      <c r="E252" s="28">
        <v>14419.063031961441</v>
      </c>
      <c r="F252" s="27">
        <f t="shared" si="7"/>
        <v>1619.1490083659755</v>
      </c>
      <c r="G252" s="27">
        <f t="shared" si="6"/>
        <v>10.095570530522309</v>
      </c>
      <c r="H252" s="29">
        <v>56</v>
      </c>
      <c r="I252" s="29">
        <v>3</v>
      </c>
      <c r="J252" s="15" t="s">
        <v>75</v>
      </c>
      <c r="K252" s="13"/>
      <c r="L252" s="13"/>
      <c r="M252" s="15">
        <v>63</v>
      </c>
    </row>
    <row r="253" spans="1:14" ht="30" customHeight="1">
      <c r="A253" s="16" t="s">
        <v>13</v>
      </c>
      <c r="B253" s="30" t="s">
        <v>386</v>
      </c>
      <c r="C253" s="30" t="s">
        <v>346</v>
      </c>
      <c r="D253" s="27">
        <v>17060.511240327411</v>
      </c>
      <c r="E253" s="28">
        <v>15313.463031961444</v>
      </c>
      <c r="F253" s="27">
        <f t="shared" si="7"/>
        <v>1747.0482083659663</v>
      </c>
      <c r="G253" s="27">
        <f t="shared" si="6"/>
        <v>10.240303961327472</v>
      </c>
      <c r="H253" s="29">
        <v>53</v>
      </c>
      <c r="I253" s="29">
        <v>1</v>
      </c>
      <c r="J253" s="15" t="s">
        <v>59</v>
      </c>
      <c r="K253" s="13"/>
      <c r="L253" s="13"/>
      <c r="M253" s="15">
        <v>250</v>
      </c>
    </row>
    <row r="254" spans="1:14" ht="30" customHeight="1">
      <c r="A254" s="16" t="s">
        <v>13</v>
      </c>
      <c r="B254" s="30" t="s">
        <v>388</v>
      </c>
      <c r="C254" s="30" t="s">
        <v>347</v>
      </c>
      <c r="D254" s="27">
        <v>19649.059530327417</v>
      </c>
      <c r="E254" s="28">
        <v>17578.159698628111</v>
      </c>
      <c r="F254" s="27">
        <f t="shared" si="7"/>
        <v>2070.8998316993057</v>
      </c>
      <c r="G254" s="27">
        <f t="shared" si="6"/>
        <v>10.539434869658608</v>
      </c>
      <c r="H254" s="29">
        <v>82</v>
      </c>
      <c r="I254" s="29">
        <v>2</v>
      </c>
      <c r="J254" s="15" t="s">
        <v>72</v>
      </c>
      <c r="K254" s="13"/>
      <c r="L254" s="13"/>
      <c r="M254" s="15">
        <v>25</v>
      </c>
    </row>
    <row r="255" spans="1:14" ht="30" customHeight="1">
      <c r="A255" s="16" t="s">
        <v>13</v>
      </c>
      <c r="B255" s="30" t="s">
        <v>387</v>
      </c>
      <c r="C255" s="30" t="s">
        <v>348</v>
      </c>
      <c r="D255" s="27">
        <v>17167.073130327415</v>
      </c>
      <c r="E255" s="28">
        <v>15406.693031961444</v>
      </c>
      <c r="F255" s="27">
        <f t="shared" si="7"/>
        <v>1760.3800983659712</v>
      </c>
      <c r="G255" s="27">
        <f t="shared" si="6"/>
        <v>10.254398551236305</v>
      </c>
      <c r="H255" s="29">
        <v>57</v>
      </c>
      <c r="I255" s="29">
        <v>1</v>
      </c>
      <c r="J255" s="15" t="s">
        <v>76</v>
      </c>
      <c r="K255" s="13"/>
      <c r="L255" s="13"/>
      <c r="M255" s="15">
        <v>630</v>
      </c>
    </row>
    <row r="256" spans="1:14" ht="30" customHeight="1">
      <c r="A256" s="16" t="s">
        <v>30</v>
      </c>
      <c r="B256" s="30" t="s">
        <v>388</v>
      </c>
      <c r="C256" s="30" t="s">
        <v>349</v>
      </c>
      <c r="D256" s="27">
        <v>16083.158610327409</v>
      </c>
      <c r="E256" s="28">
        <v>14458.386365294775</v>
      </c>
      <c r="F256" s="27">
        <f t="shared" si="7"/>
        <v>1624.7722450326346</v>
      </c>
      <c r="G256" s="27">
        <f t="shared" si="6"/>
        <v>10.10232059758042</v>
      </c>
      <c r="H256" s="29">
        <v>56</v>
      </c>
      <c r="I256" s="29">
        <v>1</v>
      </c>
      <c r="J256" s="15" t="s">
        <v>76</v>
      </c>
      <c r="K256" s="13"/>
      <c r="L256" s="13"/>
      <c r="M256" s="15">
        <v>400</v>
      </c>
    </row>
    <row r="257" spans="1:13" ht="30" customHeight="1">
      <c r="A257" s="16" t="s">
        <v>13</v>
      </c>
      <c r="B257" s="30" t="s">
        <v>387</v>
      </c>
      <c r="C257" s="30" t="s">
        <v>350</v>
      </c>
      <c r="D257" s="27">
        <v>18390.330780327415</v>
      </c>
      <c r="E257" s="28">
        <v>16476.909698628111</v>
      </c>
      <c r="F257" s="27">
        <f t="shared" si="7"/>
        <v>1913.4210816993036</v>
      </c>
      <c r="G257" s="27">
        <f t="shared" si="6"/>
        <v>10.404495191278107</v>
      </c>
      <c r="H257" s="29">
        <v>21</v>
      </c>
      <c r="I257" s="29">
        <v>2</v>
      </c>
      <c r="J257" s="15" t="s">
        <v>55</v>
      </c>
      <c r="K257" s="13"/>
      <c r="L257" s="13"/>
      <c r="M257" s="15">
        <v>160</v>
      </c>
    </row>
    <row r="258" spans="1:13" ht="30" customHeight="1">
      <c r="A258" s="16" t="s">
        <v>13</v>
      </c>
      <c r="B258" s="30" t="s">
        <v>384</v>
      </c>
      <c r="C258" s="30" t="s">
        <v>99</v>
      </c>
      <c r="D258" s="27">
        <v>14551.976760327416</v>
      </c>
      <c r="E258" s="28">
        <v>13118.76969862811</v>
      </c>
      <c r="F258" s="27">
        <f t="shared" si="7"/>
        <v>1433.207061699306</v>
      </c>
      <c r="G258" s="27">
        <f t="shared" si="6"/>
        <v>9.8488822879831162</v>
      </c>
      <c r="H258" s="29">
        <v>38</v>
      </c>
      <c r="I258" s="29">
        <v>2</v>
      </c>
      <c r="J258" s="15" t="s">
        <v>75</v>
      </c>
      <c r="K258" s="13"/>
      <c r="L258" s="13"/>
      <c r="M258" s="15">
        <v>160</v>
      </c>
    </row>
    <row r="259" spans="1:13" ht="30" customHeight="1">
      <c r="A259" s="16" t="s">
        <v>13</v>
      </c>
      <c r="B259" s="30" t="s">
        <v>390</v>
      </c>
      <c r="C259" s="30" t="s">
        <v>351</v>
      </c>
      <c r="D259" s="27">
        <v>13264.68825032741</v>
      </c>
      <c r="E259" s="28">
        <v>11992.533031961442</v>
      </c>
      <c r="F259" s="27">
        <f t="shared" si="7"/>
        <v>1272.1552183659678</v>
      </c>
      <c r="G259" s="27">
        <f t="shared" ref="G259:G293" si="8">+F259*100/D259</f>
        <v>9.59053989327316</v>
      </c>
      <c r="H259" s="29">
        <v>40</v>
      </c>
      <c r="I259" s="29">
        <v>3</v>
      </c>
      <c r="J259" s="15" t="s">
        <v>75</v>
      </c>
      <c r="K259" s="13">
        <v>40.865291666700003</v>
      </c>
      <c r="L259" s="13">
        <v>71.961494999999999</v>
      </c>
      <c r="M259" s="15">
        <v>100</v>
      </c>
    </row>
    <row r="260" spans="1:13" ht="30" customHeight="1">
      <c r="A260" s="16" t="s">
        <v>30</v>
      </c>
      <c r="B260" s="30" t="s">
        <v>388</v>
      </c>
      <c r="C260" s="30" t="s">
        <v>352</v>
      </c>
      <c r="D260" s="27">
        <v>14882.555220327413</v>
      </c>
      <c r="E260" s="28">
        <v>13407.989698628107</v>
      </c>
      <c r="F260" s="27">
        <f t="shared" si="7"/>
        <v>1474.5655216993055</v>
      </c>
      <c r="G260" s="27">
        <f t="shared" si="8"/>
        <v>9.9080131057418335</v>
      </c>
      <c r="H260" s="29">
        <v>37</v>
      </c>
      <c r="I260" s="29">
        <v>2</v>
      </c>
      <c r="J260" s="15" t="s">
        <v>68</v>
      </c>
      <c r="K260" s="13"/>
      <c r="L260" s="13"/>
      <c r="M260" s="15">
        <v>100</v>
      </c>
    </row>
    <row r="261" spans="1:13" ht="30" customHeight="1">
      <c r="A261" s="16" t="s">
        <v>13</v>
      </c>
      <c r="B261" s="30" t="s">
        <v>389</v>
      </c>
      <c r="C261" s="30" t="s">
        <v>353</v>
      </c>
      <c r="D261" s="27">
        <v>18047.030730327417</v>
      </c>
      <c r="E261" s="28">
        <v>16176.559698628109</v>
      </c>
      <c r="F261" s="27">
        <f t="shared" ref="F261:F324" si="9">+D261-E261</f>
        <v>1870.4710316993078</v>
      </c>
      <c r="G261" s="27">
        <f t="shared" si="8"/>
        <v>10.364425370850869</v>
      </c>
      <c r="H261" s="29">
        <v>68</v>
      </c>
      <c r="I261" s="29">
        <v>1</v>
      </c>
      <c r="J261" s="15" t="s">
        <v>72</v>
      </c>
      <c r="K261" s="13"/>
      <c r="L261" s="13"/>
      <c r="M261" s="15">
        <v>250</v>
      </c>
    </row>
    <row r="262" spans="1:13" ht="30" customHeight="1">
      <c r="A262" s="16" t="s">
        <v>30</v>
      </c>
      <c r="B262" s="30" t="s">
        <v>390</v>
      </c>
      <c r="C262" s="30" t="s">
        <v>354</v>
      </c>
      <c r="D262" s="27">
        <v>13262.17746032741</v>
      </c>
      <c r="E262" s="28">
        <v>11990.336365294776</v>
      </c>
      <c r="F262" s="27">
        <f t="shared" si="9"/>
        <v>1271.8410950326343</v>
      </c>
      <c r="G262" s="27">
        <f t="shared" si="8"/>
        <v>9.5899870050542653</v>
      </c>
      <c r="H262" s="29">
        <v>49</v>
      </c>
      <c r="I262" s="29">
        <v>1</v>
      </c>
      <c r="J262" s="15" t="s">
        <v>72</v>
      </c>
      <c r="K262" s="13"/>
      <c r="L262" s="13"/>
      <c r="M262" s="15">
        <v>160</v>
      </c>
    </row>
    <row r="263" spans="1:13" ht="30" customHeight="1">
      <c r="A263" s="16" t="s">
        <v>30</v>
      </c>
      <c r="B263" s="30" t="s">
        <v>387</v>
      </c>
      <c r="C263" s="30" t="s">
        <v>355</v>
      </c>
      <c r="D263" s="27">
        <v>120258.51033032742</v>
      </c>
      <c r="E263" s="28">
        <v>105600.4263652948</v>
      </c>
      <c r="F263" s="27">
        <f t="shared" si="9"/>
        <v>14658.083965032623</v>
      </c>
      <c r="G263" s="27">
        <f t="shared" si="8"/>
        <v>12.188812188650626</v>
      </c>
      <c r="H263" s="29">
        <v>76</v>
      </c>
      <c r="I263" s="29">
        <v>2</v>
      </c>
      <c r="J263" s="15" t="s">
        <v>71</v>
      </c>
      <c r="K263" s="13"/>
      <c r="L263" s="13"/>
      <c r="M263" s="15">
        <v>160</v>
      </c>
    </row>
    <row r="264" spans="1:13" ht="30" customHeight="1">
      <c r="A264" s="16" t="s">
        <v>30</v>
      </c>
      <c r="B264" s="30" t="s">
        <v>384</v>
      </c>
      <c r="C264" s="30" t="s">
        <v>120</v>
      </c>
      <c r="D264" s="27">
        <v>16740.73794032741</v>
      </c>
      <c r="E264" s="28">
        <v>15033.696365294778</v>
      </c>
      <c r="F264" s="27">
        <f t="shared" si="9"/>
        <v>1707.041575032632</v>
      </c>
      <c r="G264" s="27">
        <f t="shared" si="8"/>
        <v>10.196931468119297</v>
      </c>
      <c r="H264" s="29">
        <v>27</v>
      </c>
      <c r="I264" s="29">
        <v>1</v>
      </c>
      <c r="J264" s="15" t="s">
        <v>71</v>
      </c>
      <c r="K264" s="13"/>
      <c r="L264" s="13"/>
      <c r="M264" s="15">
        <v>100</v>
      </c>
    </row>
    <row r="265" spans="1:13" ht="30" customHeight="1">
      <c r="A265" s="16" t="s">
        <v>30</v>
      </c>
      <c r="B265" s="30" t="s">
        <v>384</v>
      </c>
      <c r="C265" s="30" t="s">
        <v>103</v>
      </c>
      <c r="D265" s="27">
        <v>15907.243290327417</v>
      </c>
      <c r="E265" s="28">
        <v>14304.479698628109</v>
      </c>
      <c r="F265" s="27">
        <f t="shared" si="9"/>
        <v>1602.7635916993077</v>
      </c>
      <c r="G265" s="27">
        <f t="shared" si="8"/>
        <v>10.075684154990492</v>
      </c>
      <c r="H265" s="29">
        <v>86</v>
      </c>
      <c r="I265" s="29">
        <v>1</v>
      </c>
      <c r="J265" s="15" t="s">
        <v>77</v>
      </c>
      <c r="K265" s="13">
        <v>40.858196666700003</v>
      </c>
      <c r="L265" s="13">
        <v>72.1313583333</v>
      </c>
      <c r="M265" s="15">
        <v>250</v>
      </c>
    </row>
    <row r="266" spans="1:13" ht="30" customHeight="1">
      <c r="A266" s="16" t="s">
        <v>13</v>
      </c>
      <c r="B266" s="30" t="s">
        <v>388</v>
      </c>
      <c r="C266" s="30" t="s">
        <v>356</v>
      </c>
      <c r="D266" s="27">
        <v>13265.194980327411</v>
      </c>
      <c r="E266" s="28">
        <v>11992.976365294775</v>
      </c>
      <c r="F266" s="27">
        <f t="shared" si="9"/>
        <v>1272.2186150326361</v>
      </c>
      <c r="G266" s="27">
        <f t="shared" si="8"/>
        <v>9.5906514523108441</v>
      </c>
      <c r="H266" s="29">
        <v>13</v>
      </c>
      <c r="I266" s="29">
        <v>2</v>
      </c>
      <c r="J266" s="15" t="s">
        <v>69</v>
      </c>
      <c r="K266" s="13"/>
      <c r="L266" s="13"/>
      <c r="M266" s="15">
        <v>160</v>
      </c>
    </row>
    <row r="267" spans="1:13" ht="30" customHeight="1">
      <c r="A267" s="16" t="s">
        <v>30</v>
      </c>
      <c r="B267" s="30" t="s">
        <v>392</v>
      </c>
      <c r="C267" s="30" t="s">
        <v>357</v>
      </c>
      <c r="D267" s="27">
        <v>15448.618350327415</v>
      </c>
      <c r="E267" s="28">
        <v>13903.233031961443</v>
      </c>
      <c r="F267" s="27">
        <f t="shared" si="9"/>
        <v>1545.3853183659721</v>
      </c>
      <c r="G267" s="27">
        <f t="shared" si="8"/>
        <v>10.00338854466697</v>
      </c>
      <c r="H267" s="29">
        <v>41</v>
      </c>
      <c r="I267" s="29">
        <v>1</v>
      </c>
      <c r="J267" s="15" t="s">
        <v>73</v>
      </c>
      <c r="K267" s="13"/>
      <c r="L267" s="13"/>
      <c r="M267" s="15">
        <v>160</v>
      </c>
    </row>
    <row r="268" spans="1:13" ht="30" customHeight="1">
      <c r="A268" s="16" t="s">
        <v>30</v>
      </c>
      <c r="B268" s="30" t="s">
        <v>389</v>
      </c>
      <c r="C268" s="30" t="s">
        <v>358</v>
      </c>
      <c r="D268" s="27">
        <v>15470.708730327417</v>
      </c>
      <c r="E268" s="28">
        <v>13922.559698628107</v>
      </c>
      <c r="F268" s="27">
        <f t="shared" si="9"/>
        <v>1548.1490316993095</v>
      </c>
      <c r="G268" s="27">
        <f t="shared" si="8"/>
        <v>10.006969032158521</v>
      </c>
      <c r="H268" s="29">
        <v>34</v>
      </c>
      <c r="I268" s="29">
        <v>1</v>
      </c>
      <c r="J268" s="15" t="s">
        <v>78</v>
      </c>
      <c r="K268" s="13"/>
      <c r="L268" s="13"/>
      <c r="M268" s="15">
        <v>250</v>
      </c>
    </row>
    <row r="269" spans="1:13" ht="30" customHeight="1">
      <c r="A269" s="16" t="s">
        <v>30</v>
      </c>
      <c r="B269" s="30" t="s">
        <v>391</v>
      </c>
      <c r="C269" s="30" t="s">
        <v>359</v>
      </c>
      <c r="D269" s="27">
        <v>14953.62315032741</v>
      </c>
      <c r="E269" s="28">
        <v>13470.166365294777</v>
      </c>
      <c r="F269" s="27">
        <f t="shared" si="9"/>
        <v>1483.456785032633</v>
      </c>
      <c r="G269" s="27">
        <f t="shared" si="8"/>
        <v>9.9203836429444365</v>
      </c>
      <c r="H269" s="29">
        <v>21</v>
      </c>
      <c r="I269" s="29">
        <v>1</v>
      </c>
      <c r="J269" s="15" t="s">
        <v>79</v>
      </c>
      <c r="K269" s="13">
        <v>40.883151666700002</v>
      </c>
      <c r="L269" s="13">
        <v>72.085181666699995</v>
      </c>
      <c r="M269" s="15">
        <v>160</v>
      </c>
    </row>
    <row r="270" spans="1:13" ht="30" customHeight="1">
      <c r="A270" s="16" t="s">
        <v>30</v>
      </c>
      <c r="B270" s="30" t="s">
        <v>384</v>
      </c>
      <c r="C270" s="30" t="s">
        <v>102</v>
      </c>
      <c r="D270" s="27">
        <v>14109.708150327417</v>
      </c>
      <c r="E270" s="28">
        <v>12731.833031961442</v>
      </c>
      <c r="F270" s="27">
        <f t="shared" si="9"/>
        <v>1377.8751183659751</v>
      </c>
      <c r="G270" s="27">
        <f t="shared" si="8"/>
        <v>9.7654402464306216</v>
      </c>
      <c r="H270" s="29">
        <v>29</v>
      </c>
      <c r="I270" s="29">
        <v>1</v>
      </c>
      <c r="J270" s="15" t="s">
        <v>80</v>
      </c>
      <c r="K270" s="13"/>
      <c r="L270" s="13"/>
      <c r="M270" s="15">
        <v>63</v>
      </c>
    </row>
    <row r="271" spans="1:13" ht="30" customHeight="1">
      <c r="A271" s="16" t="s">
        <v>30</v>
      </c>
      <c r="B271" s="30" t="s">
        <v>392</v>
      </c>
      <c r="C271" s="30" t="s">
        <v>360</v>
      </c>
      <c r="D271" s="27">
        <v>18196.851360327411</v>
      </c>
      <c r="E271" s="28">
        <v>16307.636365294777</v>
      </c>
      <c r="F271" s="27">
        <f t="shared" si="9"/>
        <v>1889.2149950326348</v>
      </c>
      <c r="G271" s="27">
        <f t="shared" si="8"/>
        <v>10.382098296145244</v>
      </c>
      <c r="H271" s="29">
        <v>74</v>
      </c>
      <c r="I271" s="29">
        <v>1</v>
      </c>
      <c r="J271" s="15" t="s">
        <v>75</v>
      </c>
      <c r="K271" s="13"/>
      <c r="L271" s="13"/>
      <c r="M271" s="15">
        <v>400</v>
      </c>
    </row>
    <row r="272" spans="1:13" ht="30" customHeight="1">
      <c r="A272" s="16" t="s">
        <v>13</v>
      </c>
      <c r="B272" s="30" t="s">
        <v>388</v>
      </c>
      <c r="C272" s="30" t="s">
        <v>361</v>
      </c>
      <c r="D272" s="27">
        <v>14769.535380327412</v>
      </c>
      <c r="E272" s="28">
        <v>13309.10969862811</v>
      </c>
      <c r="F272" s="27">
        <f t="shared" si="9"/>
        <v>1460.425681699302</v>
      </c>
      <c r="G272" s="27">
        <f t="shared" si="8"/>
        <v>9.8880949474182245</v>
      </c>
      <c r="H272" s="29">
        <v>49</v>
      </c>
      <c r="I272" s="29">
        <v>1</v>
      </c>
      <c r="J272" s="15" t="s">
        <v>75</v>
      </c>
      <c r="K272" s="13"/>
      <c r="L272" s="13"/>
      <c r="M272" s="15">
        <v>400</v>
      </c>
    </row>
    <row r="273" spans="1:13" ht="30" customHeight="1">
      <c r="A273" s="16" t="s">
        <v>13</v>
      </c>
      <c r="B273" s="30" t="s">
        <v>387</v>
      </c>
      <c r="C273" s="30" t="s">
        <v>362</v>
      </c>
      <c r="D273" s="27">
        <v>24844.082160327416</v>
      </c>
      <c r="E273" s="28">
        <v>22123.236365294779</v>
      </c>
      <c r="F273" s="27">
        <f t="shared" si="9"/>
        <v>2720.8457950326374</v>
      </c>
      <c r="G273" s="27">
        <f t="shared" si="8"/>
        <v>10.951685707180015</v>
      </c>
      <c r="H273" s="29">
        <v>50</v>
      </c>
      <c r="I273" s="29">
        <v>1</v>
      </c>
      <c r="J273" s="15" t="s">
        <v>68</v>
      </c>
      <c r="K273" s="13">
        <v>40.890700000000002</v>
      </c>
      <c r="L273" s="13">
        <v>71.955235000000002</v>
      </c>
      <c r="M273" s="15">
        <v>40</v>
      </c>
    </row>
    <row r="274" spans="1:13" ht="30" customHeight="1">
      <c r="A274" s="16" t="s">
        <v>13</v>
      </c>
      <c r="B274" s="30" t="s">
        <v>388</v>
      </c>
      <c r="C274" s="30" t="s">
        <v>363</v>
      </c>
      <c r="D274" s="27">
        <v>13646.012100327411</v>
      </c>
      <c r="E274" s="28">
        <v>12326.149698628107</v>
      </c>
      <c r="F274" s="27">
        <f t="shared" si="9"/>
        <v>1319.8624016993035</v>
      </c>
      <c r="G274" s="27">
        <f t="shared" si="8"/>
        <v>9.6721473789960655</v>
      </c>
      <c r="H274" s="29">
        <v>27</v>
      </c>
      <c r="I274" s="29">
        <v>2</v>
      </c>
      <c r="J274" s="15" t="s">
        <v>74</v>
      </c>
      <c r="K274" s="13">
        <v>40.883293333300003</v>
      </c>
      <c r="L274" s="13">
        <v>71.964291666700007</v>
      </c>
      <c r="M274" s="15">
        <v>63</v>
      </c>
    </row>
    <row r="275" spans="1:13" ht="30" customHeight="1">
      <c r="A275" s="16" t="s">
        <v>13</v>
      </c>
      <c r="B275" s="30" t="s">
        <v>389</v>
      </c>
      <c r="C275" s="30" t="s">
        <v>364</v>
      </c>
      <c r="D275" s="27">
        <v>17141.949990327412</v>
      </c>
      <c r="E275" s="28">
        <v>15384.713031961444</v>
      </c>
      <c r="F275" s="27">
        <f t="shared" si="9"/>
        <v>1757.2369583659674</v>
      </c>
      <c r="G275" s="27">
        <f t="shared" si="8"/>
        <v>10.251091383171188</v>
      </c>
      <c r="H275" s="29">
        <v>71</v>
      </c>
      <c r="I275" s="29">
        <v>1</v>
      </c>
      <c r="J275" s="15" t="s">
        <v>76</v>
      </c>
      <c r="K275" s="13">
        <v>40.875286666699999</v>
      </c>
      <c r="L275" s="13">
        <v>71.9537066667</v>
      </c>
      <c r="M275" s="15">
        <v>25</v>
      </c>
    </row>
    <row r="276" spans="1:13" ht="30" customHeight="1">
      <c r="A276" s="16" t="s">
        <v>13</v>
      </c>
      <c r="B276" s="30" t="s">
        <v>386</v>
      </c>
      <c r="C276" s="30" t="s">
        <v>365</v>
      </c>
      <c r="D276" s="27">
        <v>15441.10503032741</v>
      </c>
      <c r="E276" s="28">
        <v>13896.659698628109</v>
      </c>
      <c r="F276" s="27">
        <f t="shared" si="9"/>
        <v>1544.4453316993004</v>
      </c>
      <c r="G276" s="27">
        <f t="shared" si="8"/>
        <v>10.002168424253975</v>
      </c>
      <c r="H276" s="29">
        <v>39</v>
      </c>
      <c r="I276" s="29">
        <v>1</v>
      </c>
      <c r="J276" s="15" t="s">
        <v>81</v>
      </c>
      <c r="K276" s="13"/>
      <c r="L276" s="13"/>
      <c r="M276" s="15">
        <v>160</v>
      </c>
    </row>
    <row r="277" spans="1:13" ht="30" customHeight="1">
      <c r="A277" s="16" t="s">
        <v>13</v>
      </c>
      <c r="B277" s="30" t="s">
        <v>389</v>
      </c>
      <c r="C277" s="30" t="s">
        <v>366</v>
      </c>
      <c r="D277" s="27">
        <v>15161.973000327416</v>
      </c>
      <c r="E277" s="28">
        <v>13652.44969862811</v>
      </c>
      <c r="F277" s="27">
        <f t="shared" si="9"/>
        <v>1509.5233016993061</v>
      </c>
      <c r="G277" s="27">
        <f t="shared" si="8"/>
        <v>9.9559819930210178</v>
      </c>
      <c r="H277" s="29">
        <v>16</v>
      </c>
      <c r="I277" s="29">
        <v>1</v>
      </c>
      <c r="J277" s="15" t="s">
        <v>77</v>
      </c>
      <c r="K277" s="13"/>
      <c r="L277" s="13"/>
      <c r="M277" s="15">
        <v>60</v>
      </c>
    </row>
    <row r="278" spans="1:13" ht="30" customHeight="1">
      <c r="A278" s="16" t="s">
        <v>30</v>
      </c>
      <c r="B278" s="30" t="s">
        <v>384</v>
      </c>
      <c r="C278" s="30" t="s">
        <v>91</v>
      </c>
      <c r="D278" s="27">
        <v>14366.464050327413</v>
      </c>
      <c r="E278" s="28">
        <v>12956.466365294777</v>
      </c>
      <c r="F278" s="27">
        <f t="shared" si="9"/>
        <v>1409.9976850326366</v>
      </c>
      <c r="G278" s="27">
        <f t="shared" si="8"/>
        <v>9.8145074535616335</v>
      </c>
      <c r="H278" s="29">
        <v>18</v>
      </c>
      <c r="I278" s="29">
        <v>1</v>
      </c>
      <c r="J278" s="15" t="s">
        <v>82</v>
      </c>
      <c r="K278" s="13"/>
      <c r="L278" s="13"/>
      <c r="M278" s="15">
        <v>250</v>
      </c>
    </row>
    <row r="279" spans="1:13" ht="30" customHeight="1">
      <c r="A279" s="16" t="s">
        <v>30</v>
      </c>
      <c r="B279" s="30" t="s">
        <v>390</v>
      </c>
      <c r="C279" s="30" t="s">
        <v>367</v>
      </c>
      <c r="D279" s="27">
        <v>21211.639590327417</v>
      </c>
      <c r="E279" s="28">
        <v>18945.246365294777</v>
      </c>
      <c r="F279" s="27">
        <f t="shared" si="9"/>
        <v>2266.3932250326397</v>
      </c>
      <c r="G279" s="27">
        <f t="shared" si="8"/>
        <v>10.68466779940068</v>
      </c>
      <c r="H279" s="29">
        <v>50</v>
      </c>
      <c r="I279" s="29">
        <v>1</v>
      </c>
      <c r="J279" s="15" t="s">
        <v>70</v>
      </c>
      <c r="K279" s="13">
        <v>40.870626666699998</v>
      </c>
      <c r="L279" s="13">
        <v>72.030681666700005</v>
      </c>
      <c r="M279" s="15">
        <v>40</v>
      </c>
    </row>
    <row r="280" spans="1:13" ht="30" customHeight="1">
      <c r="A280" s="16" t="s">
        <v>30</v>
      </c>
      <c r="B280" s="30" t="s">
        <v>384</v>
      </c>
      <c r="C280" s="30" t="s">
        <v>106</v>
      </c>
      <c r="D280" s="27">
        <v>14904.641790327412</v>
      </c>
      <c r="E280" s="28">
        <v>13427.313031961441</v>
      </c>
      <c r="F280" s="27">
        <f t="shared" si="9"/>
        <v>1477.3287583659712</v>
      </c>
      <c r="G280" s="27">
        <f t="shared" si="8"/>
        <v>9.9118702693325069</v>
      </c>
      <c r="H280" s="29">
        <v>44</v>
      </c>
      <c r="I280" s="29">
        <v>3</v>
      </c>
      <c r="J280" s="15" t="s">
        <v>59</v>
      </c>
      <c r="K280" s="13"/>
      <c r="L280" s="13"/>
      <c r="M280" s="15">
        <v>250</v>
      </c>
    </row>
    <row r="281" spans="1:13" ht="30" customHeight="1">
      <c r="A281" s="16" t="s">
        <v>13</v>
      </c>
      <c r="B281" s="30" t="s">
        <v>388</v>
      </c>
      <c r="C281" s="30" t="s">
        <v>368</v>
      </c>
      <c r="D281" s="27">
        <v>14521.668210327414</v>
      </c>
      <c r="E281" s="28">
        <v>13092.253031961443</v>
      </c>
      <c r="F281" s="27">
        <f t="shared" si="9"/>
        <v>1429.4151783659709</v>
      </c>
      <c r="G281" s="27">
        <f t="shared" si="8"/>
        <v>9.8433262464253914</v>
      </c>
      <c r="H281" s="29">
        <v>34</v>
      </c>
      <c r="I281" s="29">
        <v>1</v>
      </c>
      <c r="J281" s="15" t="s">
        <v>83</v>
      </c>
      <c r="K281" s="13"/>
      <c r="L281" s="13"/>
      <c r="M281" s="15">
        <v>63</v>
      </c>
    </row>
    <row r="282" spans="1:13" ht="30" customHeight="1">
      <c r="A282" s="16" t="s">
        <v>13</v>
      </c>
      <c r="B282" s="30" t="s">
        <v>389</v>
      </c>
      <c r="C282" s="30" t="s">
        <v>369</v>
      </c>
      <c r="D282" s="27">
        <v>18944.575290327419</v>
      </c>
      <c r="E282" s="28">
        <v>16961.813031961443</v>
      </c>
      <c r="F282" s="27">
        <f t="shared" si="9"/>
        <v>1982.7622583659759</v>
      </c>
      <c r="G282" s="27">
        <f t="shared" si="8"/>
        <v>10.466121451549879</v>
      </c>
      <c r="H282" s="29">
        <v>73</v>
      </c>
      <c r="I282" s="29">
        <v>1</v>
      </c>
      <c r="J282" s="15" t="s">
        <v>55</v>
      </c>
      <c r="K282" s="13"/>
      <c r="L282" s="13"/>
      <c r="M282" s="15">
        <v>400</v>
      </c>
    </row>
    <row r="283" spans="1:13" ht="30" customHeight="1">
      <c r="A283" s="16" t="s">
        <v>13</v>
      </c>
      <c r="B283" s="30" t="s">
        <v>390</v>
      </c>
      <c r="C283" s="30" t="s">
        <v>370</v>
      </c>
      <c r="D283" s="27">
        <v>16208.488560327416</v>
      </c>
      <c r="E283" s="28">
        <v>14568.036365294776</v>
      </c>
      <c r="F283" s="27">
        <f t="shared" si="9"/>
        <v>1640.4521950326398</v>
      </c>
      <c r="G283" s="27">
        <f t="shared" si="8"/>
        <v>10.120944892097343</v>
      </c>
      <c r="H283" s="29">
        <v>51</v>
      </c>
      <c r="I283" s="29">
        <v>3</v>
      </c>
      <c r="J283" s="15" t="s">
        <v>56</v>
      </c>
      <c r="K283" s="13"/>
      <c r="L283" s="13"/>
      <c r="M283" s="15">
        <v>25</v>
      </c>
    </row>
    <row r="284" spans="1:13" ht="30" customHeight="1">
      <c r="A284" s="16" t="s">
        <v>13</v>
      </c>
      <c r="B284" s="30" t="s">
        <v>391</v>
      </c>
      <c r="C284" s="30" t="s">
        <v>371</v>
      </c>
      <c r="D284" s="27">
        <v>14571.643980327412</v>
      </c>
      <c r="E284" s="28">
        <v>13135.976365294775</v>
      </c>
      <c r="F284" s="27">
        <f t="shared" si="9"/>
        <v>1435.6676150326366</v>
      </c>
      <c r="G284" s="27">
        <f t="shared" si="8"/>
        <v>9.8524752386956038</v>
      </c>
      <c r="H284" s="29">
        <v>43</v>
      </c>
      <c r="I284" s="29">
        <v>1</v>
      </c>
      <c r="J284" s="15" t="s">
        <v>75</v>
      </c>
      <c r="K284" s="13"/>
      <c r="L284" s="13"/>
      <c r="M284" s="15">
        <v>25</v>
      </c>
    </row>
    <row r="285" spans="1:13" ht="30" customHeight="1">
      <c r="A285" s="16" t="s">
        <v>13</v>
      </c>
      <c r="B285" s="30" t="s">
        <v>388</v>
      </c>
      <c r="C285" s="30" t="s">
        <v>372</v>
      </c>
      <c r="D285" s="27">
        <v>14866.370340327412</v>
      </c>
      <c r="E285" s="28">
        <v>13393.829698628108</v>
      </c>
      <c r="F285" s="27">
        <f t="shared" si="9"/>
        <v>1472.5406416993046</v>
      </c>
      <c r="G285" s="27">
        <f t="shared" si="8"/>
        <v>9.9051793274973257</v>
      </c>
      <c r="H285" s="29">
        <v>26</v>
      </c>
      <c r="I285" s="29">
        <v>2</v>
      </c>
      <c r="J285" s="15" t="s">
        <v>55</v>
      </c>
      <c r="K285" s="13">
        <v>40.882366666700001</v>
      </c>
      <c r="L285" s="13">
        <v>72.011693333300002</v>
      </c>
      <c r="M285" s="15">
        <v>63</v>
      </c>
    </row>
    <row r="286" spans="1:13" ht="30" customHeight="1">
      <c r="A286" s="16" t="s">
        <v>30</v>
      </c>
      <c r="B286" s="30" t="s">
        <v>392</v>
      </c>
      <c r="C286" s="30" t="s">
        <v>373</v>
      </c>
      <c r="D286" s="27">
        <v>21149.033670327415</v>
      </c>
      <c r="E286" s="28">
        <v>18890.473031961443</v>
      </c>
      <c r="F286" s="27">
        <f t="shared" si="9"/>
        <v>2258.5606383659724</v>
      </c>
      <c r="G286" s="27">
        <f t="shared" si="8"/>
        <v>10.679261632340136</v>
      </c>
      <c r="H286" s="29">
        <v>168</v>
      </c>
      <c r="I286" s="29">
        <v>3</v>
      </c>
      <c r="J286" s="15" t="s">
        <v>84</v>
      </c>
      <c r="K286" s="13"/>
      <c r="L286" s="13"/>
      <c r="M286" s="15">
        <v>100</v>
      </c>
    </row>
    <row r="287" spans="1:13" ht="30" customHeight="1">
      <c r="A287" s="16" t="s">
        <v>13</v>
      </c>
      <c r="B287" s="30" t="s">
        <v>388</v>
      </c>
      <c r="C287" s="30" t="s">
        <v>26</v>
      </c>
      <c r="D287" s="27">
        <v>14529.520620327414</v>
      </c>
      <c r="E287" s="28">
        <v>13099.123031961442</v>
      </c>
      <c r="F287" s="27">
        <f t="shared" si="9"/>
        <v>1430.3975883659714</v>
      </c>
      <c r="G287" s="27">
        <f t="shared" si="8"/>
        <v>9.8447679434432587</v>
      </c>
      <c r="H287" s="29">
        <v>32</v>
      </c>
      <c r="I287" s="29">
        <v>1</v>
      </c>
      <c r="J287" s="15" t="s">
        <v>85</v>
      </c>
      <c r="K287" s="13"/>
      <c r="L287" s="13"/>
      <c r="M287" s="15">
        <v>100</v>
      </c>
    </row>
    <row r="288" spans="1:13" ht="30" customHeight="1">
      <c r="A288" s="16" t="s">
        <v>13</v>
      </c>
      <c r="B288" s="30" t="s">
        <v>390</v>
      </c>
      <c r="C288" s="30" t="s">
        <v>374</v>
      </c>
      <c r="D288" s="27">
        <v>16285.416270327412</v>
      </c>
      <c r="E288" s="28">
        <v>14635.33969862811</v>
      </c>
      <c r="F288" s="27">
        <f t="shared" si="9"/>
        <v>1650.0765716993028</v>
      </c>
      <c r="G288" s="27">
        <f t="shared" si="8"/>
        <v>10.132234536158581</v>
      </c>
      <c r="H288" s="29">
        <v>44</v>
      </c>
      <c r="I288" s="29">
        <v>1</v>
      </c>
      <c r="J288" s="15" t="s">
        <v>81</v>
      </c>
      <c r="K288" s="13"/>
      <c r="L288" s="13"/>
      <c r="M288" s="15">
        <v>100</v>
      </c>
    </row>
    <row r="289" spans="1:13" ht="30" customHeight="1">
      <c r="A289" s="16" t="s">
        <v>13</v>
      </c>
      <c r="B289" s="30" t="s">
        <v>390</v>
      </c>
      <c r="C289" s="30" t="s">
        <v>375</v>
      </c>
      <c r="D289" s="27">
        <v>15715.775550327417</v>
      </c>
      <c r="E289" s="28">
        <v>14136.966365294777</v>
      </c>
      <c r="F289" s="27">
        <f t="shared" si="9"/>
        <v>1578.80918503264</v>
      </c>
      <c r="G289" s="27">
        <f t="shared" si="8"/>
        <v>10.046015101047606</v>
      </c>
      <c r="H289" s="29">
        <v>51</v>
      </c>
      <c r="I289" s="29">
        <v>5</v>
      </c>
      <c r="J289" s="15" t="s">
        <v>65</v>
      </c>
      <c r="K289" s="13"/>
      <c r="L289" s="13"/>
      <c r="M289" s="15">
        <v>63</v>
      </c>
    </row>
    <row r="290" spans="1:13" ht="30" customHeight="1">
      <c r="A290" s="16" t="s">
        <v>13</v>
      </c>
      <c r="B290" s="30" t="s">
        <v>390</v>
      </c>
      <c r="C290" s="30" t="s">
        <v>376</v>
      </c>
      <c r="D290" s="27">
        <v>16555.297620327416</v>
      </c>
      <c r="E290" s="28">
        <v>14871.456365294775</v>
      </c>
      <c r="F290" s="27">
        <f t="shared" si="9"/>
        <v>1683.8412550326411</v>
      </c>
      <c r="G290" s="27">
        <f t="shared" si="8"/>
        <v>10.171011682478829</v>
      </c>
      <c r="H290" s="29">
        <v>64</v>
      </c>
      <c r="I290" s="29">
        <v>1</v>
      </c>
      <c r="J290" s="15" t="s">
        <v>60</v>
      </c>
      <c r="K290" s="13"/>
      <c r="L290" s="13"/>
      <c r="M290" s="15">
        <v>160</v>
      </c>
    </row>
    <row r="291" spans="1:13" ht="30" customHeight="1">
      <c r="A291" s="16" t="s">
        <v>13</v>
      </c>
      <c r="B291" s="30" t="s">
        <v>389</v>
      </c>
      <c r="C291" s="30" t="s">
        <v>377</v>
      </c>
      <c r="D291" s="27">
        <v>19590.252180327414</v>
      </c>
      <c r="E291" s="28">
        <v>17526.70969862811</v>
      </c>
      <c r="F291" s="27">
        <f t="shared" si="9"/>
        <v>2063.5424816993036</v>
      </c>
      <c r="G291" s="27">
        <f t="shared" si="8"/>
        <v>10.533516683218192</v>
      </c>
      <c r="H291" s="29">
        <v>99</v>
      </c>
      <c r="I291" s="29">
        <v>1</v>
      </c>
      <c r="J291" s="15" t="s">
        <v>60</v>
      </c>
      <c r="K291" s="13">
        <v>40.881914999999999</v>
      </c>
      <c r="L291" s="13">
        <v>71.997399999999999</v>
      </c>
      <c r="M291" s="15">
        <v>100</v>
      </c>
    </row>
    <row r="292" spans="1:13" ht="30" customHeight="1">
      <c r="A292" s="16" t="s">
        <v>13</v>
      </c>
      <c r="B292" s="30" t="s">
        <v>392</v>
      </c>
      <c r="C292" s="30" t="s">
        <v>378</v>
      </c>
      <c r="D292" s="27">
        <v>14883.648690327413</v>
      </c>
      <c r="E292" s="28">
        <v>13408.946365294776</v>
      </c>
      <c r="F292" s="27">
        <f t="shared" si="9"/>
        <v>1474.7023250326365</v>
      </c>
      <c r="G292" s="27">
        <f t="shared" si="8"/>
        <v>9.9082043369581569</v>
      </c>
      <c r="H292" s="29">
        <v>34</v>
      </c>
      <c r="I292" s="29">
        <v>1</v>
      </c>
      <c r="J292" s="15" t="s">
        <v>55</v>
      </c>
      <c r="K292" s="13"/>
      <c r="L292" s="13"/>
      <c r="M292" s="15">
        <v>160</v>
      </c>
    </row>
    <row r="293" spans="1:13" ht="30" customHeight="1">
      <c r="A293" s="16" t="s">
        <v>30</v>
      </c>
      <c r="B293" s="30" t="s">
        <v>391</v>
      </c>
      <c r="C293" s="30" t="s">
        <v>379</v>
      </c>
      <c r="D293" s="27">
        <v>16714.734690327416</v>
      </c>
      <c r="E293" s="28">
        <v>15010.946365294778</v>
      </c>
      <c r="F293" s="27">
        <f t="shared" si="9"/>
        <v>1703.7883250326377</v>
      </c>
      <c r="G293" s="27">
        <f t="shared" si="8"/>
        <v>10.193331552062244</v>
      </c>
      <c r="H293" s="29">
        <v>31</v>
      </c>
      <c r="I293" s="29">
        <v>1</v>
      </c>
      <c r="J293" s="15" t="s">
        <v>75</v>
      </c>
      <c r="K293" s="13">
        <v>40.837551666700001</v>
      </c>
      <c r="L293" s="13">
        <v>72.172751666699995</v>
      </c>
      <c r="M293" s="15">
        <v>100</v>
      </c>
    </row>
    <row r="294" spans="1:13" ht="30" customHeight="1">
      <c r="A294" s="16" t="s">
        <v>30</v>
      </c>
      <c r="B294" s="30" t="s">
        <v>388</v>
      </c>
      <c r="C294" s="30" t="s">
        <v>380</v>
      </c>
      <c r="D294" s="27">
        <v>14269.293810327414</v>
      </c>
      <c r="E294" s="28">
        <v>12871.453031961441</v>
      </c>
      <c r="F294" s="27">
        <f t="shared" si="9"/>
        <v>1397.8407783659732</v>
      </c>
      <c r="G294" s="27">
        <f t="shared" ref="G294:G357" si="10">+F294*100/D294</f>
        <v>9.7961454641454271</v>
      </c>
      <c r="H294" s="29">
        <v>29</v>
      </c>
      <c r="I294" s="29">
        <v>1</v>
      </c>
      <c r="J294" s="15" t="s">
        <v>86</v>
      </c>
      <c r="K294" s="13">
        <v>40.883151666700002</v>
      </c>
      <c r="L294" s="13">
        <v>72.085181666699995</v>
      </c>
      <c r="M294" s="15">
        <v>63</v>
      </c>
    </row>
    <row r="295" spans="1:13" ht="30" customHeight="1">
      <c r="A295" s="16" t="s">
        <v>13</v>
      </c>
      <c r="B295" s="30" t="s">
        <v>390</v>
      </c>
      <c r="C295" s="30" t="s">
        <v>381</v>
      </c>
      <c r="D295" s="27">
        <v>14064.03387032741</v>
      </c>
      <c r="E295" s="28">
        <v>12691.873031961442</v>
      </c>
      <c r="F295" s="27">
        <f t="shared" si="9"/>
        <v>1372.1608383659677</v>
      </c>
      <c r="G295" s="27">
        <f t="shared" si="10"/>
        <v>9.7565239889032203</v>
      </c>
      <c r="H295" s="29">
        <v>17</v>
      </c>
      <c r="I295" s="29">
        <v>1</v>
      </c>
      <c r="J295" s="15" t="s">
        <v>70</v>
      </c>
      <c r="K295" s="13">
        <v>40.883535000000002</v>
      </c>
      <c r="L295" s="13">
        <v>71.979993333300001</v>
      </c>
      <c r="M295" s="15">
        <v>100</v>
      </c>
    </row>
    <row r="296" spans="1:13" ht="30" customHeight="1">
      <c r="A296" s="16" t="s">
        <v>30</v>
      </c>
      <c r="B296" s="30" t="s">
        <v>385</v>
      </c>
      <c r="C296" s="30" t="s">
        <v>382</v>
      </c>
      <c r="D296" s="27">
        <v>19410.702120327413</v>
      </c>
      <c r="E296" s="28">
        <v>17369.623031961444</v>
      </c>
      <c r="F296" s="27">
        <f t="shared" si="9"/>
        <v>2041.0790883659683</v>
      </c>
      <c r="G296" s="27">
        <f t="shared" si="10"/>
        <v>10.515225444774071</v>
      </c>
      <c r="H296" s="29">
        <v>136</v>
      </c>
      <c r="I296" s="29">
        <v>14</v>
      </c>
      <c r="J296" s="15" t="s">
        <v>56</v>
      </c>
      <c r="K296" s="13">
        <v>40.858853333299997</v>
      </c>
      <c r="L296" s="13">
        <v>72.0770083333</v>
      </c>
      <c r="M296" s="15">
        <v>100</v>
      </c>
    </row>
    <row r="297" spans="1:13" ht="30" customHeight="1">
      <c r="A297" s="16" t="s">
        <v>45</v>
      </c>
      <c r="B297" s="30" t="s">
        <v>385</v>
      </c>
      <c r="C297" s="30" t="s">
        <v>383</v>
      </c>
      <c r="D297" s="27">
        <v>13650.164218418628</v>
      </c>
      <c r="E297" s="28">
        <v>12329.877238042523</v>
      </c>
      <c r="F297" s="27">
        <f t="shared" si="9"/>
        <v>1320.2869803761041</v>
      </c>
      <c r="G297" s="27">
        <f t="shared" si="10"/>
        <v>9.6723157263895505</v>
      </c>
      <c r="H297" s="29">
        <v>2</v>
      </c>
      <c r="I297" s="29">
        <v>4</v>
      </c>
      <c r="J297" s="15" t="s">
        <v>87</v>
      </c>
      <c r="K297" s="13">
        <v>40.833135628299999</v>
      </c>
      <c r="L297" s="13">
        <v>72.203557438199994</v>
      </c>
      <c r="M297" s="15">
        <v>630</v>
      </c>
    </row>
    <row r="298" spans="1:13" ht="30" customHeight="1">
      <c r="A298" s="16" t="s">
        <v>30</v>
      </c>
      <c r="B298" s="30" t="s">
        <v>384</v>
      </c>
      <c r="C298" s="30" t="s">
        <v>114</v>
      </c>
      <c r="D298" s="27">
        <v>13574.913690327412</v>
      </c>
      <c r="E298" s="28">
        <v>12263.946365294776</v>
      </c>
      <c r="F298" s="27">
        <f t="shared" si="9"/>
        <v>1310.9673250326359</v>
      </c>
      <c r="G298" s="27">
        <f t="shared" si="10"/>
        <v>9.6572792648158412</v>
      </c>
      <c r="H298" s="29">
        <v>19</v>
      </c>
      <c r="I298" s="29">
        <v>1</v>
      </c>
      <c r="J298" s="15" t="s">
        <v>88</v>
      </c>
      <c r="K298" s="13">
        <v>40.8940533333</v>
      </c>
      <c r="L298" s="13">
        <v>71.926556666699994</v>
      </c>
      <c r="M298" s="15">
        <v>40</v>
      </c>
    </row>
    <row r="299" spans="1:13" ht="30" customHeight="1">
      <c r="A299" s="16" t="s">
        <v>13</v>
      </c>
      <c r="B299" s="30" t="s">
        <v>388</v>
      </c>
      <c r="C299" s="30" t="s">
        <v>402</v>
      </c>
      <c r="D299" s="44">
        <v>1777.2969999999998</v>
      </c>
      <c r="E299" s="44">
        <v>1777.2969999999998</v>
      </c>
      <c r="F299" s="27">
        <f t="shared" si="9"/>
        <v>0</v>
      </c>
      <c r="G299" s="27">
        <f t="shared" si="10"/>
        <v>0</v>
      </c>
      <c r="H299" s="29">
        <v>1</v>
      </c>
      <c r="I299" s="35"/>
      <c r="J299" s="12"/>
      <c r="K299" s="13"/>
      <c r="L299" s="13"/>
      <c r="M299" s="36"/>
    </row>
    <row r="300" spans="1:13" ht="30" customHeight="1">
      <c r="A300" s="16" t="s">
        <v>13</v>
      </c>
      <c r="B300" s="30" t="s">
        <v>387</v>
      </c>
      <c r="C300" s="30" t="s">
        <v>404</v>
      </c>
      <c r="D300" s="44">
        <v>1705.5754999999997</v>
      </c>
      <c r="E300" s="44">
        <v>1705.5754999999997</v>
      </c>
      <c r="F300" s="27">
        <f t="shared" si="9"/>
        <v>0</v>
      </c>
      <c r="G300" s="27">
        <f t="shared" si="10"/>
        <v>0</v>
      </c>
      <c r="H300" s="29">
        <v>1</v>
      </c>
      <c r="I300" s="12"/>
      <c r="J300" s="12"/>
      <c r="K300" s="13"/>
      <c r="L300" s="13"/>
      <c r="M300" s="36"/>
    </row>
    <row r="301" spans="1:13" ht="30" customHeight="1">
      <c r="A301" s="16" t="s">
        <v>13</v>
      </c>
      <c r="B301" s="30" t="s">
        <v>388</v>
      </c>
      <c r="C301" s="30" t="s">
        <v>405</v>
      </c>
      <c r="D301" s="44">
        <v>0</v>
      </c>
      <c r="E301" s="44">
        <v>0</v>
      </c>
      <c r="F301" s="27">
        <f t="shared" si="9"/>
        <v>0</v>
      </c>
      <c r="G301" s="27">
        <v>0</v>
      </c>
      <c r="H301" s="29">
        <v>1</v>
      </c>
      <c r="I301" s="12"/>
      <c r="J301" s="12"/>
      <c r="K301" s="13"/>
      <c r="L301" s="13"/>
      <c r="M301" s="36"/>
    </row>
    <row r="302" spans="1:13" ht="30" customHeight="1">
      <c r="A302" s="16" t="s">
        <v>13</v>
      </c>
      <c r="B302" s="30" t="s">
        <v>388</v>
      </c>
      <c r="C302" s="30" t="s">
        <v>407</v>
      </c>
      <c r="D302" s="44">
        <v>1746.5714999999998</v>
      </c>
      <c r="E302" s="44">
        <v>1746.5714999999998</v>
      </c>
      <c r="F302" s="27">
        <f t="shared" si="9"/>
        <v>0</v>
      </c>
      <c r="G302" s="27">
        <f t="shared" si="10"/>
        <v>0</v>
      </c>
      <c r="H302" s="29">
        <v>1</v>
      </c>
      <c r="I302" s="12"/>
      <c r="J302" s="12"/>
      <c r="K302" s="13"/>
      <c r="L302" s="13"/>
      <c r="M302" s="36"/>
    </row>
    <row r="303" spans="1:13" ht="30" customHeight="1">
      <c r="A303" s="16" t="s">
        <v>13</v>
      </c>
      <c r="B303" s="30" t="s">
        <v>388</v>
      </c>
      <c r="C303" s="30" t="s">
        <v>408</v>
      </c>
      <c r="D303" s="44">
        <v>1756.8204999999996</v>
      </c>
      <c r="E303" s="44">
        <v>1756.8204999999996</v>
      </c>
      <c r="F303" s="27">
        <f t="shared" si="9"/>
        <v>0</v>
      </c>
      <c r="G303" s="27">
        <f t="shared" si="10"/>
        <v>0</v>
      </c>
      <c r="H303" s="29">
        <v>1</v>
      </c>
      <c r="I303" s="35"/>
      <c r="J303" s="12"/>
      <c r="K303" s="13"/>
      <c r="L303" s="13"/>
      <c r="M303" s="36"/>
    </row>
    <row r="304" spans="1:13" ht="30" customHeight="1">
      <c r="A304" s="16" t="s">
        <v>13</v>
      </c>
      <c r="B304" s="30" t="s">
        <v>388</v>
      </c>
      <c r="C304" s="30" t="s">
        <v>410</v>
      </c>
      <c r="D304" s="44">
        <v>1889.8299999999997</v>
      </c>
      <c r="E304" s="44">
        <v>1889.8299999999997</v>
      </c>
      <c r="F304" s="27">
        <f t="shared" si="9"/>
        <v>0</v>
      </c>
      <c r="G304" s="27">
        <f t="shared" si="10"/>
        <v>0</v>
      </c>
      <c r="H304" s="29">
        <v>1</v>
      </c>
      <c r="I304" s="12"/>
      <c r="J304" s="12"/>
      <c r="K304" s="13"/>
      <c r="L304" s="13"/>
      <c r="M304" s="36"/>
    </row>
    <row r="305" spans="1:13" ht="30" customHeight="1">
      <c r="A305" s="16" t="s">
        <v>13</v>
      </c>
      <c r="B305" s="30" t="s">
        <v>387</v>
      </c>
      <c r="C305" s="30" t="s">
        <v>411</v>
      </c>
      <c r="D305" s="44">
        <v>2538.7299999999996</v>
      </c>
      <c r="E305" s="44">
        <v>2538.7299999999996</v>
      </c>
      <c r="F305" s="27">
        <f t="shared" si="9"/>
        <v>0</v>
      </c>
      <c r="G305" s="27">
        <f t="shared" si="10"/>
        <v>0</v>
      </c>
      <c r="H305" s="29">
        <v>1</v>
      </c>
      <c r="I305" s="12"/>
      <c r="J305" s="12"/>
      <c r="K305" s="13"/>
      <c r="L305" s="13"/>
      <c r="M305" s="36"/>
    </row>
    <row r="306" spans="1:13" ht="30" customHeight="1">
      <c r="A306" s="16" t="s">
        <v>13</v>
      </c>
      <c r="B306" s="30" t="s">
        <v>387</v>
      </c>
      <c r="C306" s="30" t="s">
        <v>412</v>
      </c>
      <c r="D306" s="44">
        <v>3653.2300000000005</v>
      </c>
      <c r="E306" s="44">
        <v>3653.2300000000005</v>
      </c>
      <c r="F306" s="27">
        <f t="shared" si="9"/>
        <v>0</v>
      </c>
      <c r="G306" s="27">
        <f t="shared" si="10"/>
        <v>0</v>
      </c>
      <c r="H306" s="29">
        <v>1</v>
      </c>
      <c r="I306" s="12"/>
      <c r="J306" s="12"/>
      <c r="K306" s="13"/>
      <c r="L306" s="13"/>
      <c r="M306" s="36"/>
    </row>
    <row r="307" spans="1:13" ht="30" customHeight="1">
      <c r="A307" s="16" t="s">
        <v>13</v>
      </c>
      <c r="B307" s="30" t="s">
        <v>388</v>
      </c>
      <c r="C307" s="30" t="s">
        <v>413</v>
      </c>
      <c r="D307" s="44">
        <v>4395.7300000000005</v>
      </c>
      <c r="E307" s="44">
        <v>4395.7300000000005</v>
      </c>
      <c r="F307" s="27">
        <f t="shared" si="9"/>
        <v>0</v>
      </c>
      <c r="G307" s="27">
        <f t="shared" si="10"/>
        <v>0</v>
      </c>
      <c r="H307" s="29">
        <v>1</v>
      </c>
      <c r="I307" s="12"/>
      <c r="J307" s="12"/>
      <c r="K307" s="13"/>
      <c r="L307" s="13"/>
      <c r="M307" s="36"/>
    </row>
    <row r="308" spans="1:13" ht="30" customHeight="1">
      <c r="A308" s="16" t="s">
        <v>13</v>
      </c>
      <c r="B308" s="30" t="s">
        <v>388</v>
      </c>
      <c r="C308" s="30" t="s">
        <v>414</v>
      </c>
      <c r="D308" s="44">
        <v>1710.6999999999996</v>
      </c>
      <c r="E308" s="44">
        <v>1710.6999999999996</v>
      </c>
      <c r="F308" s="27">
        <f t="shared" si="9"/>
        <v>0</v>
      </c>
      <c r="G308" s="27">
        <f t="shared" si="10"/>
        <v>0</v>
      </c>
      <c r="H308" s="29">
        <v>1</v>
      </c>
      <c r="I308" s="12"/>
      <c r="J308" s="12"/>
      <c r="K308" s="13"/>
      <c r="L308" s="13"/>
      <c r="M308" s="36"/>
    </row>
    <row r="309" spans="1:13" ht="30" customHeight="1">
      <c r="A309" s="16" t="s">
        <v>13</v>
      </c>
      <c r="B309" s="30" t="s">
        <v>388</v>
      </c>
      <c r="C309" s="30" t="s">
        <v>415</v>
      </c>
      <c r="D309" s="44">
        <v>649.92850000000021</v>
      </c>
      <c r="E309" s="44">
        <v>649.92850000000021</v>
      </c>
      <c r="F309" s="27">
        <f t="shared" si="9"/>
        <v>0</v>
      </c>
      <c r="G309" s="27">
        <f t="shared" si="10"/>
        <v>0</v>
      </c>
      <c r="H309" s="29">
        <v>1</v>
      </c>
      <c r="I309" s="12"/>
      <c r="J309" s="12"/>
      <c r="K309" s="13"/>
      <c r="L309" s="13"/>
      <c r="M309" s="36"/>
    </row>
    <row r="310" spans="1:13" ht="30" customHeight="1">
      <c r="A310" s="16" t="s">
        <v>13</v>
      </c>
      <c r="B310" s="30" t="s">
        <v>388</v>
      </c>
      <c r="C310" s="30" t="s">
        <v>416</v>
      </c>
      <c r="D310" s="44">
        <v>624.30599999999981</v>
      </c>
      <c r="E310" s="44">
        <v>624.30599999999981</v>
      </c>
      <c r="F310" s="27">
        <f t="shared" si="9"/>
        <v>0</v>
      </c>
      <c r="G310" s="27">
        <f t="shared" si="10"/>
        <v>0</v>
      </c>
      <c r="H310" s="29">
        <v>1</v>
      </c>
      <c r="I310" s="12"/>
      <c r="J310" s="12"/>
      <c r="K310" s="13"/>
      <c r="L310" s="13"/>
      <c r="M310" s="36"/>
    </row>
    <row r="311" spans="1:13" ht="30" customHeight="1">
      <c r="A311" s="16" t="s">
        <v>13</v>
      </c>
      <c r="B311" s="30" t="s">
        <v>388</v>
      </c>
      <c r="C311" s="30" t="s">
        <v>417</v>
      </c>
      <c r="D311" s="44">
        <v>1720.9489999999998</v>
      </c>
      <c r="E311" s="44">
        <v>1720.9489999999998</v>
      </c>
      <c r="F311" s="27">
        <f t="shared" si="9"/>
        <v>0</v>
      </c>
      <c r="G311" s="27">
        <f t="shared" si="10"/>
        <v>0</v>
      </c>
      <c r="H311" s="29">
        <v>1</v>
      </c>
      <c r="I311" s="12"/>
      <c r="J311" s="12"/>
      <c r="K311" s="13"/>
      <c r="L311" s="13"/>
      <c r="M311" s="36"/>
    </row>
    <row r="312" spans="1:13" ht="30" customHeight="1">
      <c r="A312" s="16" t="s">
        <v>13</v>
      </c>
      <c r="B312" s="30" t="s">
        <v>388</v>
      </c>
      <c r="C312" s="30" t="s">
        <v>431</v>
      </c>
      <c r="D312" s="44">
        <v>1741.4469999999999</v>
      </c>
      <c r="E312" s="44">
        <v>1741.4469999999999</v>
      </c>
      <c r="F312" s="27">
        <f t="shared" si="9"/>
        <v>0</v>
      </c>
      <c r="G312" s="27">
        <f t="shared" si="10"/>
        <v>0</v>
      </c>
      <c r="H312" s="29">
        <v>1</v>
      </c>
      <c r="I312" s="12"/>
      <c r="J312" s="12"/>
      <c r="K312" s="13"/>
      <c r="L312" s="13"/>
      <c r="M312" s="36"/>
    </row>
    <row r="313" spans="1:13" ht="30" customHeight="1">
      <c r="A313" s="16" t="s">
        <v>13</v>
      </c>
      <c r="B313" s="30" t="s">
        <v>388</v>
      </c>
      <c r="C313" s="30" t="s">
        <v>418</v>
      </c>
      <c r="D313" s="44">
        <v>0</v>
      </c>
      <c r="E313" s="44">
        <v>0</v>
      </c>
      <c r="F313" s="27">
        <f t="shared" si="9"/>
        <v>0</v>
      </c>
      <c r="G313" s="27">
        <v>0</v>
      </c>
      <c r="H313" s="29">
        <v>1</v>
      </c>
      <c r="I313" s="12"/>
      <c r="J313" s="12"/>
      <c r="K313" s="13"/>
      <c r="L313" s="13"/>
      <c r="M313" s="36"/>
    </row>
    <row r="314" spans="1:13" ht="30" customHeight="1">
      <c r="A314" s="16" t="s">
        <v>13</v>
      </c>
      <c r="B314" s="30" t="s">
        <v>387</v>
      </c>
      <c r="C314" s="30" t="s">
        <v>419</v>
      </c>
      <c r="D314" s="44">
        <v>1726.0734999999997</v>
      </c>
      <c r="E314" s="44">
        <v>1726.0734999999997</v>
      </c>
      <c r="F314" s="27">
        <f t="shared" si="9"/>
        <v>0</v>
      </c>
      <c r="G314" s="27">
        <f t="shared" si="10"/>
        <v>0</v>
      </c>
      <c r="H314" s="29">
        <v>1</v>
      </c>
      <c r="I314" s="12"/>
      <c r="J314" s="12"/>
      <c r="K314" s="13"/>
      <c r="L314" s="13"/>
      <c r="M314" s="36"/>
    </row>
    <row r="315" spans="1:13" ht="30" customHeight="1">
      <c r="A315" s="16" t="s">
        <v>13</v>
      </c>
      <c r="B315" s="30" t="s">
        <v>387</v>
      </c>
      <c r="C315" s="30" t="s">
        <v>420</v>
      </c>
      <c r="D315" s="44">
        <v>1792.6919999999998</v>
      </c>
      <c r="E315" s="44">
        <v>1792.6919999999998</v>
      </c>
      <c r="F315" s="27">
        <f t="shared" si="9"/>
        <v>0</v>
      </c>
      <c r="G315" s="27">
        <f t="shared" si="10"/>
        <v>0</v>
      </c>
      <c r="H315" s="29">
        <v>1</v>
      </c>
      <c r="I315" s="12"/>
      <c r="J315" s="12"/>
      <c r="K315" s="13"/>
      <c r="L315" s="13"/>
      <c r="M315" s="36"/>
    </row>
    <row r="316" spans="1:13" ht="30" customHeight="1">
      <c r="A316" s="16" t="s">
        <v>13</v>
      </c>
      <c r="B316" s="30" t="s">
        <v>387</v>
      </c>
      <c r="C316" s="30" t="s">
        <v>421</v>
      </c>
      <c r="D316" s="44">
        <v>1802.9409999999996</v>
      </c>
      <c r="E316" s="44">
        <v>1802.9409999999996</v>
      </c>
      <c r="F316" s="27">
        <f t="shared" si="9"/>
        <v>0</v>
      </c>
      <c r="G316" s="27">
        <f t="shared" si="10"/>
        <v>0</v>
      </c>
      <c r="H316" s="29">
        <v>1</v>
      </c>
      <c r="I316" s="12"/>
      <c r="J316" s="12"/>
      <c r="K316" s="13"/>
      <c r="L316" s="13"/>
      <c r="M316" s="36"/>
    </row>
    <row r="317" spans="1:13" ht="30" customHeight="1">
      <c r="A317" s="16" t="s">
        <v>13</v>
      </c>
      <c r="B317" s="30" t="s">
        <v>387</v>
      </c>
      <c r="C317" s="30" t="s">
        <v>422</v>
      </c>
      <c r="D317" s="44">
        <v>1869.5594999999996</v>
      </c>
      <c r="E317" s="44">
        <v>1869.5594999999996</v>
      </c>
      <c r="F317" s="27">
        <f t="shared" si="9"/>
        <v>0</v>
      </c>
      <c r="G317" s="27">
        <f t="shared" si="10"/>
        <v>0</v>
      </c>
      <c r="H317" s="29">
        <v>1</v>
      </c>
      <c r="I317" s="12"/>
      <c r="J317" s="12"/>
      <c r="K317" s="13"/>
      <c r="L317" s="13"/>
      <c r="M317" s="36"/>
    </row>
    <row r="318" spans="1:13" ht="30" customHeight="1">
      <c r="A318" s="16" t="s">
        <v>13</v>
      </c>
      <c r="B318" s="30" t="s">
        <v>387</v>
      </c>
      <c r="C318" s="30" t="s">
        <v>423</v>
      </c>
      <c r="D318" s="44">
        <v>2694.6299999999992</v>
      </c>
      <c r="E318" s="44">
        <v>2694.6299999999992</v>
      </c>
      <c r="F318" s="27">
        <f t="shared" si="9"/>
        <v>0</v>
      </c>
      <c r="G318" s="27">
        <f t="shared" si="10"/>
        <v>0</v>
      </c>
      <c r="H318" s="29">
        <v>1</v>
      </c>
      <c r="I318" s="12"/>
      <c r="J318" s="12"/>
      <c r="K318" s="13"/>
      <c r="L318" s="13"/>
      <c r="M318" s="36"/>
    </row>
    <row r="319" spans="1:13" ht="30" customHeight="1">
      <c r="A319" s="16" t="s">
        <v>13</v>
      </c>
      <c r="B319" s="30" t="s">
        <v>386</v>
      </c>
      <c r="C319" s="30" t="s">
        <v>424</v>
      </c>
      <c r="D319" s="44">
        <v>1568.0299999999995</v>
      </c>
      <c r="E319" s="44">
        <v>1568.0299999999995</v>
      </c>
      <c r="F319" s="27">
        <f t="shared" si="9"/>
        <v>0</v>
      </c>
      <c r="G319" s="27">
        <f t="shared" si="10"/>
        <v>0</v>
      </c>
      <c r="H319" s="29">
        <v>1</v>
      </c>
      <c r="I319" s="12"/>
      <c r="J319" s="12"/>
      <c r="K319" s="13"/>
      <c r="L319" s="13"/>
      <c r="M319" s="36"/>
    </row>
    <row r="320" spans="1:13" ht="30" customHeight="1">
      <c r="A320" s="16" t="s">
        <v>13</v>
      </c>
      <c r="B320" s="30"/>
      <c r="C320" s="30" t="s">
        <v>394</v>
      </c>
      <c r="D320" s="44">
        <v>3654.63</v>
      </c>
      <c r="E320" s="44">
        <v>3654.63</v>
      </c>
      <c r="F320" s="27">
        <f t="shared" si="9"/>
        <v>0</v>
      </c>
      <c r="G320" s="27">
        <f t="shared" si="10"/>
        <v>0</v>
      </c>
      <c r="H320" s="29">
        <v>1</v>
      </c>
      <c r="I320" s="12"/>
      <c r="J320" s="12"/>
      <c r="K320" s="13"/>
      <c r="L320" s="13"/>
      <c r="M320" s="36"/>
    </row>
    <row r="321" spans="1:13" ht="30" customHeight="1">
      <c r="A321" s="16" t="s">
        <v>13</v>
      </c>
      <c r="B321" s="30" t="s">
        <v>386</v>
      </c>
      <c r="C321" s="30" t="s">
        <v>395</v>
      </c>
      <c r="D321" s="44">
        <v>926.65150000000017</v>
      </c>
      <c r="E321" s="44">
        <v>926.65150000000017</v>
      </c>
      <c r="F321" s="27">
        <f t="shared" si="9"/>
        <v>0</v>
      </c>
      <c r="G321" s="27">
        <f t="shared" si="10"/>
        <v>0</v>
      </c>
      <c r="H321" s="29">
        <v>1</v>
      </c>
      <c r="I321" s="12"/>
      <c r="J321" s="12"/>
      <c r="K321" s="13"/>
      <c r="L321" s="13"/>
      <c r="M321" s="36"/>
    </row>
    <row r="322" spans="1:13" ht="30" customHeight="1">
      <c r="A322" s="16" t="s">
        <v>13</v>
      </c>
      <c r="B322" s="30" t="s">
        <v>384</v>
      </c>
      <c r="C322" s="30" t="s">
        <v>396</v>
      </c>
      <c r="D322" s="44">
        <v>1111.1334999999997</v>
      </c>
      <c r="E322" s="44">
        <v>1111.1334999999997</v>
      </c>
      <c r="F322" s="27">
        <f t="shared" si="9"/>
        <v>0</v>
      </c>
      <c r="G322" s="27">
        <f t="shared" si="10"/>
        <v>0</v>
      </c>
      <c r="H322" s="29">
        <v>1</v>
      </c>
      <c r="I322" s="12"/>
      <c r="J322" s="12"/>
      <c r="K322" s="13"/>
      <c r="L322" s="13"/>
      <c r="M322" s="36"/>
    </row>
    <row r="323" spans="1:13" ht="30" customHeight="1">
      <c r="A323" s="16" t="s">
        <v>13</v>
      </c>
      <c r="B323" s="30" t="s">
        <v>386</v>
      </c>
      <c r="C323" s="30" t="s">
        <v>397</v>
      </c>
      <c r="D323" s="44">
        <v>1685.0774999999996</v>
      </c>
      <c r="E323" s="44">
        <v>1685.0774999999996</v>
      </c>
      <c r="F323" s="27">
        <f t="shared" si="9"/>
        <v>0</v>
      </c>
      <c r="G323" s="27">
        <f t="shared" si="10"/>
        <v>0</v>
      </c>
      <c r="H323" s="29">
        <v>1</v>
      </c>
      <c r="I323" s="12"/>
      <c r="J323" s="12"/>
      <c r="K323" s="13"/>
      <c r="L323" s="13"/>
      <c r="M323" s="36"/>
    </row>
    <row r="324" spans="1:13" ht="30" customHeight="1">
      <c r="A324" s="16" t="s">
        <v>13</v>
      </c>
      <c r="B324" s="30" t="s">
        <v>387</v>
      </c>
      <c r="C324" s="30" t="s">
        <v>398</v>
      </c>
      <c r="D324" s="44">
        <v>3589.7300000000005</v>
      </c>
      <c r="E324" s="44">
        <v>3589.7300000000005</v>
      </c>
      <c r="F324" s="27">
        <f t="shared" si="9"/>
        <v>0</v>
      </c>
      <c r="G324" s="27">
        <f t="shared" si="10"/>
        <v>0</v>
      </c>
      <c r="H324" s="29">
        <v>1</v>
      </c>
      <c r="I324" s="12"/>
      <c r="J324" s="12"/>
      <c r="K324" s="13"/>
      <c r="L324" s="13"/>
      <c r="M324" s="36"/>
    </row>
    <row r="325" spans="1:13" ht="30" customHeight="1">
      <c r="A325" s="16" t="s">
        <v>13</v>
      </c>
      <c r="B325" s="30" t="s">
        <v>387</v>
      </c>
      <c r="C325" s="30" t="s">
        <v>399</v>
      </c>
      <c r="D325" s="44">
        <v>1751.6959999999997</v>
      </c>
      <c r="E325" s="44">
        <v>1751.6959999999997</v>
      </c>
      <c r="F325" s="27">
        <f t="shared" ref="F325:F362" si="11">+D325-E325</f>
        <v>0</v>
      </c>
      <c r="G325" s="27">
        <f t="shared" si="10"/>
        <v>0</v>
      </c>
      <c r="H325" s="29">
        <v>1</v>
      </c>
      <c r="I325" s="12"/>
      <c r="J325" s="12"/>
      <c r="K325" s="13"/>
      <c r="L325" s="13"/>
      <c r="M325" s="36"/>
    </row>
    <row r="326" spans="1:13" ht="30" customHeight="1">
      <c r="A326" s="16" t="s">
        <v>13</v>
      </c>
      <c r="B326" s="30" t="s">
        <v>387</v>
      </c>
      <c r="C326" s="30" t="s">
        <v>400</v>
      </c>
      <c r="D326" s="44">
        <v>532.06499999999983</v>
      </c>
      <c r="E326" s="44">
        <v>532.06499999999983</v>
      </c>
      <c r="F326" s="27">
        <f t="shared" si="11"/>
        <v>0</v>
      </c>
      <c r="G326" s="27">
        <f t="shared" si="10"/>
        <v>0</v>
      </c>
      <c r="H326" s="29">
        <v>1</v>
      </c>
      <c r="I326" s="12"/>
      <c r="J326" s="12"/>
      <c r="K326" s="13"/>
      <c r="L326" s="13"/>
      <c r="M326" s="36"/>
    </row>
    <row r="327" spans="1:13" ht="30" customHeight="1">
      <c r="A327" s="16" t="s">
        <v>13</v>
      </c>
      <c r="B327" s="30" t="s">
        <v>387</v>
      </c>
      <c r="C327" s="30" t="s">
        <v>401</v>
      </c>
      <c r="D327" s="44">
        <v>2778.63</v>
      </c>
      <c r="E327" s="44">
        <v>2778.63</v>
      </c>
      <c r="F327" s="27">
        <f t="shared" si="11"/>
        <v>0</v>
      </c>
      <c r="G327" s="27">
        <f t="shared" si="10"/>
        <v>0</v>
      </c>
      <c r="H327" s="29">
        <v>1</v>
      </c>
      <c r="I327" s="12"/>
      <c r="J327" s="12"/>
      <c r="K327" s="13"/>
      <c r="L327" s="13"/>
      <c r="M327" s="36"/>
    </row>
    <row r="328" spans="1:13" ht="30" customHeight="1">
      <c r="A328" s="16" t="s">
        <v>13</v>
      </c>
      <c r="B328" s="30" t="s">
        <v>387</v>
      </c>
      <c r="C328" s="30" t="s">
        <v>403</v>
      </c>
      <c r="D328" s="44">
        <v>890.78</v>
      </c>
      <c r="E328" s="44">
        <v>890.78</v>
      </c>
      <c r="F328" s="27">
        <f t="shared" si="11"/>
        <v>0</v>
      </c>
      <c r="G328" s="27">
        <f t="shared" si="10"/>
        <v>0</v>
      </c>
      <c r="H328" s="29">
        <v>1</v>
      </c>
      <c r="I328" s="12"/>
      <c r="J328" s="12"/>
      <c r="K328" s="13"/>
      <c r="L328" s="13"/>
      <c r="M328" s="36"/>
    </row>
    <row r="329" spans="1:13" ht="30" customHeight="1">
      <c r="A329" s="16" t="s">
        <v>13</v>
      </c>
      <c r="B329" s="30" t="s">
        <v>386</v>
      </c>
      <c r="C329" s="30" t="s">
        <v>425</v>
      </c>
      <c r="D329" s="44">
        <v>1216.7299999999998</v>
      </c>
      <c r="E329" s="44">
        <v>1216.7299999999998</v>
      </c>
      <c r="F329" s="27">
        <f t="shared" si="11"/>
        <v>0</v>
      </c>
      <c r="G329" s="27">
        <f t="shared" si="10"/>
        <v>0</v>
      </c>
      <c r="H329" s="29">
        <v>1</v>
      </c>
      <c r="I329" s="12"/>
      <c r="J329" s="12"/>
      <c r="K329" s="13"/>
      <c r="L329" s="13"/>
      <c r="M329" s="36"/>
    </row>
    <row r="330" spans="1:13" ht="30" customHeight="1">
      <c r="A330" s="16" t="s">
        <v>13</v>
      </c>
      <c r="B330" s="30" t="s">
        <v>386</v>
      </c>
      <c r="C330" s="30" t="s">
        <v>427</v>
      </c>
      <c r="D330" s="44">
        <v>1695.3264999999999</v>
      </c>
      <c r="E330" s="44">
        <v>1695.3264999999999</v>
      </c>
      <c r="F330" s="27">
        <f t="shared" si="11"/>
        <v>0</v>
      </c>
      <c r="G330" s="27">
        <f t="shared" si="10"/>
        <v>0</v>
      </c>
      <c r="H330" s="29">
        <v>1</v>
      </c>
      <c r="I330" s="12"/>
      <c r="J330" s="12"/>
      <c r="K330" s="13"/>
      <c r="L330" s="13"/>
      <c r="M330" s="36"/>
    </row>
    <row r="331" spans="1:13" ht="30" customHeight="1">
      <c r="A331" s="16" t="s">
        <v>13</v>
      </c>
      <c r="B331" s="30" t="s">
        <v>386</v>
      </c>
      <c r="C331" s="30" t="s">
        <v>428</v>
      </c>
      <c r="D331" s="44">
        <v>557.68750000000023</v>
      </c>
      <c r="E331" s="44">
        <v>557.68750000000023</v>
      </c>
      <c r="F331" s="27">
        <f t="shared" si="11"/>
        <v>0</v>
      </c>
      <c r="G331" s="27">
        <f t="shared" si="10"/>
        <v>0</v>
      </c>
      <c r="H331" s="29">
        <v>1</v>
      </c>
      <c r="I331" s="12"/>
      <c r="J331" s="12"/>
      <c r="K331" s="13"/>
      <c r="L331" s="13"/>
      <c r="M331" s="36"/>
    </row>
    <row r="332" spans="1:13" ht="30" customHeight="1">
      <c r="A332" s="16" t="s">
        <v>13</v>
      </c>
      <c r="B332" s="30" t="s">
        <v>384</v>
      </c>
      <c r="C332" s="30" t="s">
        <v>406</v>
      </c>
      <c r="D332" s="44">
        <v>1736.3224999999995</v>
      </c>
      <c r="E332" s="44">
        <v>1736.3224999999995</v>
      </c>
      <c r="F332" s="27">
        <f t="shared" si="11"/>
        <v>0</v>
      </c>
      <c r="G332" s="27">
        <f t="shared" si="10"/>
        <v>0</v>
      </c>
      <c r="H332" s="29">
        <v>1</v>
      </c>
      <c r="I332" s="12"/>
      <c r="J332" s="12"/>
      <c r="K332" s="13"/>
      <c r="L332" s="13"/>
      <c r="M332" s="36"/>
    </row>
    <row r="333" spans="1:13" ht="30" customHeight="1">
      <c r="A333" s="16" t="s">
        <v>13</v>
      </c>
      <c r="B333" s="30" t="s">
        <v>384</v>
      </c>
      <c r="C333" s="30" t="s">
        <v>409</v>
      </c>
      <c r="D333" s="44">
        <v>1782.4429999999995</v>
      </c>
      <c r="E333" s="44">
        <v>1782.4429999999995</v>
      </c>
      <c r="F333" s="27">
        <f t="shared" si="11"/>
        <v>0</v>
      </c>
      <c r="G333" s="27">
        <f t="shared" si="10"/>
        <v>0</v>
      </c>
      <c r="H333" s="29">
        <v>1</v>
      </c>
      <c r="I333" s="12"/>
      <c r="J333" s="12"/>
      <c r="K333" s="13"/>
      <c r="L333" s="13"/>
      <c r="M333" s="36"/>
    </row>
    <row r="334" spans="1:13" ht="30" customHeight="1">
      <c r="A334" s="16" t="s">
        <v>13</v>
      </c>
      <c r="B334" s="30" t="s">
        <v>384</v>
      </c>
      <c r="C334" s="30" t="s">
        <v>429</v>
      </c>
      <c r="D334" s="44">
        <v>0</v>
      </c>
      <c r="E334" s="44">
        <v>0</v>
      </c>
      <c r="F334" s="27">
        <f t="shared" si="11"/>
        <v>0</v>
      </c>
      <c r="G334" s="27">
        <v>0</v>
      </c>
      <c r="H334" s="29">
        <v>1</v>
      </c>
      <c r="I334" s="12"/>
      <c r="J334" s="12"/>
      <c r="K334" s="13"/>
      <c r="L334" s="13"/>
      <c r="M334" s="36"/>
    </row>
    <row r="335" spans="1:13" ht="30" customHeight="1">
      <c r="A335" s="16" t="s">
        <v>13</v>
      </c>
      <c r="B335" s="30" t="s">
        <v>386</v>
      </c>
      <c r="C335" s="30" t="s">
        <v>430</v>
      </c>
      <c r="D335" s="44">
        <v>696.04900000000021</v>
      </c>
      <c r="E335" s="44">
        <v>696.04900000000021</v>
      </c>
      <c r="F335" s="27">
        <v>0</v>
      </c>
      <c r="G335" s="27">
        <v>0</v>
      </c>
      <c r="H335" s="29">
        <v>1</v>
      </c>
      <c r="I335" s="12"/>
      <c r="J335" s="12"/>
      <c r="K335" s="13"/>
      <c r="L335" s="13"/>
      <c r="M335" s="36"/>
    </row>
    <row r="336" spans="1:13" ht="30" customHeight="1">
      <c r="A336" s="16" t="s">
        <v>13</v>
      </c>
      <c r="B336" s="30" t="s">
        <v>386</v>
      </c>
      <c r="C336" s="30" t="s">
        <v>436</v>
      </c>
      <c r="D336" s="44">
        <v>0</v>
      </c>
      <c r="E336" s="44">
        <v>0</v>
      </c>
      <c r="F336" s="27">
        <f t="shared" si="11"/>
        <v>0</v>
      </c>
      <c r="G336" s="27">
        <v>0</v>
      </c>
      <c r="H336" s="29">
        <v>1</v>
      </c>
      <c r="I336" s="12"/>
      <c r="J336" s="12"/>
      <c r="K336" s="13"/>
      <c r="L336" s="13"/>
      <c r="M336" s="36"/>
    </row>
    <row r="337" spans="1:13" ht="30" customHeight="1">
      <c r="A337" s="16" t="s">
        <v>13</v>
      </c>
      <c r="B337" s="30" t="s">
        <v>386</v>
      </c>
      <c r="C337" s="30" t="s">
        <v>432</v>
      </c>
      <c r="D337" s="44">
        <v>1772.1939999999997</v>
      </c>
      <c r="E337" s="44">
        <v>1772.1939999999997</v>
      </c>
      <c r="F337" s="27">
        <f t="shared" si="11"/>
        <v>0</v>
      </c>
      <c r="G337" s="27">
        <f t="shared" si="10"/>
        <v>0</v>
      </c>
      <c r="H337" s="29">
        <v>1</v>
      </c>
      <c r="I337" s="12"/>
      <c r="J337" s="12"/>
      <c r="K337" s="13"/>
      <c r="L337" s="13"/>
      <c r="M337" s="36"/>
    </row>
    <row r="338" spans="1:13" ht="30" customHeight="1">
      <c r="A338" s="16" t="s">
        <v>13</v>
      </c>
      <c r="B338" s="30" t="s">
        <v>384</v>
      </c>
      <c r="C338" s="30" t="s">
        <v>433</v>
      </c>
      <c r="D338" s="44">
        <v>1731.1979999999996</v>
      </c>
      <c r="E338" s="44">
        <v>1731.1979999999996</v>
      </c>
      <c r="F338" s="27">
        <f t="shared" si="11"/>
        <v>0</v>
      </c>
      <c r="G338" s="27">
        <f t="shared" si="10"/>
        <v>0</v>
      </c>
      <c r="H338" s="29">
        <v>1</v>
      </c>
      <c r="I338" s="12"/>
      <c r="J338" s="12"/>
      <c r="K338" s="13"/>
      <c r="L338" s="13"/>
      <c r="M338" s="36"/>
    </row>
    <row r="339" spans="1:13" ht="30" customHeight="1">
      <c r="A339" s="16" t="s">
        <v>13</v>
      </c>
      <c r="B339" s="30" t="s">
        <v>386</v>
      </c>
      <c r="C339" s="30" t="s">
        <v>434</v>
      </c>
      <c r="D339" s="44">
        <v>1828.5634999999995</v>
      </c>
      <c r="E339" s="44">
        <v>1828.5634999999995</v>
      </c>
      <c r="F339" s="27">
        <f t="shared" si="11"/>
        <v>0</v>
      </c>
      <c r="G339" s="27">
        <f t="shared" si="10"/>
        <v>0</v>
      </c>
      <c r="H339" s="29">
        <v>1</v>
      </c>
      <c r="I339" s="12"/>
      <c r="J339" s="12"/>
      <c r="K339" s="13"/>
      <c r="L339" s="13"/>
      <c r="M339" s="36"/>
    </row>
    <row r="340" spans="1:13" ht="30" customHeight="1">
      <c r="A340" s="16" t="s">
        <v>13</v>
      </c>
      <c r="B340" s="30" t="s">
        <v>384</v>
      </c>
      <c r="C340" s="30" t="s">
        <v>393</v>
      </c>
      <c r="D340" s="27">
        <v>895.90449999999987</v>
      </c>
      <c r="E340" s="27">
        <v>895.90449999999987</v>
      </c>
      <c r="F340" s="27">
        <f t="shared" si="11"/>
        <v>0</v>
      </c>
      <c r="G340" s="27">
        <f t="shared" si="10"/>
        <v>0</v>
      </c>
      <c r="H340" s="29">
        <v>1</v>
      </c>
      <c r="I340" s="12"/>
      <c r="J340" s="12"/>
      <c r="K340" s="13"/>
      <c r="L340" s="13"/>
      <c r="M340" s="36"/>
    </row>
    <row r="341" spans="1:13" ht="30" customHeight="1">
      <c r="A341" s="16" t="s">
        <v>13</v>
      </c>
      <c r="B341" s="30" t="s">
        <v>384</v>
      </c>
      <c r="C341" s="30" t="s">
        <v>435</v>
      </c>
      <c r="D341" s="27">
        <v>1813.1899999999998</v>
      </c>
      <c r="E341" s="27">
        <v>1813.1899999999998</v>
      </c>
      <c r="F341" s="27">
        <f t="shared" si="11"/>
        <v>0</v>
      </c>
      <c r="G341" s="27">
        <f t="shared" si="10"/>
        <v>0</v>
      </c>
      <c r="H341" s="29">
        <v>1</v>
      </c>
      <c r="I341" s="12"/>
      <c r="J341" s="12"/>
      <c r="K341" s="13"/>
      <c r="L341" s="13"/>
      <c r="M341" s="36"/>
    </row>
    <row r="342" spans="1:13" ht="30" customHeight="1">
      <c r="A342" s="16" t="s">
        <v>13</v>
      </c>
      <c r="B342" s="30" t="s">
        <v>384</v>
      </c>
      <c r="C342" s="30" t="s">
        <v>426</v>
      </c>
      <c r="D342" s="27">
        <v>875.40649999999982</v>
      </c>
      <c r="E342" s="27">
        <v>875.40649999999982</v>
      </c>
      <c r="F342" s="27">
        <f t="shared" si="11"/>
        <v>0</v>
      </c>
      <c r="G342" s="27">
        <f t="shared" si="10"/>
        <v>0</v>
      </c>
      <c r="H342" s="29">
        <v>1</v>
      </c>
      <c r="I342" s="12"/>
      <c r="J342" s="12"/>
      <c r="K342" s="13"/>
      <c r="L342" s="13"/>
      <c r="M342" s="36"/>
    </row>
    <row r="343" spans="1:13" ht="30" customHeight="1">
      <c r="A343" s="5" t="s">
        <v>45</v>
      </c>
      <c r="B343" s="30" t="s">
        <v>392</v>
      </c>
      <c r="C343" s="30" t="s">
        <v>437</v>
      </c>
      <c r="D343" s="27">
        <v>1126.5069999999998</v>
      </c>
      <c r="E343" s="27">
        <v>1126.5069999999998</v>
      </c>
      <c r="F343" s="27">
        <f t="shared" si="11"/>
        <v>0</v>
      </c>
      <c r="G343" s="27">
        <f t="shared" si="10"/>
        <v>0</v>
      </c>
      <c r="H343" s="29">
        <v>1</v>
      </c>
      <c r="I343" s="12"/>
      <c r="J343" s="12"/>
      <c r="K343" s="13"/>
      <c r="L343" s="13"/>
      <c r="M343" s="36"/>
    </row>
    <row r="344" spans="1:13" ht="30" customHeight="1">
      <c r="A344" s="5" t="s">
        <v>45</v>
      </c>
      <c r="B344" s="30" t="s">
        <v>392</v>
      </c>
      <c r="C344" s="30" t="s">
        <v>438</v>
      </c>
      <c r="D344" s="27">
        <v>1874.684</v>
      </c>
      <c r="E344" s="27">
        <v>1874.684</v>
      </c>
      <c r="F344" s="27">
        <f t="shared" si="11"/>
        <v>0</v>
      </c>
      <c r="G344" s="27">
        <f t="shared" si="10"/>
        <v>0</v>
      </c>
      <c r="H344" s="29">
        <v>1</v>
      </c>
      <c r="I344" s="12"/>
      <c r="J344" s="12"/>
      <c r="K344" s="13"/>
      <c r="L344" s="13"/>
      <c r="M344" s="36"/>
    </row>
    <row r="345" spans="1:13" ht="30" customHeight="1">
      <c r="A345" s="5" t="s">
        <v>45</v>
      </c>
      <c r="B345" s="30" t="s">
        <v>392</v>
      </c>
      <c r="C345" s="30" t="s">
        <v>440</v>
      </c>
      <c r="D345" s="27">
        <v>434.69949999999994</v>
      </c>
      <c r="E345" s="27">
        <v>434.69949999999994</v>
      </c>
      <c r="F345" s="27">
        <f t="shared" si="11"/>
        <v>0</v>
      </c>
      <c r="G345" s="27">
        <f t="shared" si="10"/>
        <v>0</v>
      </c>
      <c r="H345" s="29">
        <v>1</v>
      </c>
      <c r="I345" s="12"/>
      <c r="J345" s="12"/>
      <c r="K345" s="13"/>
      <c r="L345" s="13"/>
      <c r="M345" s="36"/>
    </row>
    <row r="346" spans="1:13" ht="30" customHeight="1">
      <c r="A346" s="5" t="s">
        <v>45</v>
      </c>
      <c r="B346" s="30" t="s">
        <v>392</v>
      </c>
      <c r="C346" s="30" t="s">
        <v>439</v>
      </c>
      <c r="D346" s="27">
        <v>439.82399999999984</v>
      </c>
      <c r="E346" s="27">
        <v>439.82399999999984</v>
      </c>
      <c r="F346" s="27">
        <f t="shared" si="11"/>
        <v>0</v>
      </c>
      <c r="G346" s="27">
        <f t="shared" si="10"/>
        <v>0</v>
      </c>
      <c r="H346" s="29">
        <v>1</v>
      </c>
      <c r="I346" s="12"/>
      <c r="J346" s="12"/>
      <c r="K346" s="13"/>
      <c r="L346" s="13"/>
      <c r="M346" s="36"/>
    </row>
    <row r="347" spans="1:13" ht="30" customHeight="1">
      <c r="A347" s="16" t="s">
        <v>30</v>
      </c>
      <c r="B347" s="30" t="s">
        <v>389</v>
      </c>
      <c r="C347" s="30" t="s">
        <v>441</v>
      </c>
      <c r="D347" s="27">
        <v>1777.3184999999996</v>
      </c>
      <c r="E347" s="27">
        <v>1777.3184999999996</v>
      </c>
      <c r="F347" s="27">
        <f t="shared" si="11"/>
        <v>0</v>
      </c>
      <c r="G347" s="27">
        <f t="shared" si="10"/>
        <v>0</v>
      </c>
      <c r="H347" s="29">
        <v>1</v>
      </c>
      <c r="I347" s="12"/>
      <c r="J347" s="12"/>
      <c r="K347" s="13"/>
      <c r="L347" s="13"/>
      <c r="M347" s="36"/>
    </row>
    <row r="348" spans="1:13" ht="30" customHeight="1">
      <c r="A348" s="16" t="s">
        <v>30</v>
      </c>
      <c r="B348" s="30" t="s">
        <v>391</v>
      </c>
      <c r="C348" s="30" t="s">
        <v>442</v>
      </c>
      <c r="D348" s="27">
        <v>1715.8244999999999</v>
      </c>
      <c r="E348" s="27">
        <v>1715.8244999999999</v>
      </c>
      <c r="F348" s="27">
        <f t="shared" si="11"/>
        <v>0</v>
      </c>
      <c r="G348" s="27">
        <f t="shared" si="10"/>
        <v>0</v>
      </c>
      <c r="H348" s="29">
        <v>1</v>
      </c>
      <c r="I348" s="12"/>
      <c r="J348" s="12"/>
      <c r="K348" s="13"/>
      <c r="L348" s="13"/>
      <c r="M348" s="36"/>
    </row>
    <row r="349" spans="1:13" ht="30" customHeight="1">
      <c r="A349" s="16" t="s">
        <v>30</v>
      </c>
      <c r="B349" s="30" t="s">
        <v>389</v>
      </c>
      <c r="C349" s="30" t="s">
        <v>443</v>
      </c>
      <c r="D349" s="27">
        <v>1767.0694999999998</v>
      </c>
      <c r="E349" s="27">
        <v>1767.0694999999998</v>
      </c>
      <c r="F349" s="27">
        <f t="shared" si="11"/>
        <v>0</v>
      </c>
      <c r="G349" s="27">
        <f t="shared" si="10"/>
        <v>0</v>
      </c>
      <c r="H349" s="29">
        <v>1</v>
      </c>
      <c r="I349" s="12"/>
      <c r="J349" s="12"/>
      <c r="K349" s="13"/>
      <c r="L349" s="13"/>
      <c r="M349" s="36"/>
    </row>
    <row r="350" spans="1:13" ht="30" customHeight="1">
      <c r="A350" s="16" t="s">
        <v>30</v>
      </c>
      <c r="B350" s="30" t="s">
        <v>389</v>
      </c>
      <c r="C350" s="30" t="s">
        <v>444</v>
      </c>
      <c r="D350" s="27">
        <v>321.96049999999991</v>
      </c>
      <c r="E350" s="27">
        <v>321.96049999999991</v>
      </c>
      <c r="F350" s="27">
        <f t="shared" si="11"/>
        <v>0</v>
      </c>
      <c r="G350" s="27">
        <f t="shared" si="10"/>
        <v>0</v>
      </c>
      <c r="H350" s="29">
        <v>1</v>
      </c>
      <c r="I350" s="12"/>
      <c r="J350" s="12"/>
      <c r="K350" s="13"/>
      <c r="L350" s="13"/>
      <c r="M350" s="36"/>
    </row>
    <row r="351" spans="1:13" ht="30" customHeight="1">
      <c r="A351" s="16" t="s">
        <v>30</v>
      </c>
      <c r="B351" s="30" t="s">
        <v>391</v>
      </c>
      <c r="C351" s="30" t="s">
        <v>445</v>
      </c>
      <c r="D351" s="27">
        <v>1787.5674999999999</v>
      </c>
      <c r="E351" s="27">
        <v>1787.5674999999999</v>
      </c>
      <c r="F351" s="27">
        <f t="shared" si="11"/>
        <v>0</v>
      </c>
      <c r="G351" s="27">
        <f t="shared" si="10"/>
        <v>0</v>
      </c>
      <c r="H351" s="29">
        <v>1</v>
      </c>
      <c r="I351" s="12"/>
      <c r="J351" s="12"/>
      <c r="K351" s="13"/>
      <c r="L351" s="13"/>
      <c r="M351" s="36"/>
    </row>
    <row r="352" spans="1:13" ht="30" customHeight="1">
      <c r="A352" s="16" t="s">
        <v>30</v>
      </c>
      <c r="B352" s="30" t="s">
        <v>391</v>
      </c>
      <c r="C352" s="30" t="s">
        <v>446</v>
      </c>
      <c r="D352" s="27">
        <v>183.59899999999993</v>
      </c>
      <c r="E352" s="27">
        <v>183.59899999999993</v>
      </c>
      <c r="F352" s="27">
        <f t="shared" si="11"/>
        <v>0</v>
      </c>
      <c r="G352" s="27">
        <f t="shared" si="10"/>
        <v>0</v>
      </c>
      <c r="H352" s="29">
        <v>1</v>
      </c>
      <c r="I352" s="12"/>
      <c r="J352" s="12"/>
      <c r="K352" s="13"/>
      <c r="L352" s="13"/>
      <c r="M352" s="36"/>
    </row>
    <row r="353" spans="1:13" ht="30" customHeight="1">
      <c r="A353" s="16" t="s">
        <v>30</v>
      </c>
      <c r="B353" s="30" t="s">
        <v>389</v>
      </c>
      <c r="C353" s="30" t="s">
        <v>447</v>
      </c>
      <c r="D353" s="27">
        <v>1849.0614999999996</v>
      </c>
      <c r="E353" s="27">
        <v>1849.0614999999996</v>
      </c>
      <c r="F353" s="27">
        <f t="shared" si="11"/>
        <v>0</v>
      </c>
      <c r="G353" s="27">
        <f t="shared" si="10"/>
        <v>0</v>
      </c>
      <c r="H353" s="29">
        <v>1</v>
      </c>
      <c r="I353" s="12"/>
      <c r="J353" s="12"/>
      <c r="K353" s="13"/>
      <c r="L353" s="13"/>
      <c r="M353" s="36"/>
    </row>
    <row r="354" spans="1:13" ht="30" customHeight="1">
      <c r="A354" s="16" t="s">
        <v>30</v>
      </c>
      <c r="B354" s="30" t="s">
        <v>391</v>
      </c>
      <c r="C354" s="30" t="s">
        <v>448</v>
      </c>
      <c r="D354" s="27">
        <v>1070.1374999999996</v>
      </c>
      <c r="E354" s="27">
        <v>1070.1374999999996</v>
      </c>
      <c r="F354" s="27">
        <f t="shared" si="11"/>
        <v>0</v>
      </c>
      <c r="G354" s="27">
        <f t="shared" si="10"/>
        <v>0</v>
      </c>
      <c r="H354" s="29">
        <v>1</v>
      </c>
      <c r="I354" s="12"/>
      <c r="J354" s="12"/>
      <c r="K354" s="13"/>
      <c r="L354" s="13"/>
      <c r="M354" s="36"/>
    </row>
    <row r="355" spans="1:13" ht="30" customHeight="1">
      <c r="A355" s="16" t="s">
        <v>30</v>
      </c>
      <c r="B355" s="30" t="s">
        <v>391</v>
      </c>
      <c r="C355" s="30" t="s">
        <v>449</v>
      </c>
      <c r="D355" s="27">
        <v>1884.9329999999998</v>
      </c>
      <c r="E355" s="27">
        <v>1884.9329999999998</v>
      </c>
      <c r="F355" s="27">
        <f t="shared" si="11"/>
        <v>0</v>
      </c>
      <c r="G355" s="27">
        <f t="shared" si="10"/>
        <v>0</v>
      </c>
      <c r="H355" s="29">
        <v>1</v>
      </c>
      <c r="I355" s="12"/>
      <c r="J355" s="12"/>
      <c r="K355" s="13"/>
      <c r="L355" s="13"/>
      <c r="M355" s="36"/>
    </row>
    <row r="356" spans="1:13" ht="30" customHeight="1">
      <c r="A356" s="16" t="s">
        <v>30</v>
      </c>
      <c r="B356" s="30" t="s">
        <v>389</v>
      </c>
      <c r="C356" s="30" t="s">
        <v>450</v>
      </c>
      <c r="D356" s="27">
        <v>0</v>
      </c>
      <c r="E356" s="27">
        <v>0</v>
      </c>
      <c r="F356" s="27">
        <f t="shared" si="11"/>
        <v>0</v>
      </c>
      <c r="G356" s="27">
        <v>0</v>
      </c>
      <c r="H356" s="29">
        <v>1</v>
      </c>
      <c r="I356" s="12"/>
      <c r="J356" s="12"/>
      <c r="K356" s="13"/>
      <c r="L356" s="13"/>
      <c r="M356" s="36"/>
    </row>
    <row r="357" spans="1:13" ht="30" customHeight="1">
      <c r="A357" s="16" t="s">
        <v>30</v>
      </c>
      <c r="B357" s="30" t="s">
        <v>390</v>
      </c>
      <c r="C357" s="30" t="s">
        <v>451</v>
      </c>
      <c r="D357" s="27">
        <v>0</v>
      </c>
      <c r="E357" s="27">
        <v>0</v>
      </c>
      <c r="F357" s="27">
        <f t="shared" si="11"/>
        <v>0</v>
      </c>
      <c r="G357" s="27">
        <v>0</v>
      </c>
      <c r="H357" s="29">
        <v>1</v>
      </c>
      <c r="I357" s="12"/>
      <c r="J357" s="12"/>
      <c r="K357" s="13"/>
      <c r="L357" s="13"/>
      <c r="M357" s="36"/>
    </row>
    <row r="358" spans="1:13" ht="30" customHeight="1">
      <c r="A358" s="16" t="s">
        <v>30</v>
      </c>
      <c r="B358" s="30" t="s">
        <v>391</v>
      </c>
      <c r="C358" s="30" t="s">
        <v>452</v>
      </c>
      <c r="D358" s="27">
        <v>1838.8124999999998</v>
      </c>
      <c r="E358" s="27">
        <v>1838.8124999999998</v>
      </c>
      <c r="F358" s="27">
        <f t="shared" si="11"/>
        <v>0</v>
      </c>
      <c r="G358" s="27">
        <f t="shared" ref="G358:G362" si="12">+F358*100/D358</f>
        <v>0</v>
      </c>
      <c r="H358" s="29">
        <v>1</v>
      </c>
      <c r="I358" s="12"/>
      <c r="J358" s="12"/>
      <c r="K358" s="13"/>
      <c r="L358" s="13"/>
      <c r="M358" s="36"/>
    </row>
    <row r="359" spans="1:13" ht="30" customHeight="1">
      <c r="A359" s="16" t="s">
        <v>30</v>
      </c>
      <c r="B359" s="30" t="s">
        <v>390</v>
      </c>
      <c r="C359" s="30" t="s">
        <v>453</v>
      </c>
      <c r="D359" s="27">
        <v>1890.0574999999997</v>
      </c>
      <c r="E359" s="27">
        <v>1890.0574999999997</v>
      </c>
      <c r="F359" s="27">
        <f t="shared" si="11"/>
        <v>0</v>
      </c>
      <c r="G359" s="27">
        <f t="shared" si="12"/>
        <v>0</v>
      </c>
      <c r="H359" s="29">
        <v>1</v>
      </c>
      <c r="I359" s="12"/>
      <c r="J359" s="12"/>
      <c r="K359" s="13"/>
      <c r="L359" s="13"/>
      <c r="M359" s="36"/>
    </row>
    <row r="360" spans="1:13" ht="30" customHeight="1">
      <c r="A360" s="16" t="s">
        <v>30</v>
      </c>
      <c r="B360" s="30" t="s">
        <v>389</v>
      </c>
      <c r="C360" s="30" t="s">
        <v>454</v>
      </c>
      <c r="D360" s="27">
        <v>1761.9449999999999</v>
      </c>
      <c r="E360" s="27">
        <v>1761.9449999999999</v>
      </c>
      <c r="F360" s="27">
        <f t="shared" si="11"/>
        <v>0</v>
      </c>
      <c r="G360" s="27">
        <f t="shared" si="12"/>
        <v>0</v>
      </c>
      <c r="H360" s="29">
        <v>1</v>
      </c>
      <c r="I360" s="12"/>
      <c r="J360" s="12"/>
      <c r="K360" s="13"/>
      <c r="L360" s="13"/>
      <c r="M360" s="36"/>
    </row>
    <row r="361" spans="1:13" ht="30" customHeight="1">
      <c r="A361" s="16" t="s">
        <v>30</v>
      </c>
      <c r="B361" s="30" t="s">
        <v>391</v>
      </c>
      <c r="C361" s="30" t="s">
        <v>456</v>
      </c>
      <c r="D361" s="27">
        <v>1864.4349999999997</v>
      </c>
      <c r="E361" s="27">
        <v>1864.4349999999997</v>
      </c>
      <c r="F361" s="27">
        <f t="shared" si="11"/>
        <v>0</v>
      </c>
      <c r="G361" s="27">
        <f t="shared" si="12"/>
        <v>0</v>
      </c>
      <c r="H361" s="29">
        <v>1</v>
      </c>
      <c r="I361" s="12"/>
      <c r="J361" s="12"/>
      <c r="K361" s="13"/>
      <c r="L361" s="13"/>
      <c r="M361" s="36"/>
    </row>
    <row r="362" spans="1:13" ht="30" customHeight="1">
      <c r="A362" s="16" t="s">
        <v>30</v>
      </c>
      <c r="B362" s="30" t="s">
        <v>391</v>
      </c>
      <c r="C362" s="30" t="s">
        <v>455</v>
      </c>
      <c r="D362" s="27">
        <v>1854.1859999999999</v>
      </c>
      <c r="E362" s="27">
        <v>1854.1859999999999</v>
      </c>
      <c r="F362" s="27">
        <f t="shared" si="11"/>
        <v>0</v>
      </c>
      <c r="G362" s="27">
        <f t="shared" si="12"/>
        <v>0</v>
      </c>
      <c r="H362" s="29">
        <v>1</v>
      </c>
      <c r="I362" s="12"/>
      <c r="J362" s="12"/>
      <c r="K362" s="13"/>
      <c r="L362" s="13"/>
      <c r="M362" s="36"/>
    </row>
    <row r="363" spans="1:13" ht="30" customHeight="1">
      <c r="A363" s="2"/>
      <c r="B363" s="2"/>
      <c r="C363" s="2"/>
      <c r="D363" s="31"/>
      <c r="E363" s="2"/>
      <c r="F363" s="2"/>
      <c r="G363" s="2"/>
      <c r="H363" s="2"/>
      <c r="I363" s="2"/>
      <c r="J363" s="2"/>
      <c r="K363" s="11"/>
      <c r="L363" s="11"/>
      <c r="M363" s="9"/>
    </row>
    <row r="364" spans="1:13" ht="3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11"/>
      <c r="L364" s="11"/>
      <c r="M364" s="9"/>
    </row>
    <row r="365" spans="1:13" ht="3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11"/>
      <c r="L365" s="11"/>
      <c r="M365" s="9"/>
    </row>
    <row r="366" spans="1:13" ht="3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11"/>
      <c r="L366" s="11"/>
      <c r="M366" s="9"/>
    </row>
    <row r="367" spans="1:13" ht="3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11"/>
      <c r="L367" s="11"/>
      <c r="M367" s="9"/>
    </row>
    <row r="368" spans="1:13" ht="3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11"/>
      <c r="L368" s="11"/>
      <c r="M368" s="9"/>
    </row>
    <row r="369" spans="1:13" ht="3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11"/>
      <c r="L369" s="11"/>
      <c r="M369" s="9"/>
    </row>
    <row r="370" spans="1:13" ht="3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11"/>
      <c r="L370" s="11"/>
      <c r="M370" s="9"/>
    </row>
    <row r="371" spans="1:13" ht="3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11"/>
      <c r="L371" s="11"/>
      <c r="M371" s="9"/>
    </row>
    <row r="372" spans="1:13" ht="3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11"/>
      <c r="L372" s="11"/>
      <c r="M372" s="9"/>
    </row>
    <row r="373" spans="1:13" ht="3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11"/>
      <c r="L373" s="11"/>
      <c r="M373" s="9"/>
    </row>
    <row r="374" spans="1:13" ht="3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11"/>
      <c r="L374" s="11"/>
      <c r="M374" s="9"/>
    </row>
    <row r="375" spans="1:13" ht="3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11"/>
      <c r="L375" s="11"/>
      <c r="M375" s="9"/>
    </row>
    <row r="376" spans="1:13" ht="3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11"/>
      <c r="L376" s="11"/>
      <c r="M376" s="9"/>
    </row>
    <row r="377" spans="1:13" ht="3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11"/>
      <c r="L377" s="11"/>
      <c r="M377" s="9"/>
    </row>
    <row r="378" spans="1:13" ht="3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11"/>
      <c r="L378" s="11"/>
      <c r="M378" s="9"/>
    </row>
    <row r="379" spans="1:13" ht="3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11"/>
      <c r="L379" s="11"/>
      <c r="M379" s="9"/>
    </row>
    <row r="380" spans="1:13" ht="3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11"/>
      <c r="L380" s="11"/>
      <c r="M380" s="9"/>
    </row>
    <row r="381" spans="1:13" ht="3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11"/>
      <c r="L381" s="11"/>
      <c r="M381" s="9"/>
    </row>
    <row r="382" spans="1:13" ht="3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11"/>
      <c r="L382" s="11"/>
      <c r="M382" s="9"/>
    </row>
    <row r="383" spans="1:13" ht="3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11"/>
      <c r="L383" s="11"/>
      <c r="M383" s="9"/>
    </row>
    <row r="384" spans="1:13" ht="3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11"/>
      <c r="L384" s="11"/>
      <c r="M384" s="9"/>
    </row>
    <row r="385" spans="1:13" ht="3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11"/>
      <c r="L385" s="11"/>
      <c r="M385" s="9"/>
    </row>
    <row r="386" spans="1:13" ht="3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11"/>
      <c r="L386" s="11"/>
      <c r="M386" s="9"/>
    </row>
    <row r="387" spans="1:13" ht="3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11"/>
      <c r="L387" s="11"/>
      <c r="M387" s="9"/>
    </row>
    <row r="388" spans="1:13" ht="3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11"/>
      <c r="L388" s="11"/>
      <c r="M388" s="9"/>
    </row>
    <row r="389" spans="1:13" ht="3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11"/>
      <c r="L389" s="11"/>
      <c r="M389" s="9"/>
    </row>
    <row r="390" spans="1:13" ht="3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11"/>
      <c r="L390" s="11"/>
      <c r="M390" s="9"/>
    </row>
    <row r="391" spans="1:13" ht="3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11"/>
      <c r="L391" s="11"/>
      <c r="M391" s="9"/>
    </row>
    <row r="392" spans="1:13" ht="3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11"/>
      <c r="L392" s="11"/>
      <c r="M392" s="9"/>
    </row>
    <row r="393" spans="1:13" ht="3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11"/>
      <c r="L393" s="11"/>
      <c r="M393" s="9"/>
    </row>
    <row r="394" spans="1:13" ht="3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11"/>
      <c r="L394" s="11"/>
      <c r="M394" s="9"/>
    </row>
    <row r="395" spans="1:13" ht="3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11"/>
      <c r="L395" s="11"/>
      <c r="M395" s="9"/>
    </row>
    <row r="396" spans="1:13" ht="3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11"/>
      <c r="L396" s="11"/>
      <c r="M396" s="9"/>
    </row>
    <row r="397" spans="1:13" ht="3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11"/>
      <c r="L397" s="11"/>
      <c r="M397" s="9"/>
    </row>
    <row r="398" spans="1:13" ht="3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11"/>
      <c r="L398" s="11"/>
      <c r="M398" s="9"/>
    </row>
    <row r="399" spans="1:13" ht="3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11"/>
      <c r="L399" s="11"/>
      <c r="M399" s="9"/>
    </row>
    <row r="400" spans="1:13" ht="3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11"/>
      <c r="L400" s="11"/>
      <c r="M400" s="9"/>
    </row>
    <row r="401" spans="1:13" ht="3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11"/>
      <c r="L401" s="11"/>
      <c r="M401" s="9"/>
    </row>
    <row r="402" spans="1:13" ht="3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11"/>
      <c r="L402" s="11"/>
      <c r="M402" s="9"/>
    </row>
    <row r="403" spans="1:13" ht="3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11"/>
      <c r="L403" s="11"/>
      <c r="M403" s="9"/>
    </row>
    <row r="404" spans="1:13" ht="3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11"/>
      <c r="L404" s="11"/>
      <c r="M404" s="9"/>
    </row>
    <row r="405" spans="1:13" ht="3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11"/>
      <c r="L405" s="11"/>
      <c r="M405" s="9"/>
    </row>
    <row r="406" spans="1:13" ht="3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11"/>
      <c r="L406" s="11"/>
      <c r="M406" s="9"/>
    </row>
    <row r="407" spans="1:13" ht="3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11"/>
      <c r="L407" s="11"/>
      <c r="M407" s="9"/>
    </row>
    <row r="408" spans="1:13" ht="3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11"/>
      <c r="L408" s="11"/>
      <c r="M408" s="9"/>
    </row>
    <row r="409" spans="1:13" ht="3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11"/>
      <c r="L409" s="11"/>
      <c r="M409" s="9"/>
    </row>
    <row r="410" spans="1:13" ht="3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11"/>
      <c r="L410" s="11"/>
      <c r="M410" s="9"/>
    </row>
    <row r="411" spans="1:13" ht="3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11"/>
      <c r="L411" s="11"/>
      <c r="M411" s="9"/>
    </row>
    <row r="412" spans="1:13" ht="3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11"/>
      <c r="L412" s="11"/>
      <c r="M412" s="9"/>
    </row>
    <row r="413" spans="1:13" ht="3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11"/>
      <c r="L413" s="11"/>
      <c r="M413" s="9"/>
    </row>
    <row r="414" spans="1:13" ht="3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11"/>
      <c r="L414" s="11"/>
      <c r="M414" s="9"/>
    </row>
    <row r="415" spans="1:13" ht="3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11"/>
      <c r="L415" s="11"/>
      <c r="M415" s="9"/>
    </row>
    <row r="416" spans="1:13" ht="3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11"/>
      <c r="L416" s="11"/>
      <c r="M416" s="9"/>
    </row>
    <row r="417" spans="1:13" ht="3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11"/>
      <c r="L417" s="11"/>
      <c r="M417" s="9"/>
    </row>
    <row r="418" spans="1:13" ht="3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11"/>
      <c r="L418" s="11"/>
      <c r="M418" s="9"/>
    </row>
    <row r="419" spans="1:13" ht="3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11"/>
      <c r="L419" s="11"/>
      <c r="M419" s="9"/>
    </row>
    <row r="420" spans="1:13" ht="3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11"/>
      <c r="L420" s="11"/>
      <c r="M420" s="9"/>
    </row>
    <row r="421" spans="1:13" ht="3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11"/>
      <c r="L421" s="11"/>
      <c r="M421" s="9"/>
    </row>
    <row r="422" spans="1:13" ht="3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11"/>
      <c r="L422" s="11"/>
      <c r="M422" s="9"/>
    </row>
    <row r="423" spans="1:13" ht="3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11"/>
      <c r="L423" s="11"/>
      <c r="M423" s="9"/>
    </row>
    <row r="424" spans="1:13" ht="3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11"/>
      <c r="L424" s="11"/>
      <c r="M424" s="9"/>
    </row>
    <row r="425" spans="1:13" ht="3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11"/>
      <c r="L425" s="11"/>
      <c r="M425" s="9"/>
    </row>
    <row r="426" spans="1:13" ht="3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11"/>
      <c r="L426" s="11"/>
      <c r="M426" s="9"/>
    </row>
    <row r="427" spans="1:13" ht="3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11"/>
      <c r="L427" s="11"/>
      <c r="M427" s="9"/>
    </row>
    <row r="428" spans="1:13" ht="3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11"/>
      <c r="L428" s="11"/>
      <c r="M428" s="9"/>
    </row>
    <row r="429" spans="1:13" ht="3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11"/>
      <c r="L429" s="11"/>
      <c r="M429" s="9"/>
    </row>
    <row r="430" spans="1:13" ht="3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11"/>
      <c r="L430" s="11"/>
      <c r="M430" s="9"/>
    </row>
    <row r="431" spans="1:13" ht="3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11"/>
      <c r="L431" s="11"/>
      <c r="M431" s="9"/>
    </row>
    <row r="432" spans="1:13" ht="3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11"/>
      <c r="L432" s="11"/>
      <c r="M432" s="9"/>
    </row>
    <row r="433" spans="1:13" ht="3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11"/>
      <c r="L433" s="11"/>
      <c r="M433" s="9"/>
    </row>
    <row r="434" spans="1:13" ht="3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11"/>
      <c r="L434" s="11"/>
      <c r="M434" s="9"/>
    </row>
    <row r="435" spans="1:13" ht="3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11"/>
      <c r="L435" s="11"/>
      <c r="M435" s="9"/>
    </row>
    <row r="436" spans="1:13" ht="3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11"/>
      <c r="L436" s="11"/>
      <c r="M436" s="9"/>
    </row>
    <row r="437" spans="1:13" ht="3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11"/>
      <c r="L437" s="11"/>
      <c r="M437" s="9"/>
    </row>
    <row r="438" spans="1:13" ht="3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11"/>
      <c r="L438" s="11"/>
      <c r="M438" s="9"/>
    </row>
    <row r="439" spans="1:13" ht="3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11"/>
      <c r="L439" s="11"/>
      <c r="M439" s="9"/>
    </row>
    <row r="440" spans="1:13" ht="3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11"/>
      <c r="L440" s="11"/>
      <c r="M440" s="9"/>
    </row>
    <row r="441" spans="1:13" ht="3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11"/>
      <c r="L441" s="11"/>
      <c r="M441" s="9"/>
    </row>
    <row r="442" spans="1:13" ht="3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11"/>
      <c r="L442" s="11"/>
      <c r="M442" s="9"/>
    </row>
    <row r="443" spans="1:13" ht="3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11"/>
      <c r="L443" s="11"/>
      <c r="M443" s="9"/>
    </row>
    <row r="444" spans="1:13" ht="3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11"/>
      <c r="L444" s="11"/>
      <c r="M444" s="9"/>
    </row>
    <row r="445" spans="1:13" ht="3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11"/>
      <c r="L445" s="11"/>
      <c r="M445" s="9"/>
    </row>
    <row r="446" spans="1:13" ht="3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11"/>
      <c r="L446" s="11"/>
      <c r="M446" s="9"/>
    </row>
    <row r="447" spans="1:13" ht="3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11"/>
      <c r="L447" s="11"/>
      <c r="M447" s="9"/>
    </row>
    <row r="448" spans="1:13" ht="3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11"/>
      <c r="L448" s="11"/>
      <c r="M448" s="9"/>
    </row>
    <row r="449" spans="1:13" ht="3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11"/>
      <c r="L449" s="11"/>
      <c r="M449" s="9"/>
    </row>
    <row r="450" spans="1:13" ht="3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11"/>
      <c r="L450" s="11"/>
      <c r="M450" s="9"/>
    </row>
    <row r="451" spans="1:13" ht="3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11"/>
      <c r="L451" s="11"/>
      <c r="M451" s="9"/>
    </row>
    <row r="452" spans="1:13" ht="3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11"/>
      <c r="L452" s="11"/>
      <c r="M452" s="9"/>
    </row>
    <row r="453" spans="1:13" ht="3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11"/>
      <c r="L453" s="11"/>
      <c r="M453" s="9"/>
    </row>
    <row r="454" spans="1:13" ht="3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11"/>
      <c r="L454" s="11"/>
      <c r="M454" s="9"/>
    </row>
    <row r="455" spans="1:13" ht="3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11"/>
      <c r="L455" s="11"/>
      <c r="M455" s="9"/>
    </row>
    <row r="456" spans="1:13" ht="3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11"/>
      <c r="L456" s="11"/>
      <c r="M456" s="9"/>
    </row>
    <row r="457" spans="1:13" ht="3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11"/>
      <c r="L457" s="11"/>
      <c r="M457" s="9"/>
    </row>
    <row r="458" spans="1:13" ht="3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11"/>
      <c r="L458" s="11"/>
      <c r="M458" s="9"/>
    </row>
    <row r="459" spans="1:13" ht="3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11"/>
      <c r="L459" s="11"/>
      <c r="M459" s="9"/>
    </row>
    <row r="460" spans="1:13" ht="3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11"/>
      <c r="L460" s="11"/>
      <c r="M460" s="9"/>
    </row>
    <row r="461" spans="1:13" ht="3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11"/>
      <c r="L461" s="11"/>
      <c r="M461" s="9"/>
    </row>
    <row r="462" spans="1:13" ht="3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11"/>
      <c r="L462" s="11"/>
      <c r="M462" s="9"/>
    </row>
    <row r="463" spans="1:13" ht="3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11"/>
      <c r="L463" s="11"/>
      <c r="M463" s="9"/>
    </row>
    <row r="464" spans="1:13" ht="3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11"/>
      <c r="L464" s="11"/>
      <c r="M464" s="9"/>
    </row>
    <row r="465" spans="1:13" ht="3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11"/>
      <c r="L465" s="11"/>
      <c r="M465" s="9"/>
    </row>
    <row r="466" spans="1:13" ht="3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11"/>
      <c r="L466" s="11"/>
      <c r="M466" s="9"/>
    </row>
    <row r="467" spans="1:13" ht="3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11"/>
      <c r="L467" s="11"/>
      <c r="M467" s="9"/>
    </row>
    <row r="468" spans="1:13" ht="3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11"/>
      <c r="L468" s="11"/>
      <c r="M468" s="9"/>
    </row>
    <row r="469" spans="1:13" ht="3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11"/>
      <c r="L469" s="11"/>
      <c r="M469" s="9"/>
    </row>
    <row r="470" spans="1:13" ht="3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11"/>
      <c r="L470" s="11"/>
      <c r="M470" s="9"/>
    </row>
    <row r="471" spans="1:13" ht="3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11"/>
      <c r="L471" s="11"/>
      <c r="M471" s="9"/>
    </row>
    <row r="472" spans="1:13" ht="3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11"/>
      <c r="L472" s="11"/>
      <c r="M472" s="9"/>
    </row>
    <row r="473" spans="1:13" ht="3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11"/>
      <c r="L473" s="11"/>
      <c r="M473" s="9"/>
    </row>
    <row r="474" spans="1:13" ht="3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11"/>
      <c r="L474" s="11"/>
      <c r="M474" s="9"/>
    </row>
    <row r="475" spans="1:13" ht="3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11"/>
      <c r="L475" s="11"/>
      <c r="M475" s="9"/>
    </row>
    <row r="476" spans="1:13" ht="3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11"/>
      <c r="L476" s="11"/>
      <c r="M476" s="9"/>
    </row>
    <row r="477" spans="1:13" ht="3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11"/>
      <c r="L477" s="11"/>
      <c r="M477" s="9"/>
    </row>
    <row r="478" spans="1:13" ht="3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11"/>
      <c r="L478" s="11"/>
      <c r="M478" s="9"/>
    </row>
    <row r="479" spans="1:13" ht="3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11"/>
      <c r="L479" s="11"/>
      <c r="M479" s="9"/>
    </row>
    <row r="480" spans="1:13" ht="3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11"/>
      <c r="L480" s="11"/>
      <c r="M480" s="9"/>
    </row>
    <row r="481" spans="1:13" ht="3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11"/>
      <c r="L481" s="11"/>
      <c r="M481" s="9"/>
    </row>
    <row r="482" spans="1:13" ht="3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11"/>
      <c r="L482" s="11"/>
      <c r="M482" s="9"/>
    </row>
    <row r="483" spans="1:13" ht="3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11"/>
      <c r="L483" s="11"/>
      <c r="M483" s="9"/>
    </row>
    <row r="484" spans="1:13" ht="3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11"/>
      <c r="L484" s="11"/>
      <c r="M484" s="9"/>
    </row>
    <row r="485" spans="1:13" ht="3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11"/>
      <c r="L485" s="11"/>
      <c r="M485" s="9"/>
    </row>
    <row r="486" spans="1:13" ht="3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11"/>
      <c r="L486" s="11"/>
      <c r="M486" s="9"/>
    </row>
    <row r="487" spans="1:13" ht="3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11"/>
      <c r="L487" s="11"/>
      <c r="M487" s="9"/>
    </row>
    <row r="488" spans="1:13" ht="3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11"/>
      <c r="L488" s="11"/>
      <c r="M488" s="9"/>
    </row>
    <row r="489" spans="1:13" ht="3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11"/>
      <c r="L489" s="11"/>
      <c r="M489" s="9"/>
    </row>
    <row r="490" spans="1:13" ht="3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11"/>
      <c r="L490" s="11"/>
      <c r="M490" s="9"/>
    </row>
    <row r="491" spans="1:13" ht="3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11"/>
      <c r="L491" s="11"/>
      <c r="M491" s="9"/>
    </row>
    <row r="492" spans="1:13" ht="3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11"/>
      <c r="L492" s="11"/>
      <c r="M492" s="9"/>
    </row>
    <row r="493" spans="1:13" ht="3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11"/>
      <c r="L493" s="11"/>
      <c r="M493" s="9"/>
    </row>
    <row r="494" spans="1:13" ht="3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11"/>
      <c r="L494" s="11"/>
      <c r="M494" s="9"/>
    </row>
    <row r="495" spans="1:13" ht="3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11"/>
      <c r="L495" s="11"/>
      <c r="M495" s="9"/>
    </row>
    <row r="496" spans="1:13" ht="3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11"/>
      <c r="L496" s="11"/>
      <c r="M496" s="9"/>
    </row>
    <row r="497" spans="1:13" ht="3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11"/>
      <c r="L497" s="11"/>
      <c r="M497" s="9"/>
    </row>
    <row r="498" spans="1:13" ht="3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11"/>
      <c r="L498" s="11"/>
      <c r="M498" s="9"/>
    </row>
    <row r="499" spans="1:13" ht="3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11"/>
      <c r="L499" s="11"/>
      <c r="M499" s="9"/>
    </row>
    <row r="500" spans="1:13" ht="3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11"/>
      <c r="L500" s="11"/>
      <c r="M500" s="9"/>
    </row>
    <row r="501" spans="1:13" ht="3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11"/>
      <c r="L501" s="11"/>
      <c r="M501" s="9"/>
    </row>
    <row r="502" spans="1:13" ht="3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11"/>
      <c r="L502" s="11"/>
      <c r="M502" s="9"/>
    </row>
    <row r="503" spans="1:13" ht="3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11"/>
      <c r="L503" s="11"/>
      <c r="M503" s="9"/>
    </row>
    <row r="504" spans="1:13" ht="3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11"/>
      <c r="L504" s="11"/>
      <c r="M504" s="9"/>
    </row>
    <row r="505" spans="1:13" ht="3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11"/>
      <c r="L505" s="11"/>
      <c r="M505" s="9"/>
    </row>
    <row r="506" spans="1:13" ht="3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11"/>
      <c r="L506" s="11"/>
      <c r="M506" s="9"/>
    </row>
    <row r="507" spans="1:13" ht="3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11"/>
      <c r="L507" s="11"/>
      <c r="M507" s="9"/>
    </row>
    <row r="508" spans="1:13" ht="3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11"/>
      <c r="L508" s="11"/>
      <c r="M508" s="9"/>
    </row>
    <row r="509" spans="1:13" ht="3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11"/>
      <c r="L509" s="11"/>
      <c r="M509" s="9"/>
    </row>
    <row r="510" spans="1:13" ht="3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11"/>
      <c r="L510" s="11"/>
      <c r="M510" s="9"/>
    </row>
    <row r="511" spans="1:13" ht="3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11"/>
      <c r="L511" s="11"/>
      <c r="M511" s="9"/>
    </row>
    <row r="512" spans="1:13" ht="3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11"/>
      <c r="L512" s="11"/>
      <c r="M512" s="9"/>
    </row>
    <row r="513" spans="1:13" ht="3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11"/>
      <c r="L513" s="11"/>
      <c r="M513" s="9"/>
    </row>
    <row r="514" spans="1:13" ht="3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11"/>
      <c r="L514" s="11"/>
      <c r="M514" s="9"/>
    </row>
    <row r="515" spans="1:13" ht="3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11"/>
      <c r="L515" s="11"/>
      <c r="M515" s="9"/>
    </row>
    <row r="516" spans="1:13" ht="3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11"/>
      <c r="L516" s="11"/>
      <c r="M516" s="9"/>
    </row>
    <row r="517" spans="1:13" ht="3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11"/>
      <c r="L517" s="11"/>
      <c r="M517" s="9"/>
    </row>
    <row r="518" spans="1:13" ht="3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11"/>
      <c r="L518" s="11"/>
      <c r="M518" s="9"/>
    </row>
    <row r="519" spans="1:13" ht="3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11"/>
      <c r="L519" s="11"/>
      <c r="M519" s="9"/>
    </row>
    <row r="520" spans="1:13" ht="3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11"/>
      <c r="L520" s="11"/>
      <c r="M520" s="9"/>
    </row>
    <row r="521" spans="1:13" ht="3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11"/>
      <c r="L521" s="11"/>
      <c r="M521" s="9"/>
    </row>
    <row r="522" spans="1:13" ht="3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11"/>
      <c r="L522" s="11"/>
      <c r="M522" s="9"/>
    </row>
    <row r="523" spans="1:13" ht="3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11"/>
      <c r="L523" s="11"/>
      <c r="M523" s="9"/>
    </row>
    <row r="524" spans="1:13" ht="3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11"/>
      <c r="L524" s="11"/>
      <c r="M524" s="9"/>
    </row>
    <row r="525" spans="1:13" ht="3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11"/>
      <c r="L525" s="11"/>
      <c r="M525" s="9"/>
    </row>
    <row r="526" spans="1:13" ht="3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11"/>
      <c r="L526" s="11"/>
      <c r="M526" s="9"/>
    </row>
    <row r="527" spans="1:13" ht="3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11"/>
      <c r="L527" s="11"/>
      <c r="M527" s="9"/>
    </row>
    <row r="528" spans="1:13" ht="3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11"/>
      <c r="L528" s="11"/>
      <c r="M528" s="9"/>
    </row>
    <row r="529" spans="1:13" ht="3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11"/>
      <c r="L529" s="11"/>
      <c r="M529" s="9"/>
    </row>
    <row r="530" spans="1:13" ht="3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11"/>
      <c r="L530" s="11"/>
      <c r="M530" s="9"/>
    </row>
    <row r="531" spans="1:13" ht="3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11"/>
      <c r="L531" s="11"/>
      <c r="M531" s="9"/>
    </row>
    <row r="532" spans="1:13" ht="3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11"/>
      <c r="L532" s="11"/>
      <c r="M532" s="9"/>
    </row>
    <row r="533" spans="1:13" ht="3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11"/>
      <c r="L533" s="11"/>
      <c r="M533" s="9"/>
    </row>
    <row r="534" spans="1:13" ht="3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11"/>
      <c r="L534" s="11"/>
      <c r="M534" s="9"/>
    </row>
    <row r="535" spans="1:13" ht="3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11"/>
      <c r="L535" s="11"/>
      <c r="M535" s="9"/>
    </row>
    <row r="536" spans="1:13" ht="3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11"/>
      <c r="L536" s="11"/>
      <c r="M536" s="9"/>
    </row>
    <row r="537" spans="1:13" ht="3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11"/>
      <c r="L537" s="11"/>
      <c r="M537" s="9"/>
    </row>
    <row r="538" spans="1:13" ht="3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11"/>
      <c r="L538" s="11"/>
      <c r="M538" s="9"/>
    </row>
    <row r="539" spans="1:13" ht="3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11"/>
      <c r="L539" s="11"/>
      <c r="M539" s="9"/>
    </row>
    <row r="540" spans="1:13" ht="3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11"/>
      <c r="L540" s="11"/>
      <c r="M540" s="9"/>
    </row>
    <row r="541" spans="1:13" ht="3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11"/>
      <c r="L541" s="11"/>
      <c r="M541" s="9"/>
    </row>
    <row r="542" spans="1:13" ht="3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11"/>
      <c r="L542" s="11"/>
      <c r="M542" s="9"/>
    </row>
    <row r="543" spans="1:13" ht="3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11"/>
      <c r="L543" s="11"/>
      <c r="M543" s="9"/>
    </row>
    <row r="544" spans="1:13" ht="3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11"/>
      <c r="L544" s="11"/>
      <c r="M544" s="9"/>
    </row>
    <row r="545" spans="1:13" ht="3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11"/>
      <c r="L545" s="11"/>
      <c r="M545" s="9"/>
    </row>
    <row r="546" spans="1:13" ht="3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11"/>
      <c r="L546" s="11"/>
      <c r="M546" s="9"/>
    </row>
    <row r="547" spans="1:13" ht="3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11"/>
      <c r="L547" s="11"/>
      <c r="M547" s="9"/>
    </row>
    <row r="548" spans="1:13" ht="3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11"/>
      <c r="L548" s="11"/>
      <c r="M548" s="9"/>
    </row>
    <row r="549" spans="1:13" ht="3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11"/>
      <c r="L549" s="11"/>
      <c r="M549" s="9"/>
    </row>
    <row r="550" spans="1:13" ht="3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11"/>
      <c r="L550" s="11"/>
      <c r="M550" s="9"/>
    </row>
    <row r="551" spans="1:13" ht="3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11"/>
      <c r="L551" s="11"/>
      <c r="M551" s="9"/>
    </row>
    <row r="552" spans="1:13" ht="3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11"/>
      <c r="L552" s="11"/>
      <c r="M552" s="9"/>
    </row>
    <row r="553" spans="1:13" ht="3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11"/>
      <c r="L553" s="11"/>
      <c r="M553" s="9"/>
    </row>
    <row r="554" spans="1:13" ht="3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11"/>
      <c r="L554" s="11"/>
      <c r="M554" s="9"/>
    </row>
    <row r="555" spans="1:13" ht="3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11"/>
      <c r="L555" s="11"/>
      <c r="M555" s="9"/>
    </row>
    <row r="556" spans="1:13" ht="3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11"/>
      <c r="L556" s="11"/>
      <c r="M556" s="9"/>
    </row>
    <row r="557" spans="1:13" ht="3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11"/>
      <c r="L557" s="11"/>
      <c r="M557" s="9"/>
    </row>
    <row r="558" spans="1:13" ht="3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11"/>
      <c r="L558" s="11"/>
      <c r="M558" s="9"/>
    </row>
    <row r="559" spans="1:13" ht="3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11"/>
      <c r="L559" s="11"/>
      <c r="M559" s="9"/>
    </row>
    <row r="560" spans="1:13" ht="3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11"/>
      <c r="L560" s="11"/>
      <c r="M560" s="9"/>
    </row>
    <row r="561" spans="1:13" ht="3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11"/>
      <c r="L561" s="11"/>
      <c r="M561" s="9"/>
    </row>
    <row r="562" spans="1:13" ht="3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11"/>
      <c r="L562" s="11"/>
      <c r="M562" s="9"/>
    </row>
    <row r="563" spans="1:13" ht="3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11"/>
      <c r="L563" s="11"/>
      <c r="M563" s="9"/>
    </row>
    <row r="564" spans="1:13" ht="3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11"/>
      <c r="L564" s="11"/>
      <c r="M564" s="9"/>
    </row>
    <row r="565" spans="1:13" ht="3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11"/>
      <c r="L565" s="11"/>
      <c r="M565" s="9"/>
    </row>
    <row r="566" spans="1:13" ht="3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11"/>
      <c r="L566" s="11"/>
      <c r="M566" s="9"/>
    </row>
    <row r="567" spans="1:13" ht="3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11"/>
      <c r="L567" s="11"/>
      <c r="M567" s="9"/>
    </row>
    <row r="568" spans="1:13" ht="3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11"/>
      <c r="L568" s="11"/>
      <c r="M568" s="9"/>
    </row>
    <row r="569" spans="1:13" ht="3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11"/>
      <c r="L569" s="11"/>
      <c r="M569" s="9"/>
    </row>
    <row r="570" spans="1:13" ht="3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11"/>
      <c r="L570" s="11"/>
      <c r="M570" s="9"/>
    </row>
    <row r="571" spans="1:13" ht="3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11"/>
      <c r="L571" s="11"/>
      <c r="M571" s="9"/>
    </row>
    <row r="572" spans="1:13" ht="3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11"/>
      <c r="L572" s="11"/>
      <c r="M572" s="9"/>
    </row>
    <row r="573" spans="1:13" ht="3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11"/>
      <c r="L573" s="11"/>
      <c r="M573" s="9"/>
    </row>
    <row r="574" spans="1:13" ht="3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11"/>
      <c r="L574" s="11"/>
      <c r="M574" s="9"/>
    </row>
    <row r="575" spans="1:13" ht="3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11"/>
      <c r="L575" s="11"/>
      <c r="M575" s="9"/>
    </row>
    <row r="576" spans="1:13" ht="3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11"/>
      <c r="L576" s="11"/>
      <c r="M576" s="9"/>
    </row>
    <row r="577" spans="1:13" ht="3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11"/>
      <c r="L577" s="11"/>
      <c r="M577" s="9"/>
    </row>
    <row r="578" spans="1:13" ht="3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11"/>
      <c r="L578" s="11"/>
      <c r="M578" s="9"/>
    </row>
    <row r="579" spans="1:13" ht="3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11"/>
      <c r="L579" s="11"/>
      <c r="M579" s="9"/>
    </row>
    <row r="580" spans="1:13" ht="3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11"/>
      <c r="L580" s="11"/>
      <c r="M580" s="9"/>
    </row>
    <row r="581" spans="1:13" ht="3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11"/>
      <c r="L581" s="11"/>
      <c r="M581" s="9"/>
    </row>
    <row r="582" spans="1:13" ht="3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11"/>
      <c r="L582" s="11"/>
      <c r="M582" s="9"/>
    </row>
    <row r="583" spans="1:13" ht="3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11"/>
      <c r="L583" s="11"/>
      <c r="M583" s="9"/>
    </row>
    <row r="584" spans="1:13" ht="3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11"/>
      <c r="L584" s="11"/>
      <c r="M584" s="9"/>
    </row>
    <row r="585" spans="1:13" ht="3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11"/>
      <c r="L585" s="11"/>
      <c r="M585" s="9"/>
    </row>
  </sheetData>
  <autoFilter ref="A2:M301" xr:uid="{48C3EA1C-1E31-4450-8B8A-792657D07DD1}"/>
  <mergeCells count="1">
    <mergeCell ref="A1:M1"/>
  </mergeCells>
  <conditionalFormatting sqref="C1:C298 C363:C1048576">
    <cfRule type="duplicateValues" dxfId="12" priority="2"/>
  </conditionalFormatting>
  <conditionalFormatting sqref="C299:C362">
    <cfRule type="duplicateValues" dxfId="3" priority="1"/>
  </conditionalFormatting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7A674-0530-4455-82E0-5F46DB568994}">
  <sheetPr>
    <outlinePr summaryBelow="0" summaryRight="0"/>
  </sheetPr>
  <dimension ref="A1:N585"/>
  <sheetViews>
    <sheetView tabSelected="1" zoomScale="55" zoomScaleNormal="55" workbookViewId="0">
      <pane xSplit="1" ySplit="2" topLeftCell="B287" activePane="bottomRight" state="frozen"/>
      <selection pane="topRight" activeCell="B1" sqref="B1"/>
      <selection pane="bottomLeft" activeCell="A3" sqref="A3"/>
      <selection pane="bottomRight" activeCell="E313" sqref="E313"/>
    </sheetView>
  </sheetViews>
  <sheetFormatPr defaultColWidth="12.5703125" defaultRowHeight="15.75" customHeight="1"/>
  <cols>
    <col min="1" max="10" width="31.5703125" style="32" customWidth="1"/>
    <col min="11" max="12" width="31.5703125" style="33" customWidth="1"/>
    <col min="13" max="13" width="31.5703125" style="34" customWidth="1"/>
    <col min="14" max="16384" width="12.5703125" style="32"/>
  </cols>
  <sheetData>
    <row r="1" spans="1:14" ht="30" customHeight="1">
      <c r="A1" s="37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9"/>
      <c r="L1" s="39"/>
      <c r="M1" s="40"/>
    </row>
    <row r="2" spans="1:14" ht="3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/>
      <c r="H2" s="1" t="s">
        <v>7</v>
      </c>
      <c r="I2" s="1" t="s">
        <v>8</v>
      </c>
      <c r="J2" s="1" t="s">
        <v>9</v>
      </c>
      <c r="K2" s="10" t="s">
        <v>10</v>
      </c>
      <c r="L2" s="10" t="s">
        <v>11</v>
      </c>
      <c r="M2" s="8" t="s">
        <v>12</v>
      </c>
    </row>
    <row r="3" spans="1:14" ht="30" customHeight="1">
      <c r="A3" s="7" t="s">
        <v>13</v>
      </c>
      <c r="B3" s="30" t="s">
        <v>384</v>
      </c>
      <c r="C3" s="30" t="s">
        <v>89</v>
      </c>
      <c r="D3" s="27">
        <v>11080.930469516583</v>
      </c>
      <c r="E3" s="28">
        <v>10357.834248177662</v>
      </c>
      <c r="F3" s="27">
        <f>+D3-E3</f>
        <v>723.09622133892117</v>
      </c>
      <c r="G3" s="27">
        <f t="shared" ref="G3:G66" si="0">+F3*100/D3</f>
        <v>6.5255911796229054</v>
      </c>
      <c r="H3" s="29">
        <v>60</v>
      </c>
      <c r="I3" s="29">
        <v>4</v>
      </c>
      <c r="J3" s="18" t="s">
        <v>14</v>
      </c>
      <c r="K3" s="30">
        <v>40.865291666700003</v>
      </c>
      <c r="L3" s="30">
        <v>71.961494999999999</v>
      </c>
      <c r="M3" s="15">
        <v>160</v>
      </c>
      <c r="N3" s="32">
        <v>3</v>
      </c>
    </row>
    <row r="4" spans="1:14" ht="30" customHeight="1">
      <c r="A4" s="7" t="s">
        <v>13</v>
      </c>
      <c r="B4" s="30" t="s">
        <v>385</v>
      </c>
      <c r="C4" s="30" t="s">
        <v>123</v>
      </c>
      <c r="D4" s="27">
        <v>12835.401179516584</v>
      </c>
      <c r="E4" s="28">
        <v>11892.804248177665</v>
      </c>
      <c r="F4" s="27">
        <f>+D4-E4</f>
        <v>942.5969313389196</v>
      </c>
      <c r="G4" s="27">
        <f t="shared" si="0"/>
        <v>7.343727852022</v>
      </c>
      <c r="H4" s="29">
        <v>34</v>
      </c>
      <c r="I4" s="29">
        <v>5</v>
      </c>
      <c r="J4" s="4" t="s">
        <v>16</v>
      </c>
      <c r="K4" s="30">
        <v>40.859666666700001</v>
      </c>
      <c r="L4" s="30">
        <v>72.121076666700006</v>
      </c>
      <c r="M4" s="15">
        <v>63</v>
      </c>
    </row>
    <row r="5" spans="1:14" ht="30" customHeight="1">
      <c r="A5" s="7" t="s">
        <v>13</v>
      </c>
      <c r="B5" s="30" t="s">
        <v>386</v>
      </c>
      <c r="C5" s="30" t="s">
        <v>124</v>
      </c>
      <c r="D5" s="27">
        <v>14514.433889516584</v>
      </c>
      <c r="E5" s="28">
        <v>13361.774248177662</v>
      </c>
      <c r="F5" s="27">
        <f t="shared" ref="F5:F68" si="1">+D5-E5</f>
        <v>1152.6596413389216</v>
      </c>
      <c r="G5" s="27">
        <f t="shared" si="0"/>
        <v>7.941471573145261</v>
      </c>
      <c r="H5" s="29">
        <v>18</v>
      </c>
      <c r="I5" s="29">
        <v>5</v>
      </c>
      <c r="J5" s="4" t="s">
        <v>15</v>
      </c>
      <c r="K5" s="30">
        <v>40.875443333299998</v>
      </c>
      <c r="L5" s="30">
        <v>71.966825</v>
      </c>
      <c r="M5" s="15">
        <v>250</v>
      </c>
    </row>
    <row r="6" spans="1:14" ht="30" customHeight="1">
      <c r="A6" s="7" t="s">
        <v>13</v>
      </c>
      <c r="B6" s="30" t="s">
        <v>387</v>
      </c>
      <c r="C6" s="30" t="s">
        <v>125</v>
      </c>
      <c r="D6" s="27">
        <v>14048.044169516585</v>
      </c>
      <c r="E6" s="28">
        <v>12953.734248177665</v>
      </c>
      <c r="F6" s="27">
        <f t="shared" si="1"/>
        <v>1094.3099213389196</v>
      </c>
      <c r="G6" s="27">
        <f t="shared" si="0"/>
        <v>7.789767088813023</v>
      </c>
      <c r="H6" s="29">
        <v>68</v>
      </c>
      <c r="I6" s="29">
        <v>4</v>
      </c>
      <c r="J6" s="4" t="s">
        <v>15</v>
      </c>
      <c r="K6" s="30">
        <v>40.879336666500002</v>
      </c>
      <c r="L6" s="30">
        <v>71.986581666700005</v>
      </c>
      <c r="M6" s="15">
        <v>160</v>
      </c>
    </row>
    <row r="7" spans="1:14" ht="30" customHeight="1">
      <c r="A7" s="7" t="s">
        <v>13</v>
      </c>
      <c r="B7" s="30" t="s">
        <v>388</v>
      </c>
      <c r="C7" s="30" t="s">
        <v>126</v>
      </c>
      <c r="D7" s="27">
        <v>10209.682529516582</v>
      </c>
      <c r="E7" s="28">
        <v>9595.5875815109957</v>
      </c>
      <c r="F7" s="27">
        <f t="shared" si="1"/>
        <v>614.09494800558605</v>
      </c>
      <c r="G7" s="27">
        <f t="shared" si="0"/>
        <v>6.0148290236274642</v>
      </c>
      <c r="H7" s="29">
        <v>12</v>
      </c>
      <c r="I7" s="29">
        <v>4</v>
      </c>
      <c r="J7" s="4" t="s">
        <v>15</v>
      </c>
      <c r="K7" s="30">
        <v>40.874026666600002</v>
      </c>
      <c r="L7" s="30">
        <v>72.094549999700007</v>
      </c>
      <c r="M7" s="15">
        <v>400</v>
      </c>
    </row>
    <row r="8" spans="1:14" ht="30" customHeight="1">
      <c r="A8" s="7" t="s">
        <v>13</v>
      </c>
      <c r="B8" s="30" t="s">
        <v>385</v>
      </c>
      <c r="C8" s="30" t="s">
        <v>127</v>
      </c>
      <c r="D8" s="27">
        <v>13733.555339516583</v>
      </c>
      <c r="E8" s="28">
        <v>12678.590914844332</v>
      </c>
      <c r="F8" s="27">
        <f t="shared" si="1"/>
        <v>1054.964424672251</v>
      </c>
      <c r="G8" s="27">
        <f t="shared" si="0"/>
        <v>7.6816556135083482</v>
      </c>
      <c r="H8" s="29">
        <v>61</v>
      </c>
      <c r="I8" s="29">
        <v>3</v>
      </c>
      <c r="J8" s="4" t="s">
        <v>17</v>
      </c>
      <c r="K8" s="30">
        <v>40.859666666700001</v>
      </c>
      <c r="L8" s="30">
        <v>72.121076666700006</v>
      </c>
      <c r="M8" s="15">
        <v>100</v>
      </c>
    </row>
    <row r="9" spans="1:14" ht="30" customHeight="1">
      <c r="A9" s="7" t="s">
        <v>13</v>
      </c>
      <c r="B9" s="30" t="s">
        <v>385</v>
      </c>
      <c r="C9" s="30" t="s">
        <v>128</v>
      </c>
      <c r="D9" s="27">
        <v>16679.462579516585</v>
      </c>
      <c r="E9" s="28">
        <v>15255.937581511002</v>
      </c>
      <c r="F9" s="27">
        <f t="shared" si="1"/>
        <v>1423.5249980055833</v>
      </c>
      <c r="G9" s="27">
        <f t="shared" si="0"/>
        <v>8.5345975100766154</v>
      </c>
      <c r="H9" s="29">
        <v>83</v>
      </c>
      <c r="I9" s="29">
        <v>9</v>
      </c>
      <c r="J9" s="4" t="s">
        <v>17</v>
      </c>
      <c r="K9" s="30">
        <v>40.861923333299998</v>
      </c>
      <c r="L9" s="30">
        <v>72.000451666700002</v>
      </c>
      <c r="M9" s="15">
        <v>250</v>
      </c>
    </row>
    <row r="10" spans="1:14" ht="30" customHeight="1">
      <c r="A10" s="7" t="s">
        <v>13</v>
      </c>
      <c r="B10" s="30" t="s">
        <v>388</v>
      </c>
      <c r="C10" s="30" t="s">
        <v>129</v>
      </c>
      <c r="D10" s="27">
        <v>15353.902619516584</v>
      </c>
      <c r="E10" s="28">
        <v>14096.217581510999</v>
      </c>
      <c r="F10" s="27">
        <f t="shared" si="1"/>
        <v>1257.6850380055857</v>
      </c>
      <c r="G10" s="27">
        <f t="shared" si="0"/>
        <v>8.1913052933325403</v>
      </c>
      <c r="H10" s="29">
        <v>99</v>
      </c>
      <c r="I10" s="29">
        <v>1</v>
      </c>
      <c r="J10" s="4" t="s">
        <v>17</v>
      </c>
      <c r="K10" s="30">
        <v>40.876303333300001</v>
      </c>
      <c r="L10" s="30">
        <v>71.989218333300002</v>
      </c>
      <c r="M10" s="15">
        <v>160</v>
      </c>
    </row>
    <row r="11" spans="1:14" ht="30" customHeight="1">
      <c r="A11" s="7" t="s">
        <v>13</v>
      </c>
      <c r="B11" s="30" t="s">
        <v>387</v>
      </c>
      <c r="C11" s="30" t="s">
        <v>130</v>
      </c>
      <c r="D11" s="27">
        <v>15735.298859516586</v>
      </c>
      <c r="E11" s="28">
        <v>14429.897581510999</v>
      </c>
      <c r="F11" s="27">
        <f t="shared" si="1"/>
        <v>1305.4012780055873</v>
      </c>
      <c r="G11" s="27">
        <f t="shared" si="0"/>
        <v>8.2960056218829976</v>
      </c>
      <c r="H11" s="29">
        <v>68</v>
      </c>
      <c r="I11" s="29">
        <v>1</v>
      </c>
      <c r="J11" s="4" t="s">
        <v>14</v>
      </c>
      <c r="K11" s="30">
        <v>40.880254999999998</v>
      </c>
      <c r="L11" s="30">
        <v>71.986491666700005</v>
      </c>
      <c r="M11" s="15">
        <v>400</v>
      </c>
    </row>
    <row r="12" spans="1:14" ht="30" customHeight="1">
      <c r="A12" s="7" t="s">
        <v>13</v>
      </c>
      <c r="B12" s="30" t="s">
        <v>388</v>
      </c>
      <c r="C12" s="30" t="s">
        <v>131</v>
      </c>
      <c r="D12" s="27">
        <v>13160.260829516583</v>
      </c>
      <c r="E12" s="28">
        <v>12177.020914844332</v>
      </c>
      <c r="F12" s="27">
        <f t="shared" si="1"/>
        <v>983.23991467225096</v>
      </c>
      <c r="G12" s="27">
        <f t="shared" si="0"/>
        <v>7.4712798432306489</v>
      </c>
      <c r="H12" s="29">
        <v>63</v>
      </c>
      <c r="I12" s="29">
        <v>2</v>
      </c>
      <c r="J12" s="4" t="s">
        <v>16</v>
      </c>
      <c r="K12" s="30">
        <v>40.881878333300001</v>
      </c>
      <c r="L12" s="30">
        <v>71.992743333299998</v>
      </c>
      <c r="M12" s="15">
        <v>60</v>
      </c>
    </row>
    <row r="13" spans="1:14" ht="30" customHeight="1">
      <c r="A13" s="7" t="s">
        <v>13</v>
      </c>
      <c r="B13" s="30" t="s">
        <v>388</v>
      </c>
      <c r="C13" s="30" t="s">
        <v>132</v>
      </c>
      <c r="D13" s="27">
        <v>17758.93082951659</v>
      </c>
      <c r="E13" s="28">
        <v>16200.354248177666</v>
      </c>
      <c r="F13" s="27">
        <f t="shared" si="1"/>
        <v>1558.5765813389244</v>
      </c>
      <c r="G13" s="27">
        <f t="shared" si="0"/>
        <v>8.7762973813066534</v>
      </c>
      <c r="H13" s="29">
        <v>24</v>
      </c>
      <c r="I13" s="29">
        <v>2</v>
      </c>
      <c r="J13" s="4" t="s">
        <v>18</v>
      </c>
      <c r="K13" s="30">
        <v>40.8861933333</v>
      </c>
      <c r="L13" s="30">
        <v>71.991990000000001</v>
      </c>
      <c r="M13" s="15">
        <v>100</v>
      </c>
    </row>
    <row r="14" spans="1:14" ht="30" customHeight="1">
      <c r="A14" s="7" t="s">
        <v>13</v>
      </c>
      <c r="B14" s="30" t="s">
        <v>388</v>
      </c>
      <c r="C14" s="30" t="s">
        <v>133</v>
      </c>
      <c r="D14" s="27">
        <v>17815.135949516589</v>
      </c>
      <c r="E14" s="28">
        <v>16249.527581510998</v>
      </c>
      <c r="F14" s="27">
        <f t="shared" si="1"/>
        <v>1565.6083680055908</v>
      </c>
      <c r="G14" s="27">
        <f t="shared" si="0"/>
        <v>8.7880798240446403</v>
      </c>
      <c r="H14" s="29">
        <v>107</v>
      </c>
      <c r="I14" s="29">
        <v>2</v>
      </c>
      <c r="J14" s="4" t="s">
        <v>18</v>
      </c>
      <c r="K14" s="30">
        <v>40.871985000000002</v>
      </c>
      <c r="L14" s="30">
        <v>72.001351666700003</v>
      </c>
      <c r="M14" s="15">
        <v>100</v>
      </c>
    </row>
    <row r="15" spans="1:14" ht="30" customHeight="1">
      <c r="A15" s="7" t="s">
        <v>13</v>
      </c>
      <c r="B15" s="30" t="s">
        <v>384</v>
      </c>
      <c r="C15" s="30" t="s">
        <v>109</v>
      </c>
      <c r="D15" s="27">
        <v>15917.816909516585</v>
      </c>
      <c r="E15" s="28">
        <v>14589.580914844333</v>
      </c>
      <c r="F15" s="27">
        <f t="shared" si="1"/>
        <v>1328.2359946722518</v>
      </c>
      <c r="G15" s="27">
        <f t="shared" si="0"/>
        <v>8.344335169970174</v>
      </c>
      <c r="H15" s="29">
        <v>69</v>
      </c>
      <c r="I15" s="29">
        <v>1</v>
      </c>
      <c r="J15" s="4" t="s">
        <v>14</v>
      </c>
      <c r="K15" s="30">
        <v>40.863475000000001</v>
      </c>
      <c r="L15" s="30">
        <v>71.947638333300006</v>
      </c>
      <c r="M15" s="15">
        <v>400</v>
      </c>
    </row>
    <row r="16" spans="1:14" ht="30" customHeight="1">
      <c r="A16" s="7" t="s">
        <v>13</v>
      </c>
      <c r="B16" s="30" t="s">
        <v>386</v>
      </c>
      <c r="C16" s="30" t="s">
        <v>134</v>
      </c>
      <c r="D16" s="27">
        <v>16485.647879516582</v>
      </c>
      <c r="E16" s="28">
        <v>15086.37091484433</v>
      </c>
      <c r="F16" s="27">
        <f t="shared" si="1"/>
        <v>1399.2769646722518</v>
      </c>
      <c r="G16" s="27">
        <f t="shared" si="0"/>
        <v>8.4878494002704823</v>
      </c>
      <c r="H16" s="29">
        <v>43</v>
      </c>
      <c r="I16" s="29">
        <v>1</v>
      </c>
      <c r="J16" s="4" t="s">
        <v>17</v>
      </c>
      <c r="K16" s="30">
        <v>40.867853333299998</v>
      </c>
      <c r="L16" s="30">
        <v>71.9555883333</v>
      </c>
      <c r="M16" s="15">
        <v>160</v>
      </c>
    </row>
    <row r="17" spans="1:13" ht="30" customHeight="1">
      <c r="A17" s="7" t="s">
        <v>13</v>
      </c>
      <c r="B17" s="30" t="s">
        <v>386</v>
      </c>
      <c r="C17" s="30" t="s">
        <v>135</v>
      </c>
      <c r="D17" s="27">
        <v>19705.654139516584</v>
      </c>
      <c r="E17" s="28">
        <v>17903.524248177662</v>
      </c>
      <c r="F17" s="27">
        <f t="shared" si="1"/>
        <v>1802.1298913389219</v>
      </c>
      <c r="G17" s="27">
        <f t="shared" si="0"/>
        <v>9.1452426728886618</v>
      </c>
      <c r="H17" s="29">
        <v>79</v>
      </c>
      <c r="I17" s="29">
        <v>2</v>
      </c>
      <c r="J17" s="4" t="s">
        <v>19</v>
      </c>
      <c r="K17" s="30">
        <v>40.871698333300003</v>
      </c>
      <c r="L17" s="30">
        <v>71.957906666699998</v>
      </c>
      <c r="M17" s="15">
        <v>160</v>
      </c>
    </row>
    <row r="18" spans="1:13" ht="30" customHeight="1">
      <c r="A18" s="7" t="s">
        <v>13</v>
      </c>
      <c r="B18" s="30" t="s">
        <v>388</v>
      </c>
      <c r="C18" s="30" t="s">
        <v>136</v>
      </c>
      <c r="D18" s="27">
        <v>16470.682199516588</v>
      </c>
      <c r="E18" s="28">
        <v>15073.277581510996</v>
      </c>
      <c r="F18" s="27">
        <f t="shared" si="1"/>
        <v>1397.4046180055921</v>
      </c>
      <c r="G18" s="27">
        <f t="shared" si="0"/>
        <v>8.4841939215280675</v>
      </c>
      <c r="H18" s="29">
        <v>82</v>
      </c>
      <c r="I18" s="29">
        <v>4</v>
      </c>
      <c r="J18" s="4" t="s">
        <v>16</v>
      </c>
      <c r="K18" s="30">
        <v>40.881491666700001</v>
      </c>
      <c r="L18" s="30">
        <v>72.005658333300005</v>
      </c>
      <c r="M18" s="15">
        <v>400</v>
      </c>
    </row>
    <row r="19" spans="1:13" ht="30" customHeight="1">
      <c r="A19" s="7" t="s">
        <v>13</v>
      </c>
      <c r="B19" s="30" t="s">
        <v>388</v>
      </c>
      <c r="C19" s="30" t="s">
        <v>137</v>
      </c>
      <c r="D19" s="27">
        <v>14117.892899516582</v>
      </c>
      <c r="E19" s="28">
        <v>13014.844248177662</v>
      </c>
      <c r="F19" s="27">
        <f t="shared" si="1"/>
        <v>1103.0486513389205</v>
      </c>
      <c r="G19" s="27">
        <f t="shared" si="0"/>
        <v>7.8131252247755079</v>
      </c>
      <c r="H19" s="29">
        <v>104</v>
      </c>
      <c r="I19" s="29">
        <v>1</v>
      </c>
      <c r="J19" s="4" t="s">
        <v>16</v>
      </c>
      <c r="K19" s="30">
        <v>40.882366666700001</v>
      </c>
      <c r="L19" s="30">
        <v>72.011693333300002</v>
      </c>
      <c r="M19" s="15">
        <v>63</v>
      </c>
    </row>
    <row r="20" spans="1:13" ht="30" customHeight="1">
      <c r="A20" s="7" t="s">
        <v>13</v>
      </c>
      <c r="B20" s="30" t="s">
        <v>387</v>
      </c>
      <c r="C20" s="30" t="s">
        <v>138</v>
      </c>
      <c r="D20" s="27">
        <v>24527.552039516588</v>
      </c>
      <c r="E20" s="28">
        <v>22122.157581511001</v>
      </c>
      <c r="F20" s="27">
        <f t="shared" si="1"/>
        <v>2405.3944580055868</v>
      </c>
      <c r="G20" s="27">
        <f t="shared" si="0"/>
        <v>9.8069079789545697</v>
      </c>
      <c r="H20" s="29">
        <v>6</v>
      </c>
      <c r="I20" s="29">
        <v>2</v>
      </c>
      <c r="J20" s="4" t="s">
        <v>16</v>
      </c>
      <c r="K20" s="30">
        <v>40.867094999999999</v>
      </c>
      <c r="L20" s="30">
        <v>71.968564999999998</v>
      </c>
      <c r="M20" s="15">
        <v>160</v>
      </c>
    </row>
    <row r="21" spans="1:13" ht="30" customHeight="1">
      <c r="A21" s="7" t="s">
        <v>13</v>
      </c>
      <c r="B21" s="30" t="s">
        <v>388</v>
      </c>
      <c r="C21" s="30" t="s">
        <v>139</v>
      </c>
      <c r="D21" s="27">
        <v>10068.415349516587</v>
      </c>
      <c r="E21" s="28">
        <v>9471.9942481776616</v>
      </c>
      <c r="F21" s="27">
        <f t="shared" si="1"/>
        <v>596.42110133892493</v>
      </c>
      <c r="G21" s="27">
        <f t="shared" si="0"/>
        <v>5.9236839227889106</v>
      </c>
      <c r="H21" s="29">
        <v>36</v>
      </c>
      <c r="I21" s="29">
        <v>2</v>
      </c>
      <c r="J21" s="4" t="s">
        <v>16</v>
      </c>
      <c r="K21" s="30">
        <v>40.865857601199998</v>
      </c>
      <c r="L21" s="30">
        <v>71.963380873199995</v>
      </c>
      <c r="M21" s="15">
        <v>160</v>
      </c>
    </row>
    <row r="22" spans="1:13" ht="30" customHeight="1">
      <c r="A22" s="7" t="s">
        <v>13</v>
      </c>
      <c r="B22" s="30" t="s">
        <v>387</v>
      </c>
      <c r="C22" s="30" t="s">
        <v>140</v>
      </c>
      <c r="D22" s="27">
        <v>12037.114739516581</v>
      </c>
      <c r="E22" s="28">
        <v>11194.390914844329</v>
      </c>
      <c r="F22" s="27">
        <f t="shared" si="1"/>
        <v>842.72382467225179</v>
      </c>
      <c r="G22" s="27">
        <f t="shared" si="0"/>
        <v>7.0010450420122536</v>
      </c>
      <c r="H22" s="29">
        <v>35</v>
      </c>
      <c r="I22" s="29">
        <v>1</v>
      </c>
      <c r="J22" s="4" t="s">
        <v>16</v>
      </c>
      <c r="K22" s="30">
        <v>40.868364999999997</v>
      </c>
      <c r="L22" s="30">
        <v>71.977401666700004</v>
      </c>
      <c r="M22" s="15">
        <v>160</v>
      </c>
    </row>
    <row r="23" spans="1:13" ht="30" customHeight="1">
      <c r="A23" s="7" t="s">
        <v>13</v>
      </c>
      <c r="B23" s="30" t="s">
        <v>385</v>
      </c>
      <c r="C23" s="30" t="s">
        <v>141</v>
      </c>
      <c r="D23" s="27">
        <v>20550.407339516591</v>
      </c>
      <c r="E23" s="28">
        <v>18642.590914844335</v>
      </c>
      <c r="F23" s="27">
        <f t="shared" si="1"/>
        <v>1907.8164246722554</v>
      </c>
      <c r="G23" s="27">
        <f t="shared" si="0"/>
        <v>9.2835942040121786</v>
      </c>
      <c r="H23" s="29">
        <v>145</v>
      </c>
      <c r="I23" s="29">
        <v>4</v>
      </c>
      <c r="J23" s="3" t="s">
        <v>16</v>
      </c>
      <c r="K23" s="30">
        <v>40.866354999999999</v>
      </c>
      <c r="L23" s="30">
        <v>71.987798333300006</v>
      </c>
      <c r="M23" s="15">
        <v>63</v>
      </c>
    </row>
    <row r="24" spans="1:13" ht="30" customHeight="1">
      <c r="A24" s="7" t="s">
        <v>13</v>
      </c>
      <c r="B24" s="30" t="s">
        <v>385</v>
      </c>
      <c r="C24" s="30" t="s">
        <v>142</v>
      </c>
      <c r="D24" s="27">
        <v>25948.236269516587</v>
      </c>
      <c r="E24" s="28">
        <v>23365.10091484433</v>
      </c>
      <c r="F24" s="27">
        <f t="shared" si="1"/>
        <v>2583.1353546722567</v>
      </c>
      <c r="G24" s="27">
        <f t="shared" si="0"/>
        <v>9.9549554268043519</v>
      </c>
      <c r="H24" s="29">
        <v>200</v>
      </c>
      <c r="I24" s="29">
        <v>1</v>
      </c>
      <c r="J24" s="3" t="s">
        <v>16</v>
      </c>
      <c r="K24" s="30">
        <v>40.8589916667</v>
      </c>
      <c r="L24" s="30">
        <v>72.007035000000002</v>
      </c>
      <c r="M24" s="15">
        <v>63</v>
      </c>
    </row>
    <row r="25" spans="1:13" ht="30" customHeight="1">
      <c r="A25" s="7" t="s">
        <v>13</v>
      </c>
      <c r="B25" s="30" t="s">
        <v>387</v>
      </c>
      <c r="C25" s="30" t="s">
        <v>143</v>
      </c>
      <c r="D25" s="27">
        <v>28116.210089516586</v>
      </c>
      <c r="E25" s="28">
        <v>25261.840914844335</v>
      </c>
      <c r="F25" s="27">
        <f t="shared" si="1"/>
        <v>2854.3691746722507</v>
      </c>
      <c r="G25" s="27">
        <f t="shared" si="0"/>
        <v>10.152040995512873</v>
      </c>
      <c r="H25" s="29">
        <v>47</v>
      </c>
      <c r="I25" s="29">
        <v>1</v>
      </c>
      <c r="J25" s="3" t="s">
        <v>14</v>
      </c>
      <c r="K25" s="30">
        <v>40.8780866667</v>
      </c>
      <c r="L25" s="30">
        <v>71.986896666700005</v>
      </c>
      <c r="M25" s="15">
        <v>250</v>
      </c>
    </row>
    <row r="26" spans="1:13" ht="30" customHeight="1">
      <c r="A26" s="7" t="s">
        <v>13</v>
      </c>
      <c r="B26" s="30" t="s">
        <v>388</v>
      </c>
      <c r="C26" s="30" t="s">
        <v>144</v>
      </c>
      <c r="D26" s="27">
        <v>16171.932479516587</v>
      </c>
      <c r="E26" s="28">
        <v>14811.904248177667</v>
      </c>
      <c r="F26" s="27">
        <f t="shared" si="1"/>
        <v>1360.0282313389198</v>
      </c>
      <c r="G26" s="27">
        <f t="shared" si="0"/>
        <v>8.409806515464588</v>
      </c>
      <c r="H26" s="29">
        <v>176</v>
      </c>
      <c r="I26" s="29">
        <v>2</v>
      </c>
      <c r="J26" s="3" t="s">
        <v>14</v>
      </c>
      <c r="K26" s="30">
        <v>40.888159999999999</v>
      </c>
      <c r="L26" s="30">
        <v>72.008324999999999</v>
      </c>
      <c r="M26" s="15">
        <v>100</v>
      </c>
    </row>
    <row r="27" spans="1:13" ht="30" customHeight="1">
      <c r="A27" s="7" t="s">
        <v>13</v>
      </c>
      <c r="B27" s="30" t="s">
        <v>388</v>
      </c>
      <c r="C27" s="30" t="s">
        <v>145</v>
      </c>
      <c r="D27" s="27">
        <v>17404.981829516582</v>
      </c>
      <c r="E27" s="28">
        <v>15890.687581511002</v>
      </c>
      <c r="F27" s="27">
        <f t="shared" si="1"/>
        <v>1514.2942480055808</v>
      </c>
      <c r="G27" s="27">
        <f t="shared" si="0"/>
        <v>8.7003494909574393</v>
      </c>
      <c r="H27" s="29">
        <v>94</v>
      </c>
      <c r="I27" s="29">
        <v>10</v>
      </c>
      <c r="J27" s="17" t="s">
        <v>14</v>
      </c>
      <c r="K27" s="30">
        <v>40.879911666700004</v>
      </c>
      <c r="L27" s="30">
        <v>72.022811666699994</v>
      </c>
      <c r="M27" s="15">
        <v>100</v>
      </c>
    </row>
    <row r="28" spans="1:13" ht="30" customHeight="1">
      <c r="A28" s="7" t="s">
        <v>13</v>
      </c>
      <c r="B28" s="30" t="s">
        <v>389</v>
      </c>
      <c r="C28" s="30" t="s">
        <v>146</v>
      </c>
      <c r="D28" s="27">
        <v>17502.277799516589</v>
      </c>
      <c r="E28" s="28">
        <v>15975.810914844331</v>
      </c>
      <c r="F28" s="27">
        <f t="shared" si="1"/>
        <v>1526.4668846722579</v>
      </c>
      <c r="G28" s="27">
        <f t="shared" si="0"/>
        <v>8.7215327179552524</v>
      </c>
      <c r="H28" s="29">
        <v>132</v>
      </c>
      <c r="I28" s="29">
        <v>2</v>
      </c>
      <c r="J28" s="3" t="s">
        <v>14</v>
      </c>
      <c r="K28" s="30">
        <v>40.880920000000003</v>
      </c>
      <c r="L28" s="30">
        <v>72.040239999999997</v>
      </c>
      <c r="M28" s="20">
        <v>100</v>
      </c>
    </row>
    <row r="29" spans="1:13" ht="30" customHeight="1">
      <c r="A29" s="7" t="s">
        <v>13</v>
      </c>
      <c r="B29" s="30" t="s">
        <v>389</v>
      </c>
      <c r="C29" s="30" t="s">
        <v>147</v>
      </c>
      <c r="D29" s="27">
        <v>15272.543879516588</v>
      </c>
      <c r="E29" s="28">
        <v>14025.037581510998</v>
      </c>
      <c r="F29" s="27">
        <f t="shared" si="1"/>
        <v>1247.50629800559</v>
      </c>
      <c r="G29" s="27">
        <f t="shared" si="0"/>
        <v>8.1682940828131141</v>
      </c>
      <c r="H29" s="29">
        <v>125</v>
      </c>
      <c r="I29" s="29">
        <v>1</v>
      </c>
      <c r="J29" s="3"/>
      <c r="K29" s="30">
        <v>40.881768333300002</v>
      </c>
      <c r="L29" s="30">
        <v>72.055153333299998</v>
      </c>
      <c r="M29" s="20">
        <v>63</v>
      </c>
    </row>
    <row r="30" spans="1:13" ht="30" customHeight="1">
      <c r="A30" s="7" t="s">
        <v>13</v>
      </c>
      <c r="B30" s="30" t="s">
        <v>389</v>
      </c>
      <c r="C30" s="30" t="s">
        <v>148</v>
      </c>
      <c r="D30" s="27">
        <v>18660.418739516586</v>
      </c>
      <c r="E30" s="28">
        <v>16989.057581510995</v>
      </c>
      <c r="F30" s="27">
        <f t="shared" si="1"/>
        <v>1671.3611580055913</v>
      </c>
      <c r="G30" s="27">
        <f t="shared" si="0"/>
        <v>8.9567183959607597</v>
      </c>
      <c r="H30" s="29">
        <v>162</v>
      </c>
      <c r="I30" s="29">
        <v>1</v>
      </c>
      <c r="J30" s="3" t="s">
        <v>20</v>
      </c>
      <c r="K30" s="30">
        <v>40.882671666699999</v>
      </c>
      <c r="L30" s="30">
        <v>72.072426666699997</v>
      </c>
      <c r="M30" s="21">
        <v>100</v>
      </c>
    </row>
    <row r="31" spans="1:13" ht="30" customHeight="1">
      <c r="A31" s="7" t="s">
        <v>13</v>
      </c>
      <c r="B31" s="30" t="s">
        <v>389</v>
      </c>
      <c r="C31" s="30" t="s">
        <v>149</v>
      </c>
      <c r="D31" s="27">
        <v>10344.327929516583</v>
      </c>
      <c r="E31" s="28">
        <v>9713.387581510995</v>
      </c>
      <c r="F31" s="27">
        <f t="shared" si="1"/>
        <v>630.94034800558802</v>
      </c>
      <c r="G31" s="27">
        <f t="shared" si="0"/>
        <v>6.0993846318933693</v>
      </c>
      <c r="H31" s="29">
        <v>18</v>
      </c>
      <c r="I31" s="29">
        <v>1</v>
      </c>
      <c r="J31" s="3" t="s">
        <v>21</v>
      </c>
      <c r="K31" s="30">
        <v>40.877465000000001</v>
      </c>
      <c r="L31" s="30">
        <v>72.08811</v>
      </c>
      <c r="M31" s="15">
        <v>100</v>
      </c>
    </row>
    <row r="32" spans="1:13" ht="30" customHeight="1">
      <c r="A32" s="7" t="s">
        <v>13</v>
      </c>
      <c r="B32" s="30" t="s">
        <v>389</v>
      </c>
      <c r="C32" s="30" t="s">
        <v>150</v>
      </c>
      <c r="D32" s="27">
        <v>16380.183269516585</v>
      </c>
      <c r="E32" s="28">
        <v>14994.10091484433</v>
      </c>
      <c r="F32" s="27">
        <f t="shared" si="1"/>
        <v>1386.082354672255</v>
      </c>
      <c r="G32" s="27">
        <f t="shared" si="0"/>
        <v>8.4619465598516541</v>
      </c>
      <c r="H32" s="29">
        <v>83</v>
      </c>
      <c r="I32" s="29">
        <v>2</v>
      </c>
      <c r="J32" s="3" t="s">
        <v>15</v>
      </c>
      <c r="K32" s="30">
        <v>40.879755000000003</v>
      </c>
      <c r="L32" s="30">
        <v>72.084291666699997</v>
      </c>
      <c r="M32" s="15">
        <v>100</v>
      </c>
    </row>
    <row r="33" spans="1:13" ht="30" customHeight="1">
      <c r="A33" s="7" t="s">
        <v>13</v>
      </c>
      <c r="B33" s="30" t="s">
        <v>390</v>
      </c>
      <c r="C33" s="30" t="s">
        <v>151</v>
      </c>
      <c r="D33" s="27">
        <v>16996.690799516589</v>
      </c>
      <c r="E33" s="28">
        <v>15533.477581511002</v>
      </c>
      <c r="F33" s="27">
        <f t="shared" si="1"/>
        <v>1463.2132180055869</v>
      </c>
      <c r="G33" s="27">
        <f t="shared" si="0"/>
        <v>8.6088123580338518</v>
      </c>
      <c r="H33" s="29">
        <v>109</v>
      </c>
      <c r="I33" s="29">
        <v>4</v>
      </c>
      <c r="J33" s="3" t="s">
        <v>22</v>
      </c>
      <c r="K33" s="30">
        <v>40.874026666699997</v>
      </c>
      <c r="L33" s="30">
        <v>72.094549999999998</v>
      </c>
      <c r="M33" s="15">
        <v>160</v>
      </c>
    </row>
    <row r="34" spans="1:13" ht="30" customHeight="1">
      <c r="A34" s="7" t="s">
        <v>13</v>
      </c>
      <c r="B34" s="30" t="s">
        <v>390</v>
      </c>
      <c r="C34" s="30" t="s">
        <v>152</v>
      </c>
      <c r="D34" s="27">
        <v>12359.074979516581</v>
      </c>
      <c r="E34" s="28">
        <v>11476.070914844329</v>
      </c>
      <c r="F34" s="27">
        <f t="shared" si="1"/>
        <v>883.00406467225184</v>
      </c>
      <c r="G34" s="27">
        <f t="shared" si="0"/>
        <v>7.1445805299806517</v>
      </c>
      <c r="H34" s="29">
        <v>100</v>
      </c>
      <c r="I34" s="29">
        <v>1</v>
      </c>
      <c r="J34" s="3" t="s">
        <v>23</v>
      </c>
      <c r="K34" s="30">
        <v>40.863348333300003</v>
      </c>
      <c r="L34" s="30">
        <v>72.082953333299997</v>
      </c>
      <c r="M34" s="15">
        <v>160</v>
      </c>
    </row>
    <row r="35" spans="1:13" ht="30" customHeight="1">
      <c r="A35" s="7" t="s">
        <v>13</v>
      </c>
      <c r="B35" s="30" t="s">
        <v>391</v>
      </c>
      <c r="C35" s="30" t="s">
        <v>153</v>
      </c>
      <c r="D35" s="27">
        <v>11077.402409516586</v>
      </c>
      <c r="E35" s="28">
        <v>10354.747581510996</v>
      </c>
      <c r="F35" s="27">
        <f t="shared" si="1"/>
        <v>722.65482800559039</v>
      </c>
      <c r="G35" s="27">
        <f t="shared" si="0"/>
        <v>6.5236848973253725</v>
      </c>
      <c r="H35" s="29">
        <v>86</v>
      </c>
      <c r="I35" s="29">
        <v>3</v>
      </c>
      <c r="J35" s="3" t="s">
        <v>23</v>
      </c>
      <c r="K35" s="30">
        <v>40.848415000000003</v>
      </c>
      <c r="L35" s="30">
        <v>72.071595000000002</v>
      </c>
      <c r="M35" s="15">
        <v>63</v>
      </c>
    </row>
    <row r="36" spans="1:13" ht="30" customHeight="1">
      <c r="A36" s="7" t="s">
        <v>13</v>
      </c>
      <c r="B36" s="30" t="s">
        <v>390</v>
      </c>
      <c r="C36" s="30" t="s">
        <v>154</v>
      </c>
      <c r="D36" s="27">
        <v>23543.851949516589</v>
      </c>
      <c r="E36" s="28">
        <v>21261.527581510996</v>
      </c>
      <c r="F36" s="27">
        <f t="shared" si="1"/>
        <v>2282.324368005593</v>
      </c>
      <c r="G36" s="27">
        <f t="shared" si="0"/>
        <v>9.6939293234574322</v>
      </c>
      <c r="H36" s="29">
        <v>214</v>
      </c>
      <c r="I36" s="29">
        <v>6</v>
      </c>
      <c r="J36" s="3" t="s">
        <v>18</v>
      </c>
      <c r="K36" s="30">
        <v>40.8672316667</v>
      </c>
      <c r="L36" s="30">
        <v>72.104288333300005</v>
      </c>
      <c r="M36" s="15">
        <v>100</v>
      </c>
    </row>
    <row r="37" spans="1:13" ht="30" customHeight="1">
      <c r="A37" s="7" t="s">
        <v>13</v>
      </c>
      <c r="B37" s="30" t="s">
        <v>390</v>
      </c>
      <c r="C37" s="30" t="s">
        <v>155</v>
      </c>
      <c r="D37" s="27">
        <v>18331.455719516591</v>
      </c>
      <c r="E37" s="28">
        <v>16701.250914844331</v>
      </c>
      <c r="F37" s="27">
        <f t="shared" si="1"/>
        <v>1630.2048046722593</v>
      </c>
      <c r="G37" s="27">
        <f t="shared" si="0"/>
        <v>8.8929369801038849</v>
      </c>
      <c r="H37" s="29">
        <v>97</v>
      </c>
      <c r="I37" s="29">
        <v>2</v>
      </c>
      <c r="J37" s="3" t="s">
        <v>14</v>
      </c>
      <c r="K37" s="30">
        <v>40.875253333300002</v>
      </c>
      <c r="L37" s="30">
        <v>72.108715000000004</v>
      </c>
      <c r="M37" s="15">
        <v>100</v>
      </c>
    </row>
    <row r="38" spans="1:13" ht="30" customHeight="1">
      <c r="A38" s="7" t="s">
        <v>13</v>
      </c>
      <c r="B38" s="30" t="s">
        <v>390</v>
      </c>
      <c r="C38" s="30" t="s">
        <v>156</v>
      </c>
      <c r="D38" s="27">
        <v>10989.650489516584</v>
      </c>
      <c r="E38" s="28">
        <v>10277.974248177661</v>
      </c>
      <c r="F38" s="27">
        <f t="shared" si="1"/>
        <v>711.67624133892241</v>
      </c>
      <c r="G38" s="27">
        <f t="shared" si="0"/>
        <v>6.4758769354659238</v>
      </c>
      <c r="H38" s="29">
        <v>105</v>
      </c>
      <c r="I38" s="29">
        <v>1</v>
      </c>
      <c r="J38" s="3" t="s">
        <v>23</v>
      </c>
      <c r="K38" s="30">
        <v>40.867996666700002</v>
      </c>
      <c r="L38" s="30">
        <v>72.122466666700006</v>
      </c>
      <c r="M38" s="15">
        <v>40</v>
      </c>
    </row>
    <row r="39" spans="1:13" ht="30" customHeight="1">
      <c r="A39" s="7" t="s">
        <v>13</v>
      </c>
      <c r="B39" s="30" t="s">
        <v>390</v>
      </c>
      <c r="C39" s="30" t="s">
        <v>157</v>
      </c>
      <c r="D39" s="27">
        <v>12469.214459516586</v>
      </c>
      <c r="E39" s="28">
        <v>11572.43091484433</v>
      </c>
      <c r="F39" s="27">
        <f t="shared" si="1"/>
        <v>896.78354467225654</v>
      </c>
      <c r="G39" s="27">
        <f t="shared" si="0"/>
        <v>7.1919810793519989</v>
      </c>
      <c r="H39" s="29">
        <v>137</v>
      </c>
      <c r="I39" s="29">
        <v>2</v>
      </c>
      <c r="J39" s="3" t="s">
        <v>24</v>
      </c>
      <c r="K39" s="30">
        <v>40.856453333300003</v>
      </c>
      <c r="L39" s="30">
        <v>72.136276666699999</v>
      </c>
      <c r="M39" s="15">
        <v>100</v>
      </c>
    </row>
    <row r="40" spans="1:13" ht="30" customHeight="1">
      <c r="A40" s="7" t="s">
        <v>13</v>
      </c>
      <c r="B40" s="30" t="s">
        <v>390</v>
      </c>
      <c r="C40" s="30" t="s">
        <v>158</v>
      </c>
      <c r="D40" s="27">
        <v>17491.00400951659</v>
      </c>
      <c r="E40" s="28">
        <v>15965.947581510996</v>
      </c>
      <c r="F40" s="27">
        <f t="shared" si="1"/>
        <v>1525.0564280055933</v>
      </c>
      <c r="G40" s="27">
        <f t="shared" si="0"/>
        <v>8.7190902659208884</v>
      </c>
      <c r="H40" s="29">
        <v>169</v>
      </c>
      <c r="I40" s="29">
        <v>2</v>
      </c>
      <c r="J40" s="3" t="s">
        <v>24</v>
      </c>
      <c r="K40" s="30">
        <v>40.848101666700003</v>
      </c>
      <c r="L40" s="30">
        <v>72.161588333300003</v>
      </c>
      <c r="M40" s="15">
        <v>100</v>
      </c>
    </row>
    <row r="41" spans="1:13" ht="30" customHeight="1">
      <c r="A41" s="7" t="s">
        <v>13</v>
      </c>
      <c r="B41" s="30" t="s">
        <v>392</v>
      </c>
      <c r="C41" s="30" t="s">
        <v>159</v>
      </c>
      <c r="D41" s="27">
        <v>10958.141789516585</v>
      </c>
      <c r="E41" s="28">
        <v>10250.407581510995</v>
      </c>
      <c r="F41" s="27">
        <f t="shared" si="1"/>
        <v>707.73420800558961</v>
      </c>
      <c r="G41" s="27">
        <f t="shared" si="0"/>
        <v>6.4585239139966548</v>
      </c>
      <c r="H41" s="29">
        <v>85</v>
      </c>
      <c r="I41" s="29">
        <v>3</v>
      </c>
      <c r="J41" s="3" t="s">
        <v>21</v>
      </c>
      <c r="K41" s="30">
        <v>40.823746666700004</v>
      </c>
      <c r="L41" s="30">
        <v>72.162056666699996</v>
      </c>
      <c r="M41" s="15">
        <v>160</v>
      </c>
    </row>
    <row r="42" spans="1:13" ht="30" customHeight="1">
      <c r="A42" s="7" t="s">
        <v>13</v>
      </c>
      <c r="B42" s="30" t="s">
        <v>391</v>
      </c>
      <c r="C42" s="30" t="s">
        <v>160</v>
      </c>
      <c r="D42" s="27">
        <v>15000.829919516587</v>
      </c>
      <c r="E42" s="28">
        <v>13787.317581510997</v>
      </c>
      <c r="F42" s="27">
        <f t="shared" si="1"/>
        <v>1213.5123380055902</v>
      </c>
      <c r="G42" s="27">
        <f t="shared" si="0"/>
        <v>8.0896346703242692</v>
      </c>
      <c r="H42" s="29">
        <v>97</v>
      </c>
      <c r="I42" s="29">
        <v>2</v>
      </c>
      <c r="J42" s="3" t="s">
        <v>19</v>
      </c>
      <c r="K42" s="30">
        <v>40.8202666667</v>
      </c>
      <c r="L42" s="30">
        <v>72.1321616667</v>
      </c>
      <c r="M42" s="20">
        <v>160</v>
      </c>
    </row>
    <row r="43" spans="1:13" ht="30" customHeight="1">
      <c r="A43" s="7" t="s">
        <v>13</v>
      </c>
      <c r="B43" s="30" t="s">
        <v>391</v>
      </c>
      <c r="C43" s="30" t="s">
        <v>161</v>
      </c>
      <c r="D43" s="27">
        <v>17161.728569516585</v>
      </c>
      <c r="E43" s="28">
        <v>15677.867581510995</v>
      </c>
      <c r="F43" s="27">
        <f t="shared" si="1"/>
        <v>1483.8609880055901</v>
      </c>
      <c r="G43" s="27">
        <f t="shared" si="0"/>
        <v>8.6463375877024937</v>
      </c>
      <c r="H43" s="29">
        <v>129</v>
      </c>
      <c r="I43" s="29">
        <v>2</v>
      </c>
      <c r="J43" s="3" t="s">
        <v>21</v>
      </c>
      <c r="K43" s="30">
        <v>40.829568333300003</v>
      </c>
      <c r="L43" s="30">
        <v>72.120596666699996</v>
      </c>
      <c r="M43" s="20">
        <v>160</v>
      </c>
    </row>
    <row r="44" spans="1:13" ht="30" customHeight="1">
      <c r="A44" s="7" t="s">
        <v>13</v>
      </c>
      <c r="B44" s="30" t="s">
        <v>391</v>
      </c>
      <c r="C44" s="30" t="s">
        <v>162</v>
      </c>
      <c r="D44" s="27">
        <v>18757.909019516585</v>
      </c>
      <c r="E44" s="28">
        <v>17074.35091484433</v>
      </c>
      <c r="F44" s="27">
        <f t="shared" si="1"/>
        <v>1683.5581046722546</v>
      </c>
      <c r="G44" s="27">
        <f t="shared" si="0"/>
        <v>8.9751906938060291</v>
      </c>
      <c r="H44" s="29">
        <v>164</v>
      </c>
      <c r="I44" s="29">
        <v>2</v>
      </c>
      <c r="J44" s="3" t="s">
        <v>21</v>
      </c>
      <c r="K44" s="30">
        <v>40.815874208499999</v>
      </c>
      <c r="L44" s="30">
        <v>72.111179034499997</v>
      </c>
      <c r="M44" s="20">
        <v>100</v>
      </c>
    </row>
    <row r="45" spans="1:13" ht="30" customHeight="1">
      <c r="A45" s="7" t="s">
        <v>13</v>
      </c>
      <c r="B45" s="30" t="s">
        <v>388</v>
      </c>
      <c r="C45" s="30" t="s">
        <v>163</v>
      </c>
      <c r="D45" s="27">
        <v>53635.380539516569</v>
      </c>
      <c r="E45" s="28">
        <v>47588.324248177662</v>
      </c>
      <c r="F45" s="27">
        <f t="shared" si="1"/>
        <v>6047.0562913389076</v>
      </c>
      <c r="G45" s="27">
        <f t="shared" si="0"/>
        <v>11.274379393810134</v>
      </c>
      <c r="H45" s="29">
        <v>143</v>
      </c>
      <c r="I45" s="29">
        <v>1</v>
      </c>
      <c r="J45" s="3" t="s">
        <v>21</v>
      </c>
      <c r="K45" s="30">
        <v>40.875643333299998</v>
      </c>
      <c r="L45" s="30">
        <v>72.000879999999995</v>
      </c>
      <c r="M45" s="20">
        <v>160</v>
      </c>
    </row>
    <row r="46" spans="1:13" ht="30" customHeight="1">
      <c r="A46" s="7" t="s">
        <v>13</v>
      </c>
      <c r="B46" s="30" t="s">
        <v>388</v>
      </c>
      <c r="C46" s="30" t="s">
        <v>164</v>
      </c>
      <c r="D46" s="27">
        <v>13496.542859516585</v>
      </c>
      <c r="E46" s="28">
        <v>12471.230914844331</v>
      </c>
      <c r="F46" s="27">
        <f t="shared" si="1"/>
        <v>1025.311944672254</v>
      </c>
      <c r="G46" s="27">
        <f t="shared" si="0"/>
        <v>7.5968487289268563</v>
      </c>
      <c r="H46" s="29">
        <v>82</v>
      </c>
      <c r="I46" s="29">
        <v>3</v>
      </c>
      <c r="J46" s="3" t="s">
        <v>20</v>
      </c>
      <c r="K46" s="30">
        <v>40.88138</v>
      </c>
      <c r="L46" s="30">
        <v>72.003778333300005</v>
      </c>
      <c r="M46" s="20">
        <v>63</v>
      </c>
    </row>
    <row r="47" spans="1:13" ht="30" customHeight="1">
      <c r="A47" s="7" t="s">
        <v>13</v>
      </c>
      <c r="B47" s="30" t="s">
        <v>389</v>
      </c>
      <c r="C47" s="30" t="s">
        <v>165</v>
      </c>
      <c r="D47" s="27">
        <v>16344.624539516581</v>
      </c>
      <c r="E47" s="28">
        <v>14962.990914844329</v>
      </c>
      <c r="F47" s="27">
        <f t="shared" si="1"/>
        <v>1381.6336246722512</v>
      </c>
      <c r="G47" s="27">
        <f t="shared" si="0"/>
        <v>8.4531377354790873</v>
      </c>
      <c r="H47" s="29">
        <v>116</v>
      </c>
      <c r="I47" s="29">
        <v>1</v>
      </c>
      <c r="J47" s="3" t="s">
        <v>20</v>
      </c>
      <c r="K47" s="30">
        <v>40.871155000000002</v>
      </c>
      <c r="L47" s="30">
        <v>72.043671666700007</v>
      </c>
      <c r="M47" s="20">
        <v>400</v>
      </c>
    </row>
    <row r="48" spans="1:13" ht="30" customHeight="1">
      <c r="A48" s="7" t="s">
        <v>13</v>
      </c>
      <c r="B48" s="30" t="s">
        <v>392</v>
      </c>
      <c r="C48" s="30" t="s">
        <v>166</v>
      </c>
      <c r="D48" s="27">
        <v>10938.219299516581</v>
      </c>
      <c r="E48" s="28">
        <v>10232.977581510995</v>
      </c>
      <c r="F48" s="27">
        <f t="shared" si="1"/>
        <v>705.24171800558543</v>
      </c>
      <c r="G48" s="27">
        <f t="shared" si="0"/>
        <v>6.4475002621016557</v>
      </c>
      <c r="H48" s="29">
        <v>71</v>
      </c>
      <c r="I48" s="29">
        <v>1</v>
      </c>
      <c r="J48" s="3" t="s">
        <v>20</v>
      </c>
      <c r="K48" s="30">
        <v>40.820733333200003</v>
      </c>
      <c r="L48" s="30">
        <v>72.163296666700006</v>
      </c>
      <c r="M48" s="20">
        <v>160</v>
      </c>
    </row>
    <row r="49" spans="1:13" ht="30" customHeight="1">
      <c r="A49" s="7" t="s">
        <v>13</v>
      </c>
      <c r="B49" s="30" t="s">
        <v>392</v>
      </c>
      <c r="C49" s="30" t="s">
        <v>167</v>
      </c>
      <c r="D49" s="27">
        <v>14764.270829516585</v>
      </c>
      <c r="E49" s="28">
        <v>13580.354248177664</v>
      </c>
      <c r="F49" s="27">
        <f t="shared" si="1"/>
        <v>1183.9165813389209</v>
      </c>
      <c r="G49" s="27">
        <f t="shared" si="0"/>
        <v>8.0187947986706281</v>
      </c>
      <c r="H49" s="29">
        <v>96</v>
      </c>
      <c r="I49" s="29">
        <v>2</v>
      </c>
      <c r="J49" s="3" t="s">
        <v>25</v>
      </c>
      <c r="K49" s="30">
        <v>40.834948405699997</v>
      </c>
      <c r="L49" s="30">
        <v>72.194619056400001</v>
      </c>
      <c r="M49" s="20">
        <v>250</v>
      </c>
    </row>
    <row r="50" spans="1:13" ht="30" customHeight="1">
      <c r="A50" s="7" t="s">
        <v>13</v>
      </c>
      <c r="B50" s="30" t="s">
        <v>386</v>
      </c>
      <c r="C50" s="30" t="s">
        <v>168</v>
      </c>
      <c r="D50" s="27">
        <v>20522.260964516587</v>
      </c>
      <c r="E50" s="28">
        <v>18617.965914844335</v>
      </c>
      <c r="F50" s="27">
        <f t="shared" si="1"/>
        <v>1904.2950496722515</v>
      </c>
      <c r="G50" s="27">
        <f t="shared" si="0"/>
        <v>9.2791678897603767</v>
      </c>
      <c r="H50" s="29">
        <v>157</v>
      </c>
      <c r="I50" s="29">
        <v>1</v>
      </c>
      <c r="J50" s="3" t="s">
        <v>25</v>
      </c>
      <c r="K50" s="30">
        <v>40.878189999999996</v>
      </c>
      <c r="L50" s="30">
        <v>71.958991666700001</v>
      </c>
      <c r="M50" s="20">
        <v>160</v>
      </c>
    </row>
    <row r="51" spans="1:13" ht="30" customHeight="1">
      <c r="A51" s="7" t="s">
        <v>13</v>
      </c>
      <c r="B51" s="30" t="s">
        <v>386</v>
      </c>
      <c r="C51" s="30" t="s">
        <v>169</v>
      </c>
      <c r="D51" s="27">
        <v>16533.874859516589</v>
      </c>
      <c r="E51" s="28">
        <v>15128.564248177663</v>
      </c>
      <c r="F51" s="27">
        <f t="shared" si="1"/>
        <v>1405.3106113389258</v>
      </c>
      <c r="G51" s="27">
        <f t="shared" si="0"/>
        <v>8.4995841766036779</v>
      </c>
      <c r="H51" s="29">
        <v>112</v>
      </c>
      <c r="I51" s="29">
        <v>2</v>
      </c>
      <c r="J51" s="3" t="s">
        <v>22</v>
      </c>
      <c r="K51" s="30">
        <v>40.870921666699999</v>
      </c>
      <c r="L51" s="30">
        <v>71.95438</v>
      </c>
      <c r="M51" s="20">
        <v>250</v>
      </c>
    </row>
    <row r="52" spans="1:13" ht="30" customHeight="1">
      <c r="A52" s="7" t="s">
        <v>13</v>
      </c>
      <c r="B52" s="30" t="s">
        <v>390</v>
      </c>
      <c r="C52" s="30" t="s">
        <v>170</v>
      </c>
      <c r="D52" s="27">
        <v>13158.073889516583</v>
      </c>
      <c r="E52" s="28">
        <v>12175.107581510998</v>
      </c>
      <c r="F52" s="27">
        <f t="shared" si="1"/>
        <v>982.96630800558523</v>
      </c>
      <c r="G52" s="27">
        <f t="shared" si="0"/>
        <v>7.4704422262649155</v>
      </c>
      <c r="H52" s="29">
        <v>74</v>
      </c>
      <c r="I52" s="29">
        <v>1</v>
      </c>
      <c r="J52" s="3" t="s">
        <v>22</v>
      </c>
      <c r="K52" s="30">
        <v>40.872001666700001</v>
      </c>
      <c r="L52" s="30">
        <v>72.092106666700005</v>
      </c>
      <c r="M52" s="20">
        <v>160</v>
      </c>
    </row>
    <row r="53" spans="1:13" ht="30" customHeight="1">
      <c r="A53" s="7" t="s">
        <v>13</v>
      </c>
      <c r="B53" s="30" t="s">
        <v>386</v>
      </c>
      <c r="C53" s="30" t="s">
        <v>171</v>
      </c>
      <c r="D53" s="27">
        <v>15330.604469516582</v>
      </c>
      <c r="E53" s="28">
        <v>14075.834248177664</v>
      </c>
      <c r="F53" s="27">
        <f t="shared" si="1"/>
        <v>1254.7702213389184</v>
      </c>
      <c r="G53" s="27">
        <f t="shared" si="0"/>
        <v>8.1847406854302918</v>
      </c>
      <c r="H53" s="29">
        <v>117</v>
      </c>
      <c r="I53" s="29">
        <v>1</v>
      </c>
      <c r="J53" s="3" t="s">
        <v>22</v>
      </c>
      <c r="K53" s="30">
        <v>40.872906666699997</v>
      </c>
      <c r="L53" s="30">
        <v>71.953943333300003</v>
      </c>
      <c r="M53" s="20">
        <v>40</v>
      </c>
    </row>
    <row r="54" spans="1:13" ht="30" customHeight="1">
      <c r="A54" s="7" t="s">
        <v>13</v>
      </c>
      <c r="B54" s="30" t="s">
        <v>384</v>
      </c>
      <c r="C54" s="30" t="s">
        <v>101</v>
      </c>
      <c r="D54" s="27">
        <v>13908.701039516583</v>
      </c>
      <c r="E54" s="28">
        <v>12831.824248177665</v>
      </c>
      <c r="F54" s="27">
        <f t="shared" si="1"/>
        <v>1076.8767913389183</v>
      </c>
      <c r="G54" s="27">
        <f t="shared" si="0"/>
        <v>7.7424684611406862</v>
      </c>
      <c r="H54" s="29">
        <v>75</v>
      </c>
      <c r="I54" s="29">
        <v>2</v>
      </c>
      <c r="J54" s="3" t="s">
        <v>17</v>
      </c>
      <c r="K54" s="30">
        <v>40.877846666700002</v>
      </c>
      <c r="L54" s="30">
        <v>71.933464999999998</v>
      </c>
      <c r="M54" s="20">
        <v>63</v>
      </c>
    </row>
    <row r="55" spans="1:13" ht="30" customHeight="1">
      <c r="A55" s="7" t="s">
        <v>13</v>
      </c>
      <c r="B55" s="30" t="s">
        <v>386</v>
      </c>
      <c r="C55" s="30" t="s">
        <v>172</v>
      </c>
      <c r="D55" s="27">
        <v>15719.144459516587</v>
      </c>
      <c r="E55" s="28">
        <v>14415.764248177664</v>
      </c>
      <c r="F55" s="27">
        <f t="shared" si="1"/>
        <v>1303.3802113389229</v>
      </c>
      <c r="G55" s="27">
        <f t="shared" si="0"/>
        <v>8.291673981975773</v>
      </c>
      <c r="H55" s="29">
        <v>105</v>
      </c>
      <c r="I55" s="29">
        <v>2</v>
      </c>
      <c r="J55" s="3" t="s">
        <v>17</v>
      </c>
      <c r="K55" s="30">
        <v>40.873988333299998</v>
      </c>
      <c r="L55" s="30">
        <v>71.962540000000004</v>
      </c>
      <c r="M55" s="20">
        <v>100</v>
      </c>
    </row>
    <row r="56" spans="1:13" ht="30" customHeight="1">
      <c r="A56" s="7" t="s">
        <v>13</v>
      </c>
      <c r="B56" s="30" t="s">
        <v>386</v>
      </c>
      <c r="C56" s="30" t="s">
        <v>173</v>
      </c>
      <c r="D56" s="27">
        <v>11037.024029516584</v>
      </c>
      <c r="E56" s="28">
        <v>10319.420914844328</v>
      </c>
      <c r="F56" s="27">
        <f t="shared" si="1"/>
        <v>717.6031146722562</v>
      </c>
      <c r="G56" s="27">
        <f t="shared" si="0"/>
        <v>6.5017808491958755</v>
      </c>
      <c r="H56" s="29">
        <v>35</v>
      </c>
      <c r="I56" s="29">
        <v>1</v>
      </c>
      <c r="J56" s="3" t="s">
        <v>27</v>
      </c>
      <c r="K56" s="30">
        <v>40.870921666500003</v>
      </c>
      <c r="L56" s="30">
        <v>71.95438</v>
      </c>
      <c r="M56" s="20">
        <v>160</v>
      </c>
    </row>
    <row r="57" spans="1:13" ht="30" customHeight="1">
      <c r="A57" s="7" t="s">
        <v>13</v>
      </c>
      <c r="B57" s="30" t="s">
        <v>386</v>
      </c>
      <c r="C57" s="30" t="s">
        <v>174</v>
      </c>
      <c r="D57" s="27">
        <v>18261.709859516588</v>
      </c>
      <c r="E57" s="28">
        <v>16640.230914844327</v>
      </c>
      <c r="F57" s="27">
        <f t="shared" si="1"/>
        <v>1621.4789446722607</v>
      </c>
      <c r="G57" s="27">
        <f t="shared" si="0"/>
        <v>8.879118971585628</v>
      </c>
      <c r="H57" s="29">
        <v>71</v>
      </c>
      <c r="I57" s="29">
        <v>1</v>
      </c>
      <c r="J57" s="3" t="s">
        <v>28</v>
      </c>
      <c r="K57" s="30">
        <v>40.875286666699999</v>
      </c>
      <c r="L57" s="30">
        <v>71.9537066667</v>
      </c>
      <c r="M57" s="20">
        <v>100</v>
      </c>
    </row>
    <row r="58" spans="1:13" ht="30" customHeight="1">
      <c r="A58" s="7" t="s">
        <v>13</v>
      </c>
      <c r="B58" s="30" t="s">
        <v>384</v>
      </c>
      <c r="C58" s="30" t="s">
        <v>107</v>
      </c>
      <c r="D58" s="27">
        <v>14922.252479516586</v>
      </c>
      <c r="E58" s="28">
        <v>13718.570914844331</v>
      </c>
      <c r="F58" s="27">
        <f t="shared" si="1"/>
        <v>1203.6815646722553</v>
      </c>
      <c r="G58" s="27">
        <f t="shared" si="0"/>
        <v>8.0663530276311821</v>
      </c>
      <c r="H58" s="29">
        <v>87</v>
      </c>
      <c r="I58" s="29">
        <v>1</v>
      </c>
      <c r="J58" s="3" t="s">
        <v>25</v>
      </c>
      <c r="K58" s="30">
        <v>40.870680129199997</v>
      </c>
      <c r="L58" s="30">
        <v>71.958324657800006</v>
      </c>
      <c r="M58" s="20">
        <v>100</v>
      </c>
    </row>
    <row r="59" spans="1:13" ht="30" customHeight="1">
      <c r="A59" s="7" t="s">
        <v>13</v>
      </c>
      <c r="B59" s="30" t="s">
        <v>384</v>
      </c>
      <c r="C59" s="30" t="s">
        <v>113</v>
      </c>
      <c r="D59" s="27">
        <v>20766.422909516587</v>
      </c>
      <c r="E59" s="28">
        <v>18831.580914844333</v>
      </c>
      <c r="F59" s="27">
        <f t="shared" si="1"/>
        <v>1934.8419946722533</v>
      </c>
      <c r="G59" s="27">
        <f t="shared" si="0"/>
        <v>9.3171655181190474</v>
      </c>
      <c r="H59" s="29">
        <v>129</v>
      </c>
      <c r="I59" s="29">
        <v>2</v>
      </c>
      <c r="J59" s="3" t="s">
        <v>21</v>
      </c>
      <c r="K59" s="30">
        <v>40.867751666700002</v>
      </c>
      <c r="L59" s="30">
        <v>71.964714999999998</v>
      </c>
      <c r="M59" s="20">
        <v>100</v>
      </c>
    </row>
    <row r="60" spans="1:13" ht="30" customHeight="1">
      <c r="A60" s="7" t="s">
        <v>13</v>
      </c>
      <c r="B60" s="30" t="s">
        <v>384</v>
      </c>
      <c r="C60" s="30" t="s">
        <v>108</v>
      </c>
      <c r="D60" s="27">
        <v>18381.439109516585</v>
      </c>
      <c r="E60" s="28">
        <v>16744.980914844327</v>
      </c>
      <c r="F60" s="27">
        <f t="shared" si="1"/>
        <v>1636.4581946722574</v>
      </c>
      <c r="G60" s="27">
        <f t="shared" si="0"/>
        <v>8.9027751577133998</v>
      </c>
      <c r="H60" s="29">
        <v>74</v>
      </c>
      <c r="I60" s="29">
        <v>1</v>
      </c>
      <c r="J60" s="3" t="s">
        <v>21</v>
      </c>
      <c r="K60" s="30">
        <v>40.874960000000002</v>
      </c>
      <c r="L60" s="30">
        <v>71.946984999999998</v>
      </c>
      <c r="M60" s="20">
        <v>63</v>
      </c>
    </row>
    <row r="61" spans="1:13" ht="30" customHeight="1">
      <c r="A61" s="7" t="s">
        <v>13</v>
      </c>
      <c r="B61" s="30" t="s">
        <v>384</v>
      </c>
      <c r="C61" s="30" t="s">
        <v>93</v>
      </c>
      <c r="D61" s="27">
        <v>10202.462579516583</v>
      </c>
      <c r="E61" s="28">
        <v>9589.27091484433</v>
      </c>
      <c r="F61" s="27">
        <f t="shared" si="1"/>
        <v>613.19166467225295</v>
      </c>
      <c r="G61" s="27">
        <f t="shared" si="0"/>
        <v>6.0102319405057543</v>
      </c>
      <c r="H61" s="29">
        <v>23</v>
      </c>
      <c r="I61" s="29">
        <v>2</v>
      </c>
      <c r="J61" s="3" t="s">
        <v>25</v>
      </c>
      <c r="K61" s="30">
        <v>40.879668882099999</v>
      </c>
      <c r="L61" s="30">
        <v>71.946328058800006</v>
      </c>
      <c r="M61" s="14">
        <v>100</v>
      </c>
    </row>
    <row r="62" spans="1:13" ht="30" customHeight="1">
      <c r="A62" s="7" t="s">
        <v>13</v>
      </c>
      <c r="B62" s="30" t="s">
        <v>384</v>
      </c>
      <c r="C62" s="30" t="s">
        <v>92</v>
      </c>
      <c r="D62" s="27">
        <v>15258.770729516587</v>
      </c>
      <c r="E62" s="28">
        <v>14012.987581510995</v>
      </c>
      <c r="F62" s="27">
        <f t="shared" si="1"/>
        <v>1245.783148005592</v>
      </c>
      <c r="G62" s="27">
        <f t="shared" si="0"/>
        <v>8.1643742480234476</v>
      </c>
      <c r="H62" s="29">
        <v>54</v>
      </c>
      <c r="I62" s="29">
        <v>4</v>
      </c>
      <c r="J62" s="3" t="s">
        <v>17</v>
      </c>
      <c r="K62" s="30">
        <v>40.889975940799999</v>
      </c>
      <c r="L62" s="30">
        <v>71.955590816200001</v>
      </c>
      <c r="M62" s="14">
        <v>100</v>
      </c>
    </row>
    <row r="63" spans="1:13" ht="30" customHeight="1">
      <c r="A63" s="7" t="s">
        <v>13</v>
      </c>
      <c r="B63" s="30" t="s">
        <v>387</v>
      </c>
      <c r="C63" s="30" t="s">
        <v>175</v>
      </c>
      <c r="D63" s="27">
        <v>33597.935219516585</v>
      </c>
      <c r="E63" s="28">
        <v>30057.750914844324</v>
      </c>
      <c r="F63" s="27">
        <f t="shared" si="1"/>
        <v>3540.1843046722606</v>
      </c>
      <c r="G63" s="27">
        <f t="shared" si="0"/>
        <v>10.536910323631483</v>
      </c>
      <c r="H63" s="29">
        <v>32</v>
      </c>
      <c r="I63" s="29">
        <v>2</v>
      </c>
      <c r="J63" s="3" t="s">
        <v>28</v>
      </c>
      <c r="K63" s="30">
        <v>40.879336666500002</v>
      </c>
      <c r="L63" s="30">
        <v>71.986581666700005</v>
      </c>
      <c r="M63" s="14">
        <v>100</v>
      </c>
    </row>
    <row r="64" spans="1:13" ht="30" customHeight="1">
      <c r="A64" s="7" t="s">
        <v>13</v>
      </c>
      <c r="B64" s="30" t="s">
        <v>387</v>
      </c>
      <c r="C64" s="30" t="s">
        <v>176</v>
      </c>
      <c r="D64" s="27">
        <v>33674.272379516588</v>
      </c>
      <c r="E64" s="28">
        <v>30124.537581510991</v>
      </c>
      <c r="F64" s="27">
        <f t="shared" si="1"/>
        <v>3549.7347980055965</v>
      </c>
      <c r="G64" s="27">
        <f t="shared" si="0"/>
        <v>10.541385298542728</v>
      </c>
      <c r="H64" s="29">
        <v>150</v>
      </c>
      <c r="I64" s="29">
        <v>1</v>
      </c>
      <c r="J64" s="4" t="s">
        <v>29</v>
      </c>
      <c r="K64" s="30">
        <v>40.884120000000003</v>
      </c>
      <c r="L64" s="30">
        <v>71.971571666700001</v>
      </c>
      <c r="M64" s="14">
        <v>160</v>
      </c>
    </row>
    <row r="65" spans="1:13" ht="30" customHeight="1">
      <c r="A65" s="7" t="s">
        <v>13</v>
      </c>
      <c r="B65" s="30" t="s">
        <v>384</v>
      </c>
      <c r="C65" s="30" t="s">
        <v>111</v>
      </c>
      <c r="D65" s="27">
        <v>17254.349669516589</v>
      </c>
      <c r="E65" s="28">
        <v>15758.900914844335</v>
      </c>
      <c r="F65" s="27">
        <f t="shared" si="1"/>
        <v>1495.4487546722539</v>
      </c>
      <c r="G65" s="27">
        <f t="shared" si="0"/>
        <v>8.6670826969171504</v>
      </c>
      <c r="H65" s="29">
        <v>65</v>
      </c>
      <c r="I65" s="29">
        <v>1</v>
      </c>
      <c r="J65" s="4" t="s">
        <v>29</v>
      </c>
      <c r="K65" s="30">
        <v>40.883293333300003</v>
      </c>
      <c r="L65" s="30">
        <v>71.964291666700007</v>
      </c>
      <c r="M65" s="14">
        <v>100</v>
      </c>
    </row>
    <row r="66" spans="1:13" ht="30" customHeight="1">
      <c r="A66" s="7" t="s">
        <v>13</v>
      </c>
      <c r="B66" s="30" t="s">
        <v>388</v>
      </c>
      <c r="C66" s="30" t="s">
        <v>177</v>
      </c>
      <c r="D66" s="27">
        <v>26320.57613951659</v>
      </c>
      <c r="E66" s="28">
        <v>23690.857581510998</v>
      </c>
      <c r="F66" s="27">
        <f t="shared" si="1"/>
        <v>2629.7185580055921</v>
      </c>
      <c r="G66" s="27">
        <f t="shared" si="0"/>
        <v>9.9911132038536383</v>
      </c>
      <c r="H66" s="29">
        <v>92</v>
      </c>
      <c r="I66" s="29">
        <v>2</v>
      </c>
      <c r="J66" s="4" t="s">
        <v>29</v>
      </c>
      <c r="K66" s="30">
        <v>40.876348333300001</v>
      </c>
      <c r="L66" s="30">
        <v>71.981988333299995</v>
      </c>
      <c r="M66" s="14">
        <v>100</v>
      </c>
    </row>
    <row r="67" spans="1:13" ht="30" customHeight="1">
      <c r="A67" s="7" t="s">
        <v>13</v>
      </c>
      <c r="B67" s="30" t="s">
        <v>384</v>
      </c>
      <c r="C67" s="30" t="s">
        <v>110</v>
      </c>
      <c r="D67" s="27">
        <v>15275.092769516586</v>
      </c>
      <c r="E67" s="28">
        <v>14027.267581510998</v>
      </c>
      <c r="F67" s="27">
        <f t="shared" si="1"/>
        <v>1247.8251880055886</v>
      </c>
      <c r="G67" s="27">
        <f t="shared" ref="G67:G130" si="2">+F67*100/D67</f>
        <v>8.1690187210894365</v>
      </c>
      <c r="H67" s="29">
        <v>78</v>
      </c>
      <c r="I67" s="29">
        <v>2</v>
      </c>
      <c r="J67" s="4" t="s">
        <v>29</v>
      </c>
      <c r="K67" s="30">
        <v>40.883031666699999</v>
      </c>
      <c r="L67" s="30">
        <v>71.961638333300002</v>
      </c>
      <c r="M67" s="14">
        <v>250</v>
      </c>
    </row>
    <row r="68" spans="1:13" ht="30" customHeight="1">
      <c r="A68" s="7" t="s">
        <v>13</v>
      </c>
      <c r="B68" s="30" t="s">
        <v>384</v>
      </c>
      <c r="C68" s="30" t="s">
        <v>119</v>
      </c>
      <c r="D68" s="27">
        <v>21785.544569516591</v>
      </c>
      <c r="E68" s="28">
        <v>19723.200914844329</v>
      </c>
      <c r="F68" s="27">
        <f t="shared" si="1"/>
        <v>2062.3436546722623</v>
      </c>
      <c r="G68" s="27">
        <f t="shared" si="2"/>
        <v>9.4665692110262665</v>
      </c>
      <c r="H68" s="29">
        <v>81</v>
      </c>
      <c r="I68" s="29">
        <v>4</v>
      </c>
      <c r="J68" s="4" t="s">
        <v>28</v>
      </c>
      <c r="K68" s="30">
        <v>40.893335</v>
      </c>
      <c r="L68" s="30">
        <v>71.929253333299997</v>
      </c>
      <c r="M68" s="14">
        <v>160</v>
      </c>
    </row>
    <row r="69" spans="1:13" ht="30" customHeight="1">
      <c r="A69" s="7" t="s">
        <v>13</v>
      </c>
      <c r="B69" s="30" t="s">
        <v>384</v>
      </c>
      <c r="C69" s="30" t="s">
        <v>115</v>
      </c>
      <c r="D69" s="27">
        <v>18871.915649516588</v>
      </c>
      <c r="E69" s="28">
        <v>17174.094248177662</v>
      </c>
      <c r="F69" s="27">
        <f t="shared" ref="F69:F132" si="3">+D69-E69</f>
        <v>1697.8214013389261</v>
      </c>
      <c r="G69" s="27">
        <f t="shared" si="2"/>
        <v>8.9965503919704961</v>
      </c>
      <c r="H69" s="29">
        <v>65</v>
      </c>
      <c r="I69" s="29">
        <v>1</v>
      </c>
      <c r="J69" s="4" t="s">
        <v>28</v>
      </c>
      <c r="K69" s="30">
        <v>40.891123333300001</v>
      </c>
      <c r="L69" s="30">
        <v>71.940986666699999</v>
      </c>
      <c r="M69" s="14">
        <v>100</v>
      </c>
    </row>
    <row r="70" spans="1:13" ht="30" customHeight="1">
      <c r="A70" s="7" t="s">
        <v>13</v>
      </c>
      <c r="B70" s="30" t="s">
        <v>384</v>
      </c>
      <c r="C70" s="30" t="s">
        <v>105</v>
      </c>
      <c r="D70" s="27">
        <v>14579.523929516587</v>
      </c>
      <c r="E70" s="28">
        <v>13418.720914844329</v>
      </c>
      <c r="F70" s="27">
        <f t="shared" si="3"/>
        <v>1160.8030146722576</v>
      </c>
      <c r="G70" s="27">
        <f t="shared" si="2"/>
        <v>7.9618718710162062</v>
      </c>
      <c r="H70" s="29">
        <v>31</v>
      </c>
      <c r="I70" s="29">
        <v>2</v>
      </c>
      <c r="J70" s="6" t="s">
        <v>28</v>
      </c>
      <c r="K70" s="30">
        <v>40.880083115799998</v>
      </c>
      <c r="L70" s="30">
        <v>71.942641781600003</v>
      </c>
      <c r="M70" s="14">
        <v>250</v>
      </c>
    </row>
    <row r="71" spans="1:13" ht="30" customHeight="1">
      <c r="A71" s="7" t="s">
        <v>13</v>
      </c>
      <c r="B71" s="30" t="s">
        <v>384</v>
      </c>
      <c r="C71" s="30" t="s">
        <v>98</v>
      </c>
      <c r="D71" s="27">
        <v>16726.230329516584</v>
      </c>
      <c r="E71" s="28">
        <v>15296.854248177666</v>
      </c>
      <c r="F71" s="27">
        <f t="shared" si="3"/>
        <v>1429.3760813389181</v>
      </c>
      <c r="G71" s="27">
        <f t="shared" si="2"/>
        <v>8.5457156405201165</v>
      </c>
      <c r="H71" s="29">
        <v>141</v>
      </c>
      <c r="I71" s="29">
        <v>2</v>
      </c>
      <c r="J71" s="6" t="s">
        <v>29</v>
      </c>
      <c r="K71" s="30">
        <v>40.874026666600002</v>
      </c>
      <c r="L71" s="30">
        <v>72.094549999700007</v>
      </c>
      <c r="M71" s="19">
        <v>100</v>
      </c>
    </row>
    <row r="72" spans="1:13" ht="30" customHeight="1">
      <c r="A72" s="5" t="s">
        <v>30</v>
      </c>
      <c r="B72" s="30" t="s">
        <v>386</v>
      </c>
      <c r="C72" s="30" t="s">
        <v>178</v>
      </c>
      <c r="D72" s="27">
        <v>16336.897859516588</v>
      </c>
      <c r="E72" s="28">
        <v>14956.230914844331</v>
      </c>
      <c r="F72" s="27">
        <f t="shared" si="3"/>
        <v>1380.6669446722572</v>
      </c>
      <c r="G72" s="27">
        <f t="shared" si="2"/>
        <v>8.4512185639208699</v>
      </c>
      <c r="H72" s="29">
        <v>70</v>
      </c>
      <c r="I72" s="29">
        <v>2</v>
      </c>
      <c r="J72" s="6" t="s">
        <v>31</v>
      </c>
      <c r="K72" s="30">
        <v>40.875187246099998</v>
      </c>
      <c r="L72" s="30">
        <v>71.961364354899999</v>
      </c>
      <c r="M72" s="20">
        <v>60</v>
      </c>
    </row>
    <row r="73" spans="1:13" ht="30" customHeight="1">
      <c r="A73" s="5" t="s">
        <v>30</v>
      </c>
      <c r="B73" s="30" t="s">
        <v>384</v>
      </c>
      <c r="C73" s="30" t="s">
        <v>117</v>
      </c>
      <c r="D73" s="27">
        <v>14559.540479516587</v>
      </c>
      <c r="E73" s="28">
        <v>13401.237581510999</v>
      </c>
      <c r="F73" s="27">
        <f t="shared" si="3"/>
        <v>1158.3028980055878</v>
      </c>
      <c r="G73" s="27">
        <f t="shared" si="2"/>
        <v>7.9556281301265797</v>
      </c>
      <c r="H73" s="29">
        <v>33</v>
      </c>
      <c r="I73" s="29">
        <v>1</v>
      </c>
      <c r="J73" s="3" t="s">
        <v>32</v>
      </c>
      <c r="K73" s="30">
        <v>40.876370000000001</v>
      </c>
      <c r="L73" s="30">
        <v>71.934290000000004</v>
      </c>
      <c r="M73" s="20">
        <v>100</v>
      </c>
    </row>
    <row r="74" spans="1:13" ht="30" customHeight="1">
      <c r="A74" s="5" t="s">
        <v>30</v>
      </c>
      <c r="B74" s="30" t="s">
        <v>387</v>
      </c>
      <c r="C74" s="30" t="s">
        <v>179</v>
      </c>
      <c r="D74" s="27">
        <v>11453.476079516584</v>
      </c>
      <c r="E74" s="28">
        <v>10683.77091484433</v>
      </c>
      <c r="F74" s="27">
        <f t="shared" si="3"/>
        <v>769.70516467225389</v>
      </c>
      <c r="G74" s="27">
        <f t="shared" si="2"/>
        <v>6.7202756554300223</v>
      </c>
      <c r="H74" s="29">
        <v>115</v>
      </c>
      <c r="I74" s="29">
        <v>2</v>
      </c>
      <c r="J74" s="3" t="s">
        <v>32</v>
      </c>
      <c r="K74" s="30">
        <v>40.871744999999997</v>
      </c>
      <c r="L74" s="30">
        <v>71.974869999999996</v>
      </c>
      <c r="M74" s="20">
        <v>160</v>
      </c>
    </row>
    <row r="75" spans="1:13" ht="30" customHeight="1">
      <c r="A75" s="5" t="s">
        <v>30</v>
      </c>
      <c r="B75" s="30" t="s">
        <v>387</v>
      </c>
      <c r="C75" s="30" t="s">
        <v>180</v>
      </c>
      <c r="D75" s="27">
        <v>11682.556139516584</v>
      </c>
      <c r="E75" s="28">
        <v>10884.190914844328</v>
      </c>
      <c r="F75" s="27">
        <f t="shared" si="3"/>
        <v>798.36522467225586</v>
      </c>
      <c r="G75" s="27">
        <f t="shared" si="2"/>
        <v>6.8338231388571069</v>
      </c>
      <c r="H75" s="29">
        <v>17</v>
      </c>
      <c r="I75" s="29">
        <v>1</v>
      </c>
      <c r="J75" s="3" t="s">
        <v>32</v>
      </c>
      <c r="K75" s="30">
        <v>40.876070782500001</v>
      </c>
      <c r="L75" s="30">
        <v>71.971403360400004</v>
      </c>
      <c r="M75" s="20">
        <v>250</v>
      </c>
    </row>
    <row r="76" spans="1:13" ht="30" customHeight="1">
      <c r="A76" s="5" t="s">
        <v>30</v>
      </c>
      <c r="B76" s="30" t="s">
        <v>387</v>
      </c>
      <c r="C76" s="30" t="s">
        <v>181</v>
      </c>
      <c r="D76" s="27">
        <v>17442.77702951659</v>
      </c>
      <c r="E76" s="28">
        <v>15923.754248177667</v>
      </c>
      <c r="F76" s="27">
        <f t="shared" si="3"/>
        <v>1519.0227813389229</v>
      </c>
      <c r="G76" s="27">
        <f t="shared" si="2"/>
        <v>8.7086063117612476</v>
      </c>
      <c r="H76" s="29">
        <v>66</v>
      </c>
      <c r="I76" s="29">
        <v>1</v>
      </c>
      <c r="J76" s="3" t="s">
        <v>34</v>
      </c>
      <c r="K76" s="30">
        <v>40.882694999999998</v>
      </c>
      <c r="L76" s="30">
        <v>71.966549999999998</v>
      </c>
      <c r="M76" s="20">
        <v>250</v>
      </c>
    </row>
    <row r="77" spans="1:13" ht="30" customHeight="1">
      <c r="A77" s="5" t="s">
        <v>30</v>
      </c>
      <c r="B77" s="30" t="s">
        <v>384</v>
      </c>
      <c r="C77" s="30" t="s">
        <v>104</v>
      </c>
      <c r="D77" s="27">
        <v>15449.346929516583</v>
      </c>
      <c r="E77" s="28">
        <v>14179.720914844329</v>
      </c>
      <c r="F77" s="27">
        <f t="shared" si="3"/>
        <v>1269.6260146722543</v>
      </c>
      <c r="G77" s="27">
        <f t="shared" si="2"/>
        <v>8.2179914818702411</v>
      </c>
      <c r="H77" s="29">
        <v>101</v>
      </c>
      <c r="I77" s="29">
        <v>1</v>
      </c>
      <c r="J77" s="3" t="s">
        <v>34</v>
      </c>
      <c r="K77" s="30">
        <v>40.881264999999999</v>
      </c>
      <c r="L77" s="30">
        <v>71.952876666700007</v>
      </c>
      <c r="M77" s="20">
        <v>160</v>
      </c>
    </row>
    <row r="78" spans="1:13" ht="30" customHeight="1">
      <c r="A78" s="5" t="s">
        <v>30</v>
      </c>
      <c r="B78" s="30" t="s">
        <v>387</v>
      </c>
      <c r="C78" s="30" t="s">
        <v>182</v>
      </c>
      <c r="D78" s="27">
        <v>21587.790329516589</v>
      </c>
      <c r="E78" s="28">
        <v>19550.187581511</v>
      </c>
      <c r="F78" s="27">
        <f t="shared" si="3"/>
        <v>2037.6027480055891</v>
      </c>
      <c r="G78" s="27">
        <f t="shared" si="2"/>
        <v>9.4386813884309984</v>
      </c>
      <c r="H78" s="29">
        <v>99</v>
      </c>
      <c r="I78" s="29">
        <v>1</v>
      </c>
      <c r="J78" s="3" t="s">
        <v>35</v>
      </c>
      <c r="K78" s="30">
        <v>40.879336666500002</v>
      </c>
      <c r="L78" s="30">
        <v>71.986581666700005</v>
      </c>
      <c r="M78" s="20">
        <v>100</v>
      </c>
    </row>
    <row r="79" spans="1:13" ht="30" customHeight="1">
      <c r="A79" s="5" t="s">
        <v>30</v>
      </c>
      <c r="B79" s="30" t="s">
        <v>387</v>
      </c>
      <c r="C79" s="30" t="s">
        <v>183</v>
      </c>
      <c r="D79" s="27">
        <v>32979.396959516591</v>
      </c>
      <c r="E79" s="28">
        <v>29516.597581510996</v>
      </c>
      <c r="F79" s="27">
        <f t="shared" si="3"/>
        <v>3462.7993780055949</v>
      </c>
      <c r="G79" s="27">
        <f t="shared" si="2"/>
        <v>10.499886890764884</v>
      </c>
      <c r="H79" s="29">
        <v>110</v>
      </c>
      <c r="I79" s="29">
        <v>4</v>
      </c>
      <c r="J79" s="3" t="s">
        <v>36</v>
      </c>
      <c r="K79" s="30">
        <v>40.874789999999997</v>
      </c>
      <c r="L79" s="30">
        <v>71.973321666700002</v>
      </c>
      <c r="M79" s="20">
        <v>160</v>
      </c>
    </row>
    <row r="80" spans="1:13" ht="30" customHeight="1">
      <c r="A80" s="5" t="s">
        <v>30</v>
      </c>
      <c r="B80" s="30" t="s">
        <v>387</v>
      </c>
      <c r="C80" s="30" t="s">
        <v>184</v>
      </c>
      <c r="D80" s="27">
        <v>13033.372589516583</v>
      </c>
      <c r="E80" s="28">
        <v>12066.007581510996</v>
      </c>
      <c r="F80" s="27">
        <f t="shared" si="3"/>
        <v>967.36500800558679</v>
      </c>
      <c r="G80" s="27">
        <f t="shared" si="2"/>
        <v>7.4222155574965205</v>
      </c>
      <c r="H80" s="29">
        <v>60</v>
      </c>
      <c r="I80" s="29">
        <v>2</v>
      </c>
      <c r="J80" s="3" t="s">
        <v>37</v>
      </c>
      <c r="K80" s="30">
        <v>40.870626666699998</v>
      </c>
      <c r="L80" s="30">
        <v>72.030681666700005</v>
      </c>
      <c r="M80" s="20">
        <v>160</v>
      </c>
    </row>
    <row r="81" spans="1:13" ht="30" customHeight="1">
      <c r="A81" s="5" t="s">
        <v>30</v>
      </c>
      <c r="B81" s="30" t="s">
        <v>387</v>
      </c>
      <c r="C81" s="30" t="s">
        <v>185</v>
      </c>
      <c r="D81" s="27">
        <v>14309.966429516584</v>
      </c>
      <c r="E81" s="28">
        <v>13182.887581510997</v>
      </c>
      <c r="F81" s="27">
        <f t="shared" si="3"/>
        <v>1127.0788480055871</v>
      </c>
      <c r="G81" s="27">
        <f t="shared" si="2"/>
        <v>7.8761809369504006</v>
      </c>
      <c r="H81" s="29">
        <v>98</v>
      </c>
      <c r="I81" s="29">
        <v>2</v>
      </c>
      <c r="J81" s="3" t="s">
        <v>38</v>
      </c>
      <c r="K81" s="30">
        <v>40.885669999999998</v>
      </c>
      <c r="L81" s="30">
        <v>71.975136666699996</v>
      </c>
      <c r="M81" s="20">
        <v>160</v>
      </c>
    </row>
    <row r="82" spans="1:13" ht="30" customHeight="1">
      <c r="A82" s="7" t="s">
        <v>13</v>
      </c>
      <c r="B82" s="30" t="s">
        <v>387</v>
      </c>
      <c r="C82" s="30" t="s">
        <v>186</v>
      </c>
      <c r="D82" s="27">
        <v>12430.83251951658</v>
      </c>
      <c r="E82" s="28">
        <v>11538.850914844328</v>
      </c>
      <c r="F82" s="27">
        <f t="shared" si="3"/>
        <v>891.98160467225171</v>
      </c>
      <c r="G82" s="27">
        <f t="shared" si="2"/>
        <v>7.1755580591390657</v>
      </c>
      <c r="H82" s="29">
        <v>82</v>
      </c>
      <c r="I82" s="29">
        <v>4</v>
      </c>
      <c r="J82" s="3" t="s">
        <v>23</v>
      </c>
      <c r="K82" s="30">
        <v>40.875881666700003</v>
      </c>
      <c r="L82" s="30">
        <v>71.976506666700004</v>
      </c>
      <c r="M82" s="20">
        <v>63</v>
      </c>
    </row>
    <row r="83" spans="1:13" ht="30" customHeight="1">
      <c r="A83" s="5" t="s">
        <v>30</v>
      </c>
      <c r="B83" s="30" t="s">
        <v>389</v>
      </c>
      <c r="C83" s="30" t="s">
        <v>187</v>
      </c>
      <c r="D83" s="27">
        <v>17771.648609516589</v>
      </c>
      <c r="E83" s="28">
        <v>16211.480914844329</v>
      </c>
      <c r="F83" s="27">
        <f t="shared" si="3"/>
        <v>1560.16769467226</v>
      </c>
      <c r="G83" s="27">
        <f t="shared" si="2"/>
        <v>8.7789699703875606</v>
      </c>
      <c r="H83" s="29">
        <v>158</v>
      </c>
      <c r="I83" s="29">
        <v>2</v>
      </c>
      <c r="J83" s="3" t="s">
        <v>39</v>
      </c>
      <c r="K83" s="30">
        <v>40.876424999999998</v>
      </c>
      <c r="L83" s="30">
        <v>72.024273333300002</v>
      </c>
      <c r="M83" s="20">
        <v>100</v>
      </c>
    </row>
    <row r="84" spans="1:13" ht="30" customHeight="1">
      <c r="A84" s="7" t="s">
        <v>13</v>
      </c>
      <c r="B84" s="30" t="s">
        <v>387</v>
      </c>
      <c r="C84" s="30" t="s">
        <v>188</v>
      </c>
      <c r="D84" s="27">
        <v>13251.216959516581</v>
      </c>
      <c r="E84" s="28">
        <v>12256.597581510996</v>
      </c>
      <c r="F84" s="27">
        <f t="shared" si="3"/>
        <v>994.61937800558553</v>
      </c>
      <c r="G84" s="27">
        <f t="shared" si="2"/>
        <v>7.5058719591130307</v>
      </c>
      <c r="H84" s="29">
        <v>173</v>
      </c>
      <c r="I84" s="29">
        <v>2</v>
      </c>
      <c r="J84" s="3"/>
      <c r="K84" s="30">
        <v>40.870156999999999</v>
      </c>
      <c r="L84" s="30">
        <v>71.971063000000001</v>
      </c>
      <c r="M84" s="20">
        <v>100</v>
      </c>
    </row>
    <row r="85" spans="1:13" ht="30" customHeight="1">
      <c r="A85" s="7" t="s">
        <v>13</v>
      </c>
      <c r="B85" s="30" t="s">
        <v>388</v>
      </c>
      <c r="C85" s="30" t="s">
        <v>189</v>
      </c>
      <c r="D85" s="27">
        <v>14774.005379516586</v>
      </c>
      <c r="E85" s="28">
        <v>13588.87091484433</v>
      </c>
      <c r="F85" s="27">
        <f t="shared" si="3"/>
        <v>1185.1344646722555</v>
      </c>
      <c r="G85" s="27">
        <f t="shared" si="2"/>
        <v>8.0217546577814627</v>
      </c>
      <c r="H85" s="29">
        <v>79</v>
      </c>
      <c r="I85" s="29">
        <v>2</v>
      </c>
      <c r="J85" s="3"/>
      <c r="K85" s="30">
        <v>40.8745966667</v>
      </c>
      <c r="L85" s="30">
        <v>71.988754999999998</v>
      </c>
      <c r="M85" s="20">
        <v>160</v>
      </c>
    </row>
    <row r="86" spans="1:13" ht="30" customHeight="1">
      <c r="A86" s="7" t="s">
        <v>13</v>
      </c>
      <c r="B86" s="30" t="s">
        <v>389</v>
      </c>
      <c r="C86" s="30" t="s">
        <v>190</v>
      </c>
      <c r="D86" s="27">
        <v>13741.899239516582</v>
      </c>
      <c r="E86" s="28">
        <v>12685.890914844331</v>
      </c>
      <c r="F86" s="27">
        <f t="shared" si="3"/>
        <v>1056.0083246722515</v>
      </c>
      <c r="G86" s="27">
        <f t="shared" si="2"/>
        <v>7.6845878889547157</v>
      </c>
      <c r="H86" s="29">
        <v>61</v>
      </c>
      <c r="I86" s="29">
        <v>2</v>
      </c>
      <c r="J86" s="4"/>
      <c r="K86" s="30">
        <v>40.878901666700003</v>
      </c>
      <c r="L86" s="30">
        <v>72.031078333300002</v>
      </c>
      <c r="M86" s="20">
        <v>250</v>
      </c>
    </row>
    <row r="87" spans="1:13" ht="30" customHeight="1">
      <c r="A87" s="7" t="s">
        <v>13</v>
      </c>
      <c r="B87" s="30" t="s">
        <v>389</v>
      </c>
      <c r="C87" s="30" t="s">
        <v>191</v>
      </c>
      <c r="D87" s="27">
        <v>12357.703379516583</v>
      </c>
      <c r="E87" s="28">
        <v>11474.870914844329</v>
      </c>
      <c r="F87" s="27">
        <f t="shared" si="3"/>
        <v>882.83246467225399</v>
      </c>
      <c r="G87" s="27">
        <f t="shared" si="2"/>
        <v>7.143984910137803</v>
      </c>
      <c r="H87" s="29">
        <v>40</v>
      </c>
      <c r="I87" s="29">
        <v>1</v>
      </c>
      <c r="J87" s="4"/>
      <c r="K87" s="30">
        <v>40.877465000000001</v>
      </c>
      <c r="L87" s="30">
        <v>72.08811</v>
      </c>
      <c r="M87" s="20">
        <v>100</v>
      </c>
    </row>
    <row r="88" spans="1:13" ht="30" customHeight="1">
      <c r="A88" s="7" t="s">
        <v>13</v>
      </c>
      <c r="B88" s="30" t="s">
        <v>389</v>
      </c>
      <c r="C88" s="30" t="s">
        <v>192</v>
      </c>
      <c r="D88" s="27">
        <v>14013.837989516584</v>
      </c>
      <c r="E88" s="28">
        <v>12923.807581510995</v>
      </c>
      <c r="F88" s="27">
        <f t="shared" si="3"/>
        <v>1090.0304080055885</v>
      </c>
      <c r="G88" s="27">
        <f t="shared" si="2"/>
        <v>7.7782432537111816</v>
      </c>
      <c r="H88" s="29">
        <v>96</v>
      </c>
      <c r="I88" s="29">
        <v>2</v>
      </c>
      <c r="J88" s="4"/>
      <c r="K88" s="30">
        <v>40.875194999999998</v>
      </c>
      <c r="L88" s="30">
        <v>72.038955000000001</v>
      </c>
      <c r="M88" s="20">
        <v>100</v>
      </c>
    </row>
    <row r="89" spans="1:13" ht="30" customHeight="1">
      <c r="A89" s="7" t="s">
        <v>13</v>
      </c>
      <c r="B89" s="30" t="s">
        <v>389</v>
      </c>
      <c r="C89" s="30" t="s">
        <v>193</v>
      </c>
      <c r="D89" s="27">
        <v>11100.083339516581</v>
      </c>
      <c r="E89" s="28">
        <v>10374.59091484433</v>
      </c>
      <c r="F89" s="27">
        <f t="shared" si="3"/>
        <v>725.49242467225122</v>
      </c>
      <c r="G89" s="27">
        <f t="shared" si="2"/>
        <v>6.5359187177404303</v>
      </c>
      <c r="H89" s="29">
        <v>78</v>
      </c>
      <c r="I89" s="29">
        <v>1</v>
      </c>
      <c r="J89" s="4" t="s">
        <v>14</v>
      </c>
      <c r="K89" s="30">
        <v>40.879893333299997</v>
      </c>
      <c r="L89" s="30">
        <v>72.067336666700001</v>
      </c>
      <c r="M89" s="20">
        <v>250</v>
      </c>
    </row>
    <row r="90" spans="1:13" ht="30" customHeight="1">
      <c r="A90" s="7" t="s">
        <v>13</v>
      </c>
      <c r="B90" s="30" t="s">
        <v>389</v>
      </c>
      <c r="C90" s="30" t="s">
        <v>194</v>
      </c>
      <c r="D90" s="27">
        <v>17990.685509516588</v>
      </c>
      <c r="E90" s="28">
        <v>16403.114248177666</v>
      </c>
      <c r="F90" s="27">
        <f t="shared" si="3"/>
        <v>1587.5712613389223</v>
      </c>
      <c r="G90" s="27">
        <f t="shared" si="2"/>
        <v>8.8244067214622799</v>
      </c>
      <c r="H90" s="29">
        <v>84</v>
      </c>
      <c r="I90" s="29">
        <v>1</v>
      </c>
      <c r="J90" s="4" t="s">
        <v>24</v>
      </c>
      <c r="K90" s="30">
        <v>40.878976666699998</v>
      </c>
      <c r="L90" s="30">
        <v>72.029004999999998</v>
      </c>
      <c r="M90" s="14">
        <v>250</v>
      </c>
    </row>
    <row r="91" spans="1:13" ht="30" customHeight="1">
      <c r="A91" s="7" t="s">
        <v>13</v>
      </c>
      <c r="B91" s="30" t="s">
        <v>384</v>
      </c>
      <c r="C91" s="30" t="s">
        <v>121</v>
      </c>
      <c r="D91" s="27">
        <v>16918.399109516584</v>
      </c>
      <c r="E91" s="28">
        <v>15464.980914844329</v>
      </c>
      <c r="F91" s="27">
        <f t="shared" si="3"/>
        <v>1453.4181946722547</v>
      </c>
      <c r="G91" s="27">
        <f t="shared" si="2"/>
        <v>8.590754865539898</v>
      </c>
      <c r="H91" s="29">
        <v>130</v>
      </c>
      <c r="I91" s="29">
        <v>2</v>
      </c>
      <c r="J91" s="4" t="s">
        <v>23</v>
      </c>
      <c r="K91" s="30">
        <v>40.881158094900002</v>
      </c>
      <c r="L91" s="30">
        <v>71.960061555699994</v>
      </c>
      <c r="M91" s="14">
        <v>250</v>
      </c>
    </row>
    <row r="92" spans="1:13" ht="30" customHeight="1">
      <c r="A92" s="7" t="s">
        <v>13</v>
      </c>
      <c r="B92" s="30" t="s">
        <v>388</v>
      </c>
      <c r="C92" s="30" t="s">
        <v>195</v>
      </c>
      <c r="D92" s="27">
        <v>16436.914169516582</v>
      </c>
      <c r="E92" s="28">
        <v>15043.734248177665</v>
      </c>
      <c r="F92" s="27">
        <f t="shared" si="3"/>
        <v>1393.1799213389168</v>
      </c>
      <c r="G92" s="27">
        <f t="shared" si="2"/>
        <v>8.4759213741145363</v>
      </c>
      <c r="H92" s="29">
        <v>99</v>
      </c>
      <c r="I92" s="29">
        <v>2</v>
      </c>
      <c r="J92" s="4" t="s">
        <v>40</v>
      </c>
      <c r="K92" s="30">
        <v>40.880791666699999</v>
      </c>
      <c r="L92" s="30">
        <v>72.024038333299998</v>
      </c>
      <c r="M92" s="14">
        <v>160</v>
      </c>
    </row>
    <row r="93" spans="1:13" ht="30" customHeight="1">
      <c r="A93" s="7" t="s">
        <v>13</v>
      </c>
      <c r="B93" s="30" t="s">
        <v>389</v>
      </c>
      <c r="C93" s="30" t="s">
        <v>196</v>
      </c>
      <c r="D93" s="27">
        <v>17066.69954951659</v>
      </c>
      <c r="E93" s="28">
        <v>15594.727581511002</v>
      </c>
      <c r="F93" s="27">
        <f t="shared" si="3"/>
        <v>1471.9719680055878</v>
      </c>
      <c r="G93" s="27">
        <f t="shared" si="2"/>
        <v>8.6248191323393915</v>
      </c>
      <c r="H93" s="29">
        <v>100</v>
      </c>
      <c r="I93" s="29">
        <v>2</v>
      </c>
      <c r="J93" s="4" t="s">
        <v>23</v>
      </c>
      <c r="K93" s="30">
        <v>40.880018333300001</v>
      </c>
      <c r="L93" s="30">
        <v>72.078343333299998</v>
      </c>
      <c r="M93" s="14">
        <v>100</v>
      </c>
    </row>
    <row r="94" spans="1:13" ht="30" customHeight="1">
      <c r="A94" s="7" t="s">
        <v>13</v>
      </c>
      <c r="B94" s="30" t="s">
        <v>387</v>
      </c>
      <c r="C94" s="30" t="s">
        <v>197</v>
      </c>
      <c r="D94" s="27">
        <v>21451.750469516592</v>
      </c>
      <c r="E94" s="28">
        <v>19431.167581510996</v>
      </c>
      <c r="F94" s="27">
        <f t="shared" si="3"/>
        <v>2020.582888005596</v>
      </c>
      <c r="G94" s="27">
        <f t="shared" si="2"/>
        <v>9.4191981716218844</v>
      </c>
      <c r="H94" s="29">
        <v>155</v>
      </c>
      <c r="I94" s="29">
        <v>2</v>
      </c>
      <c r="J94" s="3" t="s">
        <v>14</v>
      </c>
      <c r="K94" s="30">
        <v>40.878603333299999</v>
      </c>
      <c r="L94" s="30">
        <v>71.966620000000006</v>
      </c>
      <c r="M94" s="14">
        <v>100</v>
      </c>
    </row>
    <row r="95" spans="1:13" ht="30" customHeight="1">
      <c r="A95" s="7" t="s">
        <v>13</v>
      </c>
      <c r="B95" s="30" t="s">
        <v>390</v>
      </c>
      <c r="C95" s="30" t="s">
        <v>198</v>
      </c>
      <c r="D95" s="27">
        <v>13862.474309516581</v>
      </c>
      <c r="E95" s="28">
        <v>12791.380914844329</v>
      </c>
      <c r="F95" s="27">
        <f t="shared" si="3"/>
        <v>1071.0933946722525</v>
      </c>
      <c r="G95" s="27">
        <f t="shared" si="2"/>
        <v>7.7265672112874357</v>
      </c>
      <c r="H95" s="29">
        <v>102</v>
      </c>
      <c r="I95" s="29">
        <v>2</v>
      </c>
      <c r="J95" s="5" t="s">
        <v>40</v>
      </c>
      <c r="K95" s="30">
        <v>40.858133333300003</v>
      </c>
      <c r="L95" s="30">
        <v>72.060698333299996</v>
      </c>
      <c r="M95" s="14">
        <v>100</v>
      </c>
    </row>
    <row r="96" spans="1:13" ht="30" customHeight="1">
      <c r="A96" s="7" t="s">
        <v>13</v>
      </c>
      <c r="B96" s="30" t="s">
        <v>389</v>
      </c>
      <c r="C96" s="30" t="s">
        <v>199</v>
      </c>
      <c r="D96" s="27">
        <v>8813.9603195165837</v>
      </c>
      <c r="E96" s="28">
        <v>8033.0754148443302</v>
      </c>
      <c r="F96" s="27">
        <f t="shared" si="3"/>
        <v>780.88490467225347</v>
      </c>
      <c r="G96" s="27">
        <f t="shared" si="2"/>
        <v>8.8596371706275434</v>
      </c>
      <c r="H96" s="29">
        <v>69</v>
      </c>
      <c r="I96" s="29">
        <v>2</v>
      </c>
      <c r="J96" s="5" t="s">
        <v>40</v>
      </c>
      <c r="K96" s="30">
        <v>40.879048333299998</v>
      </c>
      <c r="L96" s="30">
        <v>72.052588333299994</v>
      </c>
      <c r="M96" s="14">
        <v>100</v>
      </c>
    </row>
    <row r="97" spans="1:13" ht="30" customHeight="1">
      <c r="A97" s="7" t="s">
        <v>13</v>
      </c>
      <c r="B97" s="30" t="s">
        <v>388</v>
      </c>
      <c r="C97" s="30" t="s">
        <v>200</v>
      </c>
      <c r="D97" s="27">
        <v>13731.87562951658</v>
      </c>
      <c r="E97" s="28">
        <v>12600.497248177662</v>
      </c>
      <c r="F97" s="27">
        <f t="shared" si="3"/>
        <v>1131.3783813389182</v>
      </c>
      <c r="G97" s="27">
        <f t="shared" si="2"/>
        <v>8.2390666203459304</v>
      </c>
      <c r="H97" s="29">
        <v>63</v>
      </c>
      <c r="I97" s="29">
        <v>1</v>
      </c>
      <c r="J97" s="5"/>
      <c r="K97" s="30">
        <v>40.877659999999999</v>
      </c>
      <c r="L97" s="30">
        <v>72.015798333299998</v>
      </c>
      <c r="M97" s="14">
        <v>160</v>
      </c>
    </row>
    <row r="98" spans="1:13" ht="30" customHeight="1">
      <c r="A98" s="7" t="s">
        <v>13</v>
      </c>
      <c r="B98" s="30" t="s">
        <v>389</v>
      </c>
      <c r="C98" s="30" t="s">
        <v>201</v>
      </c>
      <c r="D98" s="27">
        <v>7079.8003195165875</v>
      </c>
      <c r="E98" s="28">
        <v>6510.7460815109953</v>
      </c>
      <c r="F98" s="27">
        <f t="shared" si="3"/>
        <v>569.0542380055922</v>
      </c>
      <c r="G98" s="27">
        <f t="shared" si="2"/>
        <v>8.0377159287516111</v>
      </c>
      <c r="H98" s="29">
        <v>21</v>
      </c>
      <c r="I98" s="29">
        <v>1</v>
      </c>
      <c r="J98" s="5" t="s">
        <v>14</v>
      </c>
      <c r="K98" s="30">
        <v>40.877465000000001</v>
      </c>
      <c r="L98" s="30">
        <v>72.08811</v>
      </c>
      <c r="M98" s="14">
        <v>160</v>
      </c>
    </row>
    <row r="99" spans="1:13" ht="30" customHeight="1">
      <c r="A99" s="7" t="s">
        <v>13</v>
      </c>
      <c r="B99" s="30" t="s">
        <v>389</v>
      </c>
      <c r="C99" s="30" t="s">
        <v>202</v>
      </c>
      <c r="D99" s="27">
        <v>11502.471079516585</v>
      </c>
      <c r="E99" s="28">
        <v>10378.817081510997</v>
      </c>
      <c r="F99" s="27">
        <f t="shared" si="3"/>
        <v>1123.6539980055877</v>
      </c>
      <c r="G99" s="27">
        <f t="shared" si="2"/>
        <v>9.7688052440016371</v>
      </c>
      <c r="H99" s="29">
        <v>82</v>
      </c>
      <c r="I99" s="29">
        <v>2</v>
      </c>
      <c r="J99" s="5" t="s">
        <v>23</v>
      </c>
      <c r="K99" s="30">
        <v>40.875548333300003</v>
      </c>
      <c r="L99" s="30">
        <v>72.079404999999994</v>
      </c>
      <c r="M99" s="19">
        <v>160</v>
      </c>
    </row>
    <row r="100" spans="1:13" ht="30" customHeight="1">
      <c r="A100" s="7" t="s">
        <v>13</v>
      </c>
      <c r="B100" s="30" t="s">
        <v>389</v>
      </c>
      <c r="C100" s="30" t="s">
        <v>203</v>
      </c>
      <c r="D100" s="27">
        <v>8659.9267395165843</v>
      </c>
      <c r="E100" s="28">
        <v>7875.2609148443298</v>
      </c>
      <c r="F100" s="27">
        <f t="shared" si="3"/>
        <v>784.66582467225453</v>
      </c>
      <c r="G100" s="27">
        <f t="shared" si="2"/>
        <v>9.0608829413267795</v>
      </c>
      <c r="H100" s="29">
        <v>46</v>
      </c>
      <c r="I100" s="29">
        <v>2</v>
      </c>
      <c r="J100" s="12" t="s">
        <v>15</v>
      </c>
      <c r="K100" s="30">
        <v>40.883151666700002</v>
      </c>
      <c r="L100" s="30">
        <v>72.085181666699995</v>
      </c>
      <c r="M100" s="20">
        <v>63</v>
      </c>
    </row>
    <row r="101" spans="1:13" ht="30" customHeight="1">
      <c r="A101" s="7" t="s">
        <v>13</v>
      </c>
      <c r="B101" s="30" t="s">
        <v>390</v>
      </c>
      <c r="C101" s="30" t="s">
        <v>204</v>
      </c>
      <c r="D101" s="27">
        <v>9660.5128995165833</v>
      </c>
      <c r="E101" s="28">
        <v>8669.480914844331</v>
      </c>
      <c r="F101" s="27">
        <f t="shared" si="3"/>
        <v>991.03198467225229</v>
      </c>
      <c r="G101" s="27">
        <f t="shared" si="2"/>
        <v>10.25858559457898</v>
      </c>
      <c r="H101" s="29">
        <v>73</v>
      </c>
      <c r="I101" s="29">
        <v>2</v>
      </c>
      <c r="J101" s="12" t="s">
        <v>17</v>
      </c>
      <c r="K101" s="30">
        <v>40.858853333299997</v>
      </c>
      <c r="L101" s="30">
        <v>72.0770083333</v>
      </c>
      <c r="M101" s="20">
        <v>400</v>
      </c>
    </row>
    <row r="102" spans="1:13" ht="30" customHeight="1">
      <c r="A102" s="7" t="s">
        <v>13</v>
      </c>
      <c r="B102" s="30" t="s">
        <v>390</v>
      </c>
      <c r="C102" s="30" t="s">
        <v>205</v>
      </c>
      <c r="D102" s="27">
        <v>4904.7082695165846</v>
      </c>
      <c r="E102" s="28">
        <v>4369.2375815109954</v>
      </c>
      <c r="F102" s="27">
        <f t="shared" si="3"/>
        <v>535.47068800558918</v>
      </c>
      <c r="G102" s="27">
        <f t="shared" si="2"/>
        <v>10.917482928263254</v>
      </c>
      <c r="H102" s="29">
        <v>16</v>
      </c>
      <c r="I102" s="29">
        <v>1</v>
      </c>
      <c r="J102" s="12" t="s">
        <v>17</v>
      </c>
      <c r="K102" s="30">
        <v>40.874026666600002</v>
      </c>
      <c r="L102" s="30">
        <v>72.094549999700007</v>
      </c>
      <c r="M102" s="20">
        <v>320</v>
      </c>
    </row>
    <row r="103" spans="1:13" ht="30" customHeight="1">
      <c r="A103" s="7" t="s">
        <v>13</v>
      </c>
      <c r="B103" s="30" t="s">
        <v>387</v>
      </c>
      <c r="C103" s="30" t="s">
        <v>206</v>
      </c>
      <c r="D103" s="27">
        <v>15028.076809516589</v>
      </c>
      <c r="E103" s="28">
        <v>13133.184248177664</v>
      </c>
      <c r="F103" s="27">
        <f t="shared" si="3"/>
        <v>1894.8925613389256</v>
      </c>
      <c r="G103" s="27">
        <f t="shared" si="2"/>
        <v>12.609015680163262</v>
      </c>
      <c r="H103" s="29">
        <v>155</v>
      </c>
      <c r="I103" s="29">
        <v>4</v>
      </c>
      <c r="J103" s="12" t="s">
        <v>17</v>
      </c>
      <c r="K103" s="30">
        <v>40.876869999999997</v>
      </c>
      <c r="L103" s="30">
        <v>71.973841666699997</v>
      </c>
      <c r="M103" s="20">
        <v>160</v>
      </c>
    </row>
    <row r="104" spans="1:13" ht="30" customHeight="1">
      <c r="A104" s="7" t="s">
        <v>13</v>
      </c>
      <c r="B104" s="30" t="s">
        <v>391</v>
      </c>
      <c r="C104" s="30" t="s">
        <v>207</v>
      </c>
      <c r="D104" s="27">
        <v>10951.282639516581</v>
      </c>
      <c r="E104" s="28">
        <v>9902.357581510998</v>
      </c>
      <c r="F104" s="27">
        <f t="shared" si="3"/>
        <v>1048.9250580055832</v>
      </c>
      <c r="G104" s="27">
        <f t="shared" si="2"/>
        <v>9.5781023331517758</v>
      </c>
      <c r="H104" s="29">
        <v>69</v>
      </c>
      <c r="I104" s="29">
        <v>1</v>
      </c>
      <c r="J104" s="12" t="s">
        <v>17</v>
      </c>
      <c r="K104" s="30">
        <v>40.849305000000001</v>
      </c>
      <c r="L104" s="30">
        <v>72.038023333300004</v>
      </c>
      <c r="M104" s="20">
        <v>100</v>
      </c>
    </row>
    <row r="105" spans="1:13" ht="30" customHeight="1">
      <c r="A105" s="7" t="s">
        <v>13</v>
      </c>
      <c r="B105" s="30" t="s">
        <v>391</v>
      </c>
      <c r="C105" s="30" t="s">
        <v>208</v>
      </c>
      <c r="D105" s="27">
        <v>15289.214209516587</v>
      </c>
      <c r="E105" s="28">
        <v>13830.285748177663</v>
      </c>
      <c r="F105" s="27">
        <f t="shared" si="3"/>
        <v>1458.9284613389245</v>
      </c>
      <c r="G105" s="27">
        <f t="shared" si="2"/>
        <v>9.5422069528650599</v>
      </c>
      <c r="H105" s="29">
        <v>117</v>
      </c>
      <c r="I105" s="29">
        <v>9</v>
      </c>
      <c r="J105" s="12" t="s">
        <v>17</v>
      </c>
      <c r="K105" s="30">
        <v>40.848043333299998</v>
      </c>
      <c r="L105" s="30">
        <v>72.060901666700005</v>
      </c>
      <c r="M105" s="20">
        <v>160</v>
      </c>
    </row>
    <row r="106" spans="1:13" ht="30" customHeight="1">
      <c r="A106" s="7" t="s">
        <v>13</v>
      </c>
      <c r="B106" s="30" t="s">
        <v>387</v>
      </c>
      <c r="C106" s="30" t="s">
        <v>209</v>
      </c>
      <c r="D106" s="27">
        <v>17411.670209516589</v>
      </c>
      <c r="E106" s="28">
        <v>15690.40824817766</v>
      </c>
      <c r="F106" s="27">
        <f t="shared" si="3"/>
        <v>1721.2619613389288</v>
      </c>
      <c r="G106" s="27">
        <f t="shared" si="2"/>
        <v>9.8856797804391512</v>
      </c>
      <c r="H106" s="29">
        <v>98</v>
      </c>
      <c r="I106" s="29">
        <v>1</v>
      </c>
      <c r="J106" s="12" t="s">
        <v>17</v>
      </c>
      <c r="K106" s="30">
        <v>40.8855233333</v>
      </c>
      <c r="L106" s="30">
        <v>71.964566666699994</v>
      </c>
      <c r="M106" s="20">
        <v>400</v>
      </c>
    </row>
    <row r="107" spans="1:13" ht="30" customHeight="1">
      <c r="A107" s="7" t="s">
        <v>13</v>
      </c>
      <c r="B107" s="30" t="s">
        <v>390</v>
      </c>
      <c r="C107" s="30" t="s">
        <v>210</v>
      </c>
      <c r="D107" s="27">
        <v>9904.8355595165867</v>
      </c>
      <c r="E107" s="28">
        <v>8985.5485815109951</v>
      </c>
      <c r="F107" s="27">
        <f t="shared" si="3"/>
        <v>919.28697800559166</v>
      </c>
      <c r="G107" s="27">
        <f t="shared" si="2"/>
        <v>9.2811937409939009</v>
      </c>
      <c r="H107" s="29">
        <v>121</v>
      </c>
      <c r="I107" s="29">
        <v>2</v>
      </c>
      <c r="J107" s="12" t="s">
        <v>19</v>
      </c>
      <c r="K107" s="30">
        <v>40.867975000000001</v>
      </c>
      <c r="L107" s="30">
        <v>72.100838333300004</v>
      </c>
      <c r="M107" s="20">
        <v>160</v>
      </c>
    </row>
    <row r="108" spans="1:13" ht="30" customHeight="1">
      <c r="A108" s="7" t="s">
        <v>13</v>
      </c>
      <c r="B108" s="30" t="s">
        <v>390</v>
      </c>
      <c r="C108" s="30" t="s">
        <v>211</v>
      </c>
      <c r="D108" s="27">
        <v>11753.272099516582</v>
      </c>
      <c r="E108" s="28">
        <v>10600.163914844332</v>
      </c>
      <c r="F108" s="27">
        <f t="shared" si="3"/>
        <v>1153.10818467225</v>
      </c>
      <c r="G108" s="27">
        <f t="shared" si="2"/>
        <v>9.8109545572392385</v>
      </c>
      <c r="H108" s="29">
        <v>83</v>
      </c>
      <c r="I108" s="29">
        <v>2</v>
      </c>
      <c r="J108" s="12" t="s">
        <v>21</v>
      </c>
      <c r="K108" s="30">
        <v>40.872354999999999</v>
      </c>
      <c r="L108" s="30">
        <v>72.101595000000003</v>
      </c>
      <c r="M108" s="20">
        <v>100</v>
      </c>
    </row>
    <row r="109" spans="1:13" ht="30" customHeight="1">
      <c r="A109" s="7" t="s">
        <v>13</v>
      </c>
      <c r="B109" s="30" t="s">
        <v>390</v>
      </c>
      <c r="C109" s="30" t="s">
        <v>212</v>
      </c>
      <c r="D109" s="27">
        <v>11239.862769516583</v>
      </c>
      <c r="E109" s="28">
        <v>10390.125748177665</v>
      </c>
      <c r="F109" s="27">
        <f t="shared" si="3"/>
        <v>849.73702133891857</v>
      </c>
      <c r="G109" s="27">
        <f t="shared" si="2"/>
        <v>7.560030213566967</v>
      </c>
      <c r="H109" s="29">
        <v>122</v>
      </c>
      <c r="I109" s="29">
        <v>2</v>
      </c>
      <c r="J109" s="12" t="s">
        <v>21</v>
      </c>
      <c r="K109" s="30">
        <v>40.874026666600002</v>
      </c>
      <c r="L109" s="30">
        <v>72.094549999700007</v>
      </c>
      <c r="M109" s="20">
        <v>100</v>
      </c>
    </row>
    <row r="110" spans="1:13" ht="30" customHeight="1">
      <c r="A110" s="7" t="s">
        <v>13</v>
      </c>
      <c r="B110" s="30" t="s">
        <v>387</v>
      </c>
      <c r="C110" s="30" t="s">
        <v>213</v>
      </c>
      <c r="D110" s="27">
        <v>9698.2687395165849</v>
      </c>
      <c r="E110" s="28">
        <v>8804.1840815109972</v>
      </c>
      <c r="F110" s="27">
        <f t="shared" si="3"/>
        <v>894.0846580055877</v>
      </c>
      <c r="G110" s="27">
        <f t="shared" si="2"/>
        <v>9.2190130220102962</v>
      </c>
      <c r="H110" s="29">
        <v>33</v>
      </c>
      <c r="I110" s="29">
        <v>1</v>
      </c>
      <c r="J110" s="12" t="s">
        <v>21</v>
      </c>
      <c r="K110" s="30">
        <v>40.887851666700001</v>
      </c>
      <c r="L110" s="30">
        <v>71.969193333299998</v>
      </c>
      <c r="M110" s="20">
        <v>160</v>
      </c>
    </row>
    <row r="111" spans="1:13" ht="30" customHeight="1">
      <c r="A111" s="5" t="s">
        <v>30</v>
      </c>
      <c r="B111" s="30" t="s">
        <v>389</v>
      </c>
      <c r="C111" s="30" t="s">
        <v>214</v>
      </c>
      <c r="D111" s="27">
        <v>13313.291339516585</v>
      </c>
      <c r="E111" s="28">
        <v>11958.598914844331</v>
      </c>
      <c r="F111" s="27">
        <f t="shared" si="3"/>
        <v>1354.6924246722538</v>
      </c>
      <c r="G111" s="27">
        <f t="shared" si="2"/>
        <v>10.175488465810465</v>
      </c>
      <c r="H111" s="29">
        <v>107</v>
      </c>
      <c r="I111" s="29">
        <v>2</v>
      </c>
      <c r="J111" s="12" t="s">
        <v>41</v>
      </c>
      <c r="K111" s="30">
        <v>40.877478333299997</v>
      </c>
      <c r="L111" s="30">
        <v>72.076426666700002</v>
      </c>
      <c r="M111" s="20">
        <v>250</v>
      </c>
    </row>
    <row r="112" spans="1:13" ht="30" customHeight="1">
      <c r="A112" s="5" t="s">
        <v>30</v>
      </c>
      <c r="B112" s="30" t="s">
        <v>390</v>
      </c>
      <c r="C112" s="30" t="s">
        <v>215</v>
      </c>
      <c r="D112" s="27">
        <v>11364.845809516584</v>
      </c>
      <c r="E112" s="28">
        <v>10252.639914844329</v>
      </c>
      <c r="F112" s="27">
        <f t="shared" si="3"/>
        <v>1112.2058946722555</v>
      </c>
      <c r="G112" s="27">
        <f t="shared" si="2"/>
        <v>9.7863702976148357</v>
      </c>
      <c r="H112" s="29">
        <v>95</v>
      </c>
      <c r="I112" s="29">
        <v>2</v>
      </c>
      <c r="J112" s="12" t="s">
        <v>37</v>
      </c>
      <c r="K112" s="30">
        <v>40.870533333300003</v>
      </c>
      <c r="L112" s="30">
        <v>72.120976666700003</v>
      </c>
      <c r="M112" s="20">
        <v>100</v>
      </c>
    </row>
    <row r="113" spans="1:13" ht="30" customHeight="1">
      <c r="A113" s="5" t="s">
        <v>30</v>
      </c>
      <c r="B113" s="30" t="s">
        <v>390</v>
      </c>
      <c r="C113" s="30" t="s">
        <v>216</v>
      </c>
      <c r="D113" s="27">
        <v>9822.7514695165846</v>
      </c>
      <c r="E113" s="28">
        <v>8895.1414148443291</v>
      </c>
      <c r="F113" s="27">
        <f t="shared" si="3"/>
        <v>927.6100546722555</v>
      </c>
      <c r="G113" s="27">
        <f t="shared" si="2"/>
        <v>9.4434849293596841</v>
      </c>
      <c r="H113" s="29">
        <v>52</v>
      </c>
      <c r="I113" s="29">
        <v>2</v>
      </c>
      <c r="J113" s="12" t="s">
        <v>33</v>
      </c>
      <c r="K113" s="30">
        <v>40.859666666700001</v>
      </c>
      <c r="L113" s="30">
        <v>72.121076666700006</v>
      </c>
      <c r="M113" s="20">
        <v>63</v>
      </c>
    </row>
    <row r="114" spans="1:13" ht="30" customHeight="1">
      <c r="A114" s="5" t="s">
        <v>30</v>
      </c>
      <c r="B114" s="30" t="s">
        <v>390</v>
      </c>
      <c r="C114" s="30" t="s">
        <v>217</v>
      </c>
      <c r="D114" s="27">
        <v>6364.0527595165831</v>
      </c>
      <c r="E114" s="28">
        <v>5765.9342481776648</v>
      </c>
      <c r="F114" s="27">
        <f t="shared" si="3"/>
        <v>598.11851133891832</v>
      </c>
      <c r="G114" s="27">
        <f t="shared" si="2"/>
        <v>9.3983902073173837</v>
      </c>
      <c r="H114" s="29">
        <v>42</v>
      </c>
      <c r="I114" s="29">
        <v>1</v>
      </c>
      <c r="J114" s="12" t="s">
        <v>17</v>
      </c>
      <c r="K114" s="30">
        <v>40.8576716667</v>
      </c>
      <c r="L114" s="30">
        <v>72.123549999999994</v>
      </c>
      <c r="M114" s="14">
        <v>40</v>
      </c>
    </row>
    <row r="115" spans="1:13" ht="30" customHeight="1">
      <c r="A115" s="5" t="s">
        <v>30</v>
      </c>
      <c r="B115" s="30" t="s">
        <v>388</v>
      </c>
      <c r="C115" s="30" t="s">
        <v>218</v>
      </c>
      <c r="D115" s="27">
        <v>21040.89870951659</v>
      </c>
      <c r="E115" s="28">
        <v>18747.517581510998</v>
      </c>
      <c r="F115" s="27">
        <f t="shared" si="3"/>
        <v>2293.3811280055925</v>
      </c>
      <c r="G115" s="27">
        <f t="shared" si="2"/>
        <v>10.899634847670832</v>
      </c>
      <c r="H115" s="29">
        <v>109</v>
      </c>
      <c r="I115" s="29">
        <v>2</v>
      </c>
      <c r="J115" s="12" t="s">
        <v>34</v>
      </c>
      <c r="K115" s="30">
        <v>40.877068333300002</v>
      </c>
      <c r="L115" s="30">
        <v>71.983761666700005</v>
      </c>
      <c r="M115" s="14">
        <v>100</v>
      </c>
    </row>
    <row r="116" spans="1:13" ht="30" customHeight="1">
      <c r="A116" s="5" t="s">
        <v>30</v>
      </c>
      <c r="B116" s="30" t="s">
        <v>384</v>
      </c>
      <c r="C116" s="30" t="s">
        <v>94</v>
      </c>
      <c r="D116" s="27">
        <v>8236.8296695165827</v>
      </c>
      <c r="E116" s="28">
        <v>7284.3042481776647</v>
      </c>
      <c r="F116" s="27">
        <f t="shared" si="3"/>
        <v>952.52542133891802</v>
      </c>
      <c r="G116" s="27">
        <f t="shared" si="2"/>
        <v>11.564223852583583</v>
      </c>
      <c r="H116" s="29">
        <v>86</v>
      </c>
      <c r="I116" s="29">
        <v>2</v>
      </c>
      <c r="J116" s="12" t="s">
        <v>34</v>
      </c>
      <c r="K116" s="30">
        <v>40.865369999999999</v>
      </c>
      <c r="L116" s="30">
        <v>71.96087</v>
      </c>
      <c r="M116" s="19">
        <v>160</v>
      </c>
    </row>
    <row r="117" spans="1:13" ht="30" customHeight="1">
      <c r="A117" s="5" t="s">
        <v>30</v>
      </c>
      <c r="B117" s="30" t="s">
        <v>390</v>
      </c>
      <c r="C117" s="30" t="s">
        <v>219</v>
      </c>
      <c r="D117" s="27">
        <v>8420.5244595165859</v>
      </c>
      <c r="E117" s="28">
        <v>7786.3127481776619</v>
      </c>
      <c r="F117" s="27">
        <f t="shared" si="3"/>
        <v>634.21171133892403</v>
      </c>
      <c r="G117" s="27">
        <f t="shared" si="2"/>
        <v>7.5317364659176294</v>
      </c>
      <c r="H117" s="29">
        <v>47</v>
      </c>
      <c r="I117" s="29">
        <v>2</v>
      </c>
      <c r="J117" s="12" t="s">
        <v>42</v>
      </c>
      <c r="K117" s="30">
        <v>40.858196666700003</v>
      </c>
      <c r="L117" s="30">
        <v>72.1313583333</v>
      </c>
      <c r="M117" s="14">
        <v>100</v>
      </c>
    </row>
    <row r="118" spans="1:13" ht="30" customHeight="1">
      <c r="A118" s="5" t="s">
        <v>30</v>
      </c>
      <c r="B118" s="30" t="s">
        <v>388</v>
      </c>
      <c r="C118" s="30" t="s">
        <v>220</v>
      </c>
      <c r="D118" s="27">
        <v>21989.66316151659</v>
      </c>
      <c r="E118" s="28">
        <v>19634.744748177665</v>
      </c>
      <c r="F118" s="27">
        <f t="shared" si="3"/>
        <v>2354.9184133389244</v>
      </c>
      <c r="G118" s="27">
        <f t="shared" si="2"/>
        <v>10.709206394121544</v>
      </c>
      <c r="H118" s="29">
        <v>166</v>
      </c>
      <c r="I118" s="29">
        <v>2</v>
      </c>
      <c r="J118" s="12" t="s">
        <v>42</v>
      </c>
      <c r="K118" s="30">
        <v>40.881914999999999</v>
      </c>
      <c r="L118" s="30">
        <v>71.997399999999999</v>
      </c>
      <c r="M118" s="22">
        <v>160</v>
      </c>
    </row>
    <row r="119" spans="1:13" ht="30" customHeight="1">
      <c r="A119" s="5" t="s">
        <v>30</v>
      </c>
      <c r="B119" s="30" t="s">
        <v>388</v>
      </c>
      <c r="C119" s="30" t="s">
        <v>221</v>
      </c>
      <c r="D119" s="27">
        <v>17392.396499516584</v>
      </c>
      <c r="E119" s="28">
        <v>15540.833414844332</v>
      </c>
      <c r="F119" s="27">
        <f t="shared" si="3"/>
        <v>1851.5630846722524</v>
      </c>
      <c r="G119" s="27">
        <f t="shared" si="2"/>
        <v>10.645819193023318</v>
      </c>
      <c r="H119" s="29">
        <v>136</v>
      </c>
      <c r="I119" s="29">
        <v>4</v>
      </c>
      <c r="J119" s="12" t="s">
        <v>22</v>
      </c>
      <c r="K119" s="30">
        <v>40.8827666667</v>
      </c>
      <c r="L119" s="30">
        <v>72.008274999999998</v>
      </c>
      <c r="M119" s="14">
        <v>250</v>
      </c>
    </row>
    <row r="120" spans="1:13" ht="30" customHeight="1">
      <c r="A120" s="5" t="s">
        <v>30</v>
      </c>
      <c r="B120" s="30" t="s">
        <v>390</v>
      </c>
      <c r="C120" s="30" t="s">
        <v>222</v>
      </c>
      <c r="D120" s="27">
        <v>7345.3015595165816</v>
      </c>
      <c r="E120" s="28">
        <v>6512.4342481776621</v>
      </c>
      <c r="F120" s="27">
        <f t="shared" si="3"/>
        <v>832.86731133891954</v>
      </c>
      <c r="G120" s="27">
        <f t="shared" si="2"/>
        <v>11.338776285636028</v>
      </c>
      <c r="H120" s="29">
        <v>84</v>
      </c>
      <c r="I120" s="29">
        <v>2</v>
      </c>
      <c r="J120" s="12" t="s">
        <v>22</v>
      </c>
      <c r="K120" s="30">
        <v>40.851415000000003</v>
      </c>
      <c r="L120" s="30">
        <v>72.131756666699999</v>
      </c>
      <c r="M120" s="14">
        <v>63</v>
      </c>
    </row>
    <row r="121" spans="1:13" ht="30" customHeight="1">
      <c r="A121" s="5" t="s">
        <v>30</v>
      </c>
      <c r="B121" s="30" t="s">
        <v>392</v>
      </c>
      <c r="C121" s="30" t="s">
        <v>223</v>
      </c>
      <c r="D121" s="27">
        <v>9296.8697495165816</v>
      </c>
      <c r="E121" s="28">
        <v>8449.7982481776653</v>
      </c>
      <c r="F121" s="27">
        <f t="shared" si="3"/>
        <v>847.07150133891628</v>
      </c>
      <c r="G121" s="27">
        <f t="shared" si="2"/>
        <v>9.1113624710399144</v>
      </c>
      <c r="H121" s="29">
        <v>108</v>
      </c>
      <c r="I121" s="29">
        <v>2</v>
      </c>
      <c r="J121" s="12" t="s">
        <v>22</v>
      </c>
      <c r="K121" s="30">
        <v>40.833135628299999</v>
      </c>
      <c r="L121" s="30">
        <v>72.203557438199994</v>
      </c>
      <c r="M121" s="14">
        <v>100</v>
      </c>
    </row>
    <row r="122" spans="1:13" ht="30" customHeight="1">
      <c r="A122" s="5" t="s">
        <v>30</v>
      </c>
      <c r="B122" s="30" t="s">
        <v>392</v>
      </c>
      <c r="C122" s="30" t="s">
        <v>224</v>
      </c>
      <c r="D122" s="27">
        <v>9781.1669395165845</v>
      </c>
      <c r="E122" s="28">
        <v>9026.0925815109949</v>
      </c>
      <c r="F122" s="27">
        <f t="shared" si="3"/>
        <v>755.0743580055896</v>
      </c>
      <c r="G122" s="27">
        <f t="shared" si="2"/>
        <v>7.7196756038897307</v>
      </c>
      <c r="H122" s="29">
        <v>86</v>
      </c>
      <c r="I122" s="29">
        <v>1</v>
      </c>
      <c r="J122" s="12" t="s">
        <v>43</v>
      </c>
      <c r="K122" s="30">
        <v>40.830279691100003</v>
      </c>
      <c r="L122" s="30">
        <v>72.204835088899998</v>
      </c>
      <c r="M122" s="14">
        <v>250</v>
      </c>
    </row>
    <row r="123" spans="1:13" ht="30" customHeight="1">
      <c r="A123" s="5" t="s">
        <v>30</v>
      </c>
      <c r="B123" s="30" t="s">
        <v>392</v>
      </c>
      <c r="C123" s="30" t="s">
        <v>225</v>
      </c>
      <c r="D123" s="27">
        <v>10678.130069516583</v>
      </c>
      <c r="E123" s="28">
        <v>9529.7709148443282</v>
      </c>
      <c r="F123" s="27">
        <f t="shared" si="3"/>
        <v>1148.3591546722546</v>
      </c>
      <c r="G123" s="27">
        <f t="shared" si="2"/>
        <v>10.754309482992117</v>
      </c>
      <c r="H123" s="29">
        <v>77</v>
      </c>
      <c r="I123" s="29">
        <v>2</v>
      </c>
      <c r="J123" s="12" t="s">
        <v>31</v>
      </c>
      <c r="K123" s="30">
        <v>40.838736666700001</v>
      </c>
      <c r="L123" s="30">
        <v>72.234039999999993</v>
      </c>
      <c r="M123" s="20">
        <v>180</v>
      </c>
    </row>
    <row r="124" spans="1:13" ht="30" customHeight="1">
      <c r="A124" s="5" t="s">
        <v>30</v>
      </c>
      <c r="B124" s="30" t="s">
        <v>388</v>
      </c>
      <c r="C124" s="30" t="s">
        <v>226</v>
      </c>
      <c r="D124" s="27">
        <v>14425.705839516588</v>
      </c>
      <c r="E124" s="28">
        <v>13044.677581511</v>
      </c>
      <c r="F124" s="27">
        <f t="shared" si="3"/>
        <v>1381.0282580055882</v>
      </c>
      <c r="G124" s="27">
        <f t="shared" si="2"/>
        <v>9.5733843000077918</v>
      </c>
      <c r="H124" s="29">
        <v>89</v>
      </c>
      <c r="I124" s="29">
        <v>2</v>
      </c>
      <c r="J124" s="12" t="s">
        <v>31</v>
      </c>
      <c r="K124" s="30">
        <v>40.8765683333</v>
      </c>
      <c r="L124" s="30">
        <v>71.988531666699998</v>
      </c>
      <c r="M124" s="20">
        <v>400</v>
      </c>
    </row>
    <row r="125" spans="1:13" ht="30" customHeight="1">
      <c r="A125" s="5" t="s">
        <v>30</v>
      </c>
      <c r="B125" s="30" t="s">
        <v>390</v>
      </c>
      <c r="C125" s="30" t="s">
        <v>227</v>
      </c>
      <c r="D125" s="27">
        <v>8766.6321395165833</v>
      </c>
      <c r="E125" s="28">
        <v>8052.8275815109964</v>
      </c>
      <c r="F125" s="27">
        <f t="shared" si="3"/>
        <v>713.80455800558684</v>
      </c>
      <c r="G125" s="27">
        <f t="shared" si="2"/>
        <v>8.142289383719346</v>
      </c>
      <c r="H125" s="29">
        <v>96</v>
      </c>
      <c r="I125" s="29">
        <v>1</v>
      </c>
      <c r="J125" s="12" t="s">
        <v>44</v>
      </c>
      <c r="K125" s="30">
        <v>40.813206666600003</v>
      </c>
      <c r="L125" s="30">
        <v>72.109205000000003</v>
      </c>
      <c r="M125" s="14">
        <v>160</v>
      </c>
    </row>
    <row r="126" spans="1:13" ht="30" customHeight="1">
      <c r="A126" s="5" t="s">
        <v>30</v>
      </c>
      <c r="B126" s="30" t="s">
        <v>390</v>
      </c>
      <c r="C126" s="30" t="s">
        <v>228</v>
      </c>
      <c r="D126" s="27">
        <v>54754.178419516567</v>
      </c>
      <c r="E126" s="28">
        <v>48227.024414844323</v>
      </c>
      <c r="F126" s="27">
        <f t="shared" si="3"/>
        <v>6527.1540046722439</v>
      </c>
      <c r="G126" s="27">
        <f t="shared" si="2"/>
        <v>11.920832698214145</v>
      </c>
      <c r="H126" s="29">
        <v>63</v>
      </c>
      <c r="I126" s="29">
        <v>2</v>
      </c>
      <c r="J126" s="12" t="s">
        <v>44</v>
      </c>
      <c r="K126" s="30">
        <v>40.849451666699998</v>
      </c>
      <c r="L126" s="30">
        <v>72.135064999999997</v>
      </c>
      <c r="M126" s="22">
        <v>160</v>
      </c>
    </row>
    <row r="127" spans="1:13" ht="30" customHeight="1">
      <c r="A127" s="5" t="s">
        <v>30</v>
      </c>
      <c r="B127" s="30" t="s">
        <v>390</v>
      </c>
      <c r="C127" s="30" t="s">
        <v>229</v>
      </c>
      <c r="D127" s="27">
        <v>8564.2412595165806</v>
      </c>
      <c r="E127" s="28">
        <v>7958.2100815109961</v>
      </c>
      <c r="F127" s="27">
        <f t="shared" si="3"/>
        <v>606.03117800558448</v>
      </c>
      <c r="G127" s="27">
        <f t="shared" si="2"/>
        <v>7.0762973582996969</v>
      </c>
      <c r="H127" s="29">
        <v>41</v>
      </c>
      <c r="I127" s="29">
        <v>2</v>
      </c>
      <c r="J127" s="12" t="s">
        <v>44</v>
      </c>
      <c r="K127" s="30">
        <v>40.845351666699997</v>
      </c>
      <c r="L127" s="30">
        <v>72.155680000000004</v>
      </c>
      <c r="M127" s="14">
        <v>160</v>
      </c>
    </row>
    <row r="128" spans="1:13" ht="30" customHeight="1">
      <c r="A128" s="5" t="s">
        <v>30</v>
      </c>
      <c r="B128" s="30" t="s">
        <v>390</v>
      </c>
      <c r="C128" s="30" t="s">
        <v>230</v>
      </c>
      <c r="D128" s="27">
        <v>7470.6149795165802</v>
      </c>
      <c r="E128" s="28">
        <v>6853.9484148443298</v>
      </c>
      <c r="F128" s="27">
        <f t="shared" si="3"/>
        <v>616.66656467225039</v>
      </c>
      <c r="G128" s="27">
        <f t="shared" si="2"/>
        <v>8.2545622597746906</v>
      </c>
      <c r="H128" s="29">
        <v>40</v>
      </c>
      <c r="I128" s="29">
        <v>2</v>
      </c>
      <c r="J128" s="12" t="s">
        <v>41</v>
      </c>
      <c r="K128" s="30">
        <v>40.847826666700001</v>
      </c>
      <c r="L128" s="30">
        <v>72.157156666700004</v>
      </c>
      <c r="M128" s="22">
        <v>160</v>
      </c>
    </row>
    <row r="129" spans="1:13" ht="30" customHeight="1">
      <c r="A129" s="5" t="s">
        <v>30</v>
      </c>
      <c r="B129" s="30" t="s">
        <v>390</v>
      </c>
      <c r="C129" s="30" t="s">
        <v>231</v>
      </c>
      <c r="D129" s="27">
        <v>9966.5760095165824</v>
      </c>
      <c r="E129" s="28">
        <v>9031.8712481776638</v>
      </c>
      <c r="F129" s="27">
        <f t="shared" si="3"/>
        <v>934.70476133891862</v>
      </c>
      <c r="G129" s="27">
        <f t="shared" si="2"/>
        <v>9.3783939483972834</v>
      </c>
      <c r="H129" s="29">
        <v>158</v>
      </c>
      <c r="I129" s="29">
        <v>2</v>
      </c>
      <c r="J129" s="12" t="s">
        <v>41</v>
      </c>
      <c r="K129" s="30">
        <v>40.850563333300002</v>
      </c>
      <c r="L129" s="30">
        <v>72.157133333299996</v>
      </c>
      <c r="M129" s="14">
        <v>160</v>
      </c>
    </row>
    <row r="130" spans="1:13" ht="30" customHeight="1">
      <c r="A130" s="5" t="s">
        <v>30</v>
      </c>
      <c r="B130" s="30" t="s">
        <v>384</v>
      </c>
      <c r="C130" s="30" t="s">
        <v>96</v>
      </c>
      <c r="D130" s="27">
        <v>17220.355589516585</v>
      </c>
      <c r="E130" s="28">
        <v>15678.821748177666</v>
      </c>
      <c r="F130" s="27">
        <f t="shared" si="3"/>
        <v>1541.5338413389181</v>
      </c>
      <c r="G130" s="27">
        <f t="shared" si="2"/>
        <v>8.9518119026379086</v>
      </c>
      <c r="H130" s="29">
        <v>96</v>
      </c>
      <c r="I130" s="29">
        <v>2</v>
      </c>
      <c r="J130" s="12" t="s">
        <v>41</v>
      </c>
      <c r="K130" s="30">
        <v>40.876168333300001</v>
      </c>
      <c r="L130" s="30">
        <v>71.945710000000005</v>
      </c>
      <c r="M130" s="14">
        <v>250</v>
      </c>
    </row>
    <row r="131" spans="1:13" ht="30" customHeight="1">
      <c r="A131" s="5" t="s">
        <v>30</v>
      </c>
      <c r="B131" s="30" t="s">
        <v>392</v>
      </c>
      <c r="C131" s="30" t="s">
        <v>232</v>
      </c>
      <c r="D131" s="27">
        <v>39809.333629516586</v>
      </c>
      <c r="E131" s="28">
        <v>35276.938581510993</v>
      </c>
      <c r="F131" s="27">
        <f t="shared" si="3"/>
        <v>4532.3950480055937</v>
      </c>
      <c r="G131" s="27">
        <f t="shared" ref="G131:G194" si="4">+F131*100/D131</f>
        <v>11.385257261993088</v>
      </c>
      <c r="H131" s="29">
        <v>51</v>
      </c>
      <c r="I131" s="29">
        <v>1</v>
      </c>
      <c r="J131" s="12" t="s">
        <v>41</v>
      </c>
      <c r="K131" s="30">
        <v>40.833511839099998</v>
      </c>
      <c r="L131" s="30">
        <v>72.151867640199995</v>
      </c>
      <c r="M131" s="14">
        <v>160</v>
      </c>
    </row>
    <row r="132" spans="1:13" ht="30" customHeight="1">
      <c r="A132" s="5" t="s">
        <v>30</v>
      </c>
      <c r="B132" s="30" t="s">
        <v>392</v>
      </c>
      <c r="C132" s="30" t="s">
        <v>233</v>
      </c>
      <c r="D132" s="27">
        <v>10080.334729516584</v>
      </c>
      <c r="E132" s="28">
        <v>9421.1852481776623</v>
      </c>
      <c r="F132" s="27">
        <f t="shared" si="3"/>
        <v>659.14948133892176</v>
      </c>
      <c r="G132" s="27">
        <f t="shared" si="4"/>
        <v>6.538964221186454</v>
      </c>
      <c r="H132" s="29">
        <v>51</v>
      </c>
      <c r="I132" s="29">
        <v>1</v>
      </c>
      <c r="J132" s="12" t="s">
        <v>41</v>
      </c>
      <c r="K132" s="30">
        <v>40.829519256700003</v>
      </c>
      <c r="L132" s="30">
        <v>72.156100756300006</v>
      </c>
      <c r="M132" s="14">
        <v>160</v>
      </c>
    </row>
    <row r="133" spans="1:13" ht="30" customHeight="1">
      <c r="A133" s="5" t="s">
        <v>30</v>
      </c>
      <c r="B133" s="30" t="s">
        <v>388</v>
      </c>
      <c r="C133" s="30" t="s">
        <v>234</v>
      </c>
      <c r="D133" s="27">
        <v>12494.610169516582</v>
      </c>
      <c r="E133" s="28">
        <v>11244.906914844334</v>
      </c>
      <c r="F133" s="27">
        <f t="shared" ref="F133:F196" si="5">+D133-E133</f>
        <v>1249.7032546722476</v>
      </c>
      <c r="G133" s="27">
        <f t="shared" si="4"/>
        <v>10.00193873772213</v>
      </c>
      <c r="H133" s="29">
        <v>114</v>
      </c>
      <c r="I133" s="29">
        <v>1</v>
      </c>
      <c r="J133" s="12" t="s">
        <v>43</v>
      </c>
      <c r="K133" s="30">
        <v>40.876078333300001</v>
      </c>
      <c r="L133" s="30">
        <v>71.987033333300005</v>
      </c>
      <c r="M133" s="14">
        <v>40</v>
      </c>
    </row>
    <row r="134" spans="1:13" ht="30" customHeight="1">
      <c r="A134" s="5" t="s">
        <v>30</v>
      </c>
      <c r="B134" s="30" t="s">
        <v>391</v>
      </c>
      <c r="C134" s="30" t="s">
        <v>235</v>
      </c>
      <c r="D134" s="27">
        <v>15524.577839516591</v>
      </c>
      <c r="E134" s="28">
        <v>13900.926248177664</v>
      </c>
      <c r="F134" s="27">
        <f t="shared" si="5"/>
        <v>1623.6515913389267</v>
      </c>
      <c r="G134" s="27">
        <f t="shared" si="4"/>
        <v>10.458587718926884</v>
      </c>
      <c r="H134" s="29">
        <v>145</v>
      </c>
      <c r="I134" s="29">
        <v>2</v>
      </c>
      <c r="J134" s="12" t="s">
        <v>43</v>
      </c>
      <c r="K134" s="30">
        <v>40.846466666700003</v>
      </c>
      <c r="L134" s="30">
        <v>72.057214999999999</v>
      </c>
      <c r="M134" s="14">
        <v>160</v>
      </c>
    </row>
    <row r="135" spans="1:13" ht="30" customHeight="1">
      <c r="A135" s="5" t="s">
        <v>30</v>
      </c>
      <c r="B135" s="30" t="s">
        <v>389</v>
      </c>
      <c r="C135" s="30" t="s">
        <v>236</v>
      </c>
      <c r="D135" s="27">
        <v>12150.448509516586</v>
      </c>
      <c r="E135" s="28">
        <v>10936.750748177667</v>
      </c>
      <c r="F135" s="27">
        <f t="shared" si="5"/>
        <v>1213.697761338919</v>
      </c>
      <c r="G135" s="27">
        <f t="shared" si="4"/>
        <v>9.9889132519537487</v>
      </c>
      <c r="H135" s="29">
        <v>65</v>
      </c>
      <c r="I135" s="29">
        <v>2</v>
      </c>
      <c r="J135" s="12"/>
      <c r="K135" s="30">
        <v>40.877453333299997</v>
      </c>
      <c r="L135" s="30">
        <v>72.071951666700002</v>
      </c>
      <c r="M135" s="14">
        <v>160</v>
      </c>
    </row>
    <row r="136" spans="1:13" ht="30" customHeight="1">
      <c r="A136" s="5" t="s">
        <v>30</v>
      </c>
      <c r="B136" s="30" t="s">
        <v>391</v>
      </c>
      <c r="C136" s="30" t="s">
        <v>237</v>
      </c>
      <c r="D136" s="27">
        <v>14055.743359516584</v>
      </c>
      <c r="E136" s="28">
        <v>12720.359748177663</v>
      </c>
      <c r="F136" s="27">
        <f t="shared" si="5"/>
        <v>1335.3836113389207</v>
      </c>
      <c r="G136" s="27">
        <f t="shared" si="4"/>
        <v>9.5006260229899944</v>
      </c>
      <c r="H136" s="29">
        <v>92</v>
      </c>
      <c r="I136" s="29">
        <v>4</v>
      </c>
      <c r="J136" s="12" t="s">
        <v>27</v>
      </c>
      <c r="K136" s="30">
        <v>40.849350000000001</v>
      </c>
      <c r="L136" s="30">
        <v>72.064971666700004</v>
      </c>
      <c r="M136" s="14">
        <v>100</v>
      </c>
    </row>
    <row r="137" spans="1:13" ht="30" customHeight="1">
      <c r="A137" s="5" t="s">
        <v>30</v>
      </c>
      <c r="B137" s="30" t="s">
        <v>391</v>
      </c>
      <c r="C137" s="30" t="s">
        <v>238</v>
      </c>
      <c r="D137" s="27">
        <v>9162.7647695165833</v>
      </c>
      <c r="E137" s="28">
        <v>8324.7775815109962</v>
      </c>
      <c r="F137" s="27">
        <f t="shared" si="5"/>
        <v>837.98718800558709</v>
      </c>
      <c r="G137" s="27">
        <f t="shared" si="4"/>
        <v>9.1455713322846588</v>
      </c>
      <c r="H137" s="29">
        <v>41</v>
      </c>
      <c r="I137" s="29">
        <v>1</v>
      </c>
      <c r="J137" s="12" t="s">
        <v>27</v>
      </c>
      <c r="K137" s="30">
        <v>40.843751666700001</v>
      </c>
      <c r="L137" s="30">
        <v>72.084658333299998</v>
      </c>
      <c r="M137" s="14">
        <v>160</v>
      </c>
    </row>
    <row r="138" spans="1:13" ht="30" customHeight="1">
      <c r="A138" s="5" t="s">
        <v>30</v>
      </c>
      <c r="B138" s="30" t="s">
        <v>391</v>
      </c>
      <c r="C138" s="30" t="s">
        <v>239</v>
      </c>
      <c r="D138" s="27">
        <v>10021.357419516584</v>
      </c>
      <c r="E138" s="28">
        <v>9193.2777481776629</v>
      </c>
      <c r="F138" s="27">
        <f t="shared" si="5"/>
        <v>828.07967133892089</v>
      </c>
      <c r="G138" s="27">
        <f t="shared" si="4"/>
        <v>8.2631487599298321</v>
      </c>
      <c r="H138" s="29">
        <v>149</v>
      </c>
      <c r="I138" s="29">
        <v>2</v>
      </c>
      <c r="J138" s="12" t="s">
        <v>41</v>
      </c>
      <c r="K138" s="30">
        <v>40.822108333300001</v>
      </c>
      <c r="L138" s="30">
        <v>72.138861666699995</v>
      </c>
      <c r="M138" s="14">
        <v>400</v>
      </c>
    </row>
    <row r="139" spans="1:13" ht="30" customHeight="1">
      <c r="A139" s="5" t="s">
        <v>30</v>
      </c>
      <c r="B139" s="30" t="s">
        <v>391</v>
      </c>
      <c r="C139" s="30" t="s">
        <v>240</v>
      </c>
      <c r="D139" s="27">
        <v>12449.536549516582</v>
      </c>
      <c r="E139" s="28">
        <v>11286.253914844328</v>
      </c>
      <c r="F139" s="27">
        <f t="shared" si="5"/>
        <v>1163.2826346722541</v>
      </c>
      <c r="G139" s="27">
        <f t="shared" si="4"/>
        <v>9.3439834490660179</v>
      </c>
      <c r="H139" s="29">
        <v>55</v>
      </c>
      <c r="I139" s="29">
        <v>1</v>
      </c>
      <c r="J139" s="12" t="s">
        <v>42</v>
      </c>
      <c r="K139" s="30">
        <v>40.845888333300003</v>
      </c>
      <c r="L139" s="30">
        <v>72.078975</v>
      </c>
      <c r="M139" s="14">
        <v>40</v>
      </c>
    </row>
    <row r="140" spans="1:13" ht="30" customHeight="1">
      <c r="A140" s="5" t="s">
        <v>30</v>
      </c>
      <c r="B140" s="30" t="s">
        <v>391</v>
      </c>
      <c r="C140" s="30" t="s">
        <v>241</v>
      </c>
      <c r="D140" s="27">
        <v>13467.012609516585</v>
      </c>
      <c r="E140" s="28">
        <v>12082.830248177663</v>
      </c>
      <c r="F140" s="27">
        <f t="shared" si="5"/>
        <v>1384.1823613389224</v>
      </c>
      <c r="G140" s="27">
        <f t="shared" si="4"/>
        <v>10.27831785321696</v>
      </c>
      <c r="H140" s="29">
        <v>139</v>
      </c>
      <c r="I140" s="29">
        <v>4</v>
      </c>
      <c r="J140" s="12" t="s">
        <v>27</v>
      </c>
      <c r="K140" s="30">
        <v>40.831020376700003</v>
      </c>
      <c r="L140" s="30">
        <v>72.119740415600006</v>
      </c>
      <c r="M140" s="14">
        <v>100</v>
      </c>
    </row>
    <row r="141" spans="1:13" ht="30" customHeight="1">
      <c r="A141" s="5" t="s">
        <v>30</v>
      </c>
      <c r="B141" s="30" t="s">
        <v>391</v>
      </c>
      <c r="C141" s="30" t="s">
        <v>242</v>
      </c>
      <c r="D141" s="27">
        <v>10393.373929516583</v>
      </c>
      <c r="E141" s="28">
        <v>9573.8880815109951</v>
      </c>
      <c r="F141" s="27">
        <f t="shared" si="5"/>
        <v>819.4858480055882</v>
      </c>
      <c r="G141" s="27">
        <f t="shared" si="4"/>
        <v>7.8846951294448822</v>
      </c>
      <c r="H141" s="29">
        <v>135</v>
      </c>
      <c r="I141" s="29">
        <v>2</v>
      </c>
      <c r="J141" s="12" t="s">
        <v>44</v>
      </c>
      <c r="K141" s="30">
        <v>40.8254529031</v>
      </c>
      <c r="L141" s="30">
        <v>72.125863367899996</v>
      </c>
      <c r="M141" s="14">
        <v>100</v>
      </c>
    </row>
    <row r="142" spans="1:13" ht="30" customHeight="1">
      <c r="A142" s="5" t="s">
        <v>30</v>
      </c>
      <c r="B142" s="30" t="s">
        <v>391</v>
      </c>
      <c r="C142" s="30" t="s">
        <v>243</v>
      </c>
      <c r="D142" s="27">
        <v>8436.8969695165815</v>
      </c>
      <c r="E142" s="28">
        <v>7861.543581510994</v>
      </c>
      <c r="F142" s="27">
        <f t="shared" si="5"/>
        <v>575.35338800558748</v>
      </c>
      <c r="G142" s="27">
        <f t="shared" si="4"/>
        <v>6.819490507996024</v>
      </c>
      <c r="H142" s="29">
        <v>57</v>
      </c>
      <c r="I142" s="29">
        <v>1</v>
      </c>
      <c r="J142" s="12" t="s">
        <v>41</v>
      </c>
      <c r="K142" s="30">
        <v>40.8212983333</v>
      </c>
      <c r="L142" s="30">
        <v>72.128469999999993</v>
      </c>
      <c r="M142" s="14">
        <v>160</v>
      </c>
    </row>
    <row r="143" spans="1:13" ht="30" customHeight="1">
      <c r="A143" s="5" t="s">
        <v>30</v>
      </c>
      <c r="B143" s="30" t="s">
        <v>391</v>
      </c>
      <c r="C143" s="30" t="s">
        <v>244</v>
      </c>
      <c r="D143" s="27">
        <v>10227.282929516583</v>
      </c>
      <c r="E143" s="28">
        <v>9260.6024148443285</v>
      </c>
      <c r="F143" s="27">
        <f t="shared" si="5"/>
        <v>966.6805146722545</v>
      </c>
      <c r="G143" s="27">
        <f t="shared" si="4"/>
        <v>9.4519778257268463</v>
      </c>
      <c r="H143" s="29">
        <v>61</v>
      </c>
      <c r="I143" s="29">
        <v>1</v>
      </c>
      <c r="J143" s="12" t="s">
        <v>31</v>
      </c>
      <c r="K143" s="30">
        <v>40.817111666700001</v>
      </c>
      <c r="L143" s="30">
        <v>72.1181916667</v>
      </c>
      <c r="M143" s="14">
        <v>63</v>
      </c>
    </row>
    <row r="144" spans="1:13" ht="30" customHeight="1">
      <c r="A144" s="5" t="s">
        <v>30</v>
      </c>
      <c r="B144" s="30" t="s">
        <v>391</v>
      </c>
      <c r="C144" s="30" t="s">
        <v>245</v>
      </c>
      <c r="D144" s="27">
        <v>9993.3266695165839</v>
      </c>
      <c r="E144" s="28">
        <v>9063.6097481776633</v>
      </c>
      <c r="F144" s="27">
        <f t="shared" si="5"/>
        <v>929.71692133892066</v>
      </c>
      <c r="G144" s="27">
        <f t="shared" si="4"/>
        <v>9.3033776647661082</v>
      </c>
      <c r="H144" s="29">
        <v>66</v>
      </c>
      <c r="I144" s="29">
        <v>4</v>
      </c>
      <c r="J144" s="12" t="s">
        <v>41</v>
      </c>
      <c r="K144" s="30">
        <v>40.820258333300004</v>
      </c>
      <c r="L144" s="30">
        <v>72.133414999999999</v>
      </c>
      <c r="M144" s="14">
        <v>100</v>
      </c>
    </row>
    <row r="145" spans="1:13" ht="30" customHeight="1">
      <c r="A145" s="5" t="s">
        <v>30</v>
      </c>
      <c r="B145" s="30" t="s">
        <v>391</v>
      </c>
      <c r="C145" s="30" t="s">
        <v>246</v>
      </c>
      <c r="D145" s="27">
        <v>9768.1894595165868</v>
      </c>
      <c r="E145" s="28">
        <v>8860.2280815109953</v>
      </c>
      <c r="F145" s="27">
        <f t="shared" si="5"/>
        <v>907.96137800559154</v>
      </c>
      <c r="G145" s="27">
        <f t="shared" si="4"/>
        <v>9.2950836157361465</v>
      </c>
      <c r="H145" s="29">
        <v>36</v>
      </c>
      <c r="I145" s="29">
        <v>4</v>
      </c>
      <c r="J145" s="12" t="s">
        <v>22</v>
      </c>
      <c r="K145" s="30">
        <v>40.8469716667</v>
      </c>
      <c r="L145" s="30">
        <v>72.074391666699995</v>
      </c>
      <c r="M145" s="14">
        <v>160</v>
      </c>
    </row>
    <row r="146" spans="1:13" ht="30" customHeight="1">
      <c r="A146" s="5" t="s">
        <v>30</v>
      </c>
      <c r="B146" s="30" t="s">
        <v>392</v>
      </c>
      <c r="C146" s="30" t="s">
        <v>247</v>
      </c>
      <c r="D146" s="27">
        <v>10441.967769516583</v>
      </c>
      <c r="E146" s="28">
        <v>9630.5070815109957</v>
      </c>
      <c r="F146" s="27">
        <f t="shared" si="5"/>
        <v>811.46068800558714</v>
      </c>
      <c r="G146" s="27">
        <f t="shared" si="4"/>
        <v>7.7711472197270934</v>
      </c>
      <c r="H146" s="29">
        <v>31</v>
      </c>
      <c r="I146" s="29">
        <v>4</v>
      </c>
      <c r="J146" s="12" t="s">
        <v>31</v>
      </c>
      <c r="K146" s="30">
        <v>40.820270000000001</v>
      </c>
      <c r="L146" s="30">
        <v>72.169821666700003</v>
      </c>
      <c r="M146" s="14">
        <v>160</v>
      </c>
    </row>
    <row r="147" spans="1:13" ht="30" customHeight="1">
      <c r="A147" s="5" t="s">
        <v>45</v>
      </c>
      <c r="B147" s="30" t="s">
        <v>392</v>
      </c>
      <c r="C147" s="30" t="s">
        <v>248</v>
      </c>
      <c r="D147" s="27">
        <v>7860.388909516585</v>
      </c>
      <c r="E147" s="28">
        <v>7188.5467481776632</v>
      </c>
      <c r="F147" s="27">
        <f t="shared" si="5"/>
        <v>671.84216133892187</v>
      </c>
      <c r="G147" s="27">
        <f t="shared" si="4"/>
        <v>8.5471872838953491</v>
      </c>
      <c r="H147" s="29">
        <v>60</v>
      </c>
      <c r="I147" s="29">
        <v>1</v>
      </c>
      <c r="J147" s="12" t="s">
        <v>46</v>
      </c>
      <c r="K147" s="30">
        <v>40.834253333299998</v>
      </c>
      <c r="L147" s="30">
        <v>72.203491666700003</v>
      </c>
      <c r="M147" s="20">
        <v>100</v>
      </c>
    </row>
    <row r="148" spans="1:13" ht="30" customHeight="1">
      <c r="A148" s="5" t="s">
        <v>45</v>
      </c>
      <c r="B148" s="30" t="s">
        <v>392</v>
      </c>
      <c r="C148" s="30" t="s">
        <v>249</v>
      </c>
      <c r="D148" s="27">
        <v>19461.846939516585</v>
      </c>
      <c r="E148" s="28">
        <v>17539.225248177667</v>
      </c>
      <c r="F148" s="27">
        <f t="shared" si="5"/>
        <v>1922.621691338918</v>
      </c>
      <c r="G148" s="27">
        <f t="shared" si="4"/>
        <v>9.8789272020997316</v>
      </c>
      <c r="H148" s="29">
        <v>101</v>
      </c>
      <c r="I148" s="29">
        <v>4</v>
      </c>
      <c r="J148" s="12" t="s">
        <v>46</v>
      </c>
      <c r="K148" s="30">
        <v>40.837441666700002</v>
      </c>
      <c r="L148" s="30">
        <v>72.2019633333</v>
      </c>
      <c r="M148" s="20">
        <v>100</v>
      </c>
    </row>
    <row r="149" spans="1:13" ht="30" customHeight="1">
      <c r="A149" s="5" t="s">
        <v>45</v>
      </c>
      <c r="B149" s="30" t="s">
        <v>392</v>
      </c>
      <c r="C149" s="30" t="s">
        <v>250</v>
      </c>
      <c r="D149" s="27">
        <v>16250.518849516586</v>
      </c>
      <c r="E149" s="28">
        <v>14521.299414844329</v>
      </c>
      <c r="F149" s="27">
        <f t="shared" si="5"/>
        <v>1729.2194346722572</v>
      </c>
      <c r="G149" s="27">
        <f t="shared" si="4"/>
        <v>10.641010608247116</v>
      </c>
      <c r="H149" s="29">
        <v>117</v>
      </c>
      <c r="I149" s="29">
        <v>1</v>
      </c>
      <c r="J149" s="12" t="s">
        <v>47</v>
      </c>
      <c r="K149" s="30">
        <v>40.832535</v>
      </c>
      <c r="L149" s="30">
        <v>72.175714999999997</v>
      </c>
      <c r="M149" s="20">
        <v>160</v>
      </c>
    </row>
    <row r="150" spans="1:13" ht="30" customHeight="1">
      <c r="A150" s="5" t="s">
        <v>45</v>
      </c>
      <c r="B150" s="30" t="s">
        <v>385</v>
      </c>
      <c r="C150" s="30" t="s">
        <v>251</v>
      </c>
      <c r="D150" s="27">
        <v>13131.328979516582</v>
      </c>
      <c r="E150" s="28">
        <v>11889.800081510995</v>
      </c>
      <c r="F150" s="27">
        <f t="shared" si="5"/>
        <v>1241.5288980055866</v>
      </c>
      <c r="G150" s="27">
        <f t="shared" si="4"/>
        <v>9.4547086585237032</v>
      </c>
      <c r="H150" s="29">
        <v>68</v>
      </c>
      <c r="I150" s="29">
        <v>1</v>
      </c>
      <c r="J150" s="12" t="s">
        <v>47</v>
      </c>
      <c r="K150" s="30">
        <v>40.862508333299999</v>
      </c>
      <c r="L150" s="30">
        <v>72.001638333299994</v>
      </c>
      <c r="M150" s="20">
        <v>63</v>
      </c>
    </row>
    <row r="151" spans="1:13" ht="30" customHeight="1">
      <c r="A151" s="5" t="s">
        <v>45</v>
      </c>
      <c r="B151" s="30" t="s">
        <v>387</v>
      </c>
      <c r="C151" s="30" t="s">
        <v>252</v>
      </c>
      <c r="D151" s="27">
        <v>12519.537899516587</v>
      </c>
      <c r="E151" s="28">
        <v>11252.611248177665</v>
      </c>
      <c r="F151" s="27">
        <f t="shared" si="5"/>
        <v>1266.9266513389211</v>
      </c>
      <c r="G151" s="27">
        <f t="shared" si="4"/>
        <v>10.119595958792063</v>
      </c>
      <c r="H151" s="29">
        <v>81</v>
      </c>
      <c r="I151" s="29">
        <v>1</v>
      </c>
      <c r="J151" s="12" t="s">
        <v>46</v>
      </c>
      <c r="K151" s="30">
        <v>40.881864999999998</v>
      </c>
      <c r="L151" s="30">
        <v>71.974893333300002</v>
      </c>
      <c r="M151" s="20">
        <v>250</v>
      </c>
    </row>
    <row r="152" spans="1:13" ht="30" customHeight="1">
      <c r="A152" s="5" t="s">
        <v>45</v>
      </c>
      <c r="B152" s="30" t="s">
        <v>387</v>
      </c>
      <c r="C152" s="30" t="s">
        <v>253</v>
      </c>
      <c r="D152" s="27">
        <v>12645.434839516585</v>
      </c>
      <c r="E152" s="28">
        <v>11598.049414844332</v>
      </c>
      <c r="F152" s="27">
        <f t="shared" si="5"/>
        <v>1047.3854246722531</v>
      </c>
      <c r="G152" s="27">
        <f t="shared" si="4"/>
        <v>8.2827157623651395</v>
      </c>
      <c r="H152" s="29">
        <v>53</v>
      </c>
      <c r="I152" s="29">
        <v>1</v>
      </c>
      <c r="J152" s="12" t="s">
        <v>47</v>
      </c>
      <c r="K152" s="30">
        <v>40.871471666700003</v>
      </c>
      <c r="L152" s="30">
        <v>71.970541666700001</v>
      </c>
      <c r="M152" s="20">
        <v>63</v>
      </c>
    </row>
    <row r="153" spans="1:13" ht="30" customHeight="1">
      <c r="A153" s="5" t="s">
        <v>45</v>
      </c>
      <c r="B153" s="30" t="s">
        <v>391</v>
      </c>
      <c r="C153" s="30" t="s">
        <v>254</v>
      </c>
      <c r="D153" s="27">
        <v>18920.302109516586</v>
      </c>
      <c r="E153" s="28">
        <v>17077.614081510997</v>
      </c>
      <c r="F153" s="27">
        <f t="shared" si="5"/>
        <v>1842.6880280055884</v>
      </c>
      <c r="G153" s="27">
        <f t="shared" si="4"/>
        <v>9.7392103854343226</v>
      </c>
      <c r="H153" s="29">
        <v>138</v>
      </c>
      <c r="I153" s="29">
        <v>4</v>
      </c>
      <c r="J153" s="12" t="s">
        <v>47</v>
      </c>
      <c r="K153" s="30">
        <v>40.847968333300003</v>
      </c>
      <c r="L153" s="30">
        <v>72.039503333300004</v>
      </c>
      <c r="M153" s="20">
        <v>100</v>
      </c>
    </row>
    <row r="154" spans="1:13" ht="30" customHeight="1">
      <c r="A154" s="5" t="s">
        <v>45</v>
      </c>
      <c r="B154" s="30" t="s">
        <v>391</v>
      </c>
      <c r="C154" s="30" t="s">
        <v>255</v>
      </c>
      <c r="D154" s="27">
        <v>10681.293359516583</v>
      </c>
      <c r="E154" s="28">
        <v>9650.1184148443317</v>
      </c>
      <c r="F154" s="27">
        <f t="shared" si="5"/>
        <v>1031.1749446722515</v>
      </c>
      <c r="G154" s="27">
        <f t="shared" si="4"/>
        <v>9.6540269980836921</v>
      </c>
      <c r="H154" s="29">
        <v>92</v>
      </c>
      <c r="I154" s="29">
        <v>1</v>
      </c>
      <c r="J154" s="12" t="s">
        <v>47</v>
      </c>
      <c r="K154" s="30">
        <v>40.817636666699997</v>
      </c>
      <c r="L154" s="30">
        <v>72.128388333299995</v>
      </c>
      <c r="M154" s="20">
        <v>100</v>
      </c>
    </row>
    <row r="155" spans="1:13" ht="30" customHeight="1">
      <c r="A155" s="5" t="s">
        <v>45</v>
      </c>
      <c r="B155" s="30" t="s">
        <v>390</v>
      </c>
      <c r="C155" s="30" t="s">
        <v>256</v>
      </c>
      <c r="D155" s="27">
        <v>16618.747329516591</v>
      </c>
      <c r="E155" s="28">
        <v>14838.330081511</v>
      </c>
      <c r="F155" s="27">
        <f t="shared" si="5"/>
        <v>1780.4172480055913</v>
      </c>
      <c r="G155" s="27">
        <f t="shared" si="4"/>
        <v>10.713305959248737</v>
      </c>
      <c r="H155" s="29">
        <v>101</v>
      </c>
      <c r="I155" s="29">
        <v>1</v>
      </c>
      <c r="J155" s="12" t="s">
        <v>48</v>
      </c>
      <c r="K155" s="30">
        <v>40.863979999999998</v>
      </c>
      <c r="L155" s="30">
        <v>72.082644999999999</v>
      </c>
      <c r="M155" s="20">
        <v>160</v>
      </c>
    </row>
    <row r="156" spans="1:13" ht="30" customHeight="1">
      <c r="A156" s="5" t="s">
        <v>45</v>
      </c>
      <c r="B156" s="30" t="s">
        <v>388</v>
      </c>
      <c r="C156" s="30" t="s">
        <v>257</v>
      </c>
      <c r="D156" s="27">
        <v>34008.502979516576</v>
      </c>
      <c r="E156" s="28">
        <v>30068.492581510985</v>
      </c>
      <c r="F156" s="27">
        <f t="shared" si="5"/>
        <v>3940.0103980055901</v>
      </c>
      <c r="G156" s="27">
        <f t="shared" si="4"/>
        <v>11.585368519098504</v>
      </c>
      <c r="H156" s="29">
        <v>117</v>
      </c>
      <c r="I156" s="29">
        <v>1</v>
      </c>
      <c r="J156" s="12" t="s">
        <v>48</v>
      </c>
      <c r="K156" s="30">
        <v>40.869881666700003</v>
      </c>
      <c r="L156" s="30">
        <v>71.981340000000003</v>
      </c>
      <c r="M156" s="20">
        <v>250</v>
      </c>
    </row>
    <row r="157" spans="1:13" ht="30" customHeight="1">
      <c r="A157" s="5" t="s">
        <v>45</v>
      </c>
      <c r="B157" s="30" t="s">
        <v>387</v>
      </c>
      <c r="C157" s="30" t="s">
        <v>258</v>
      </c>
      <c r="D157" s="27">
        <v>9983.0458395165842</v>
      </c>
      <c r="E157" s="28">
        <v>9036.0225815109989</v>
      </c>
      <c r="F157" s="27">
        <f t="shared" si="5"/>
        <v>947.02325800558538</v>
      </c>
      <c r="G157" s="27">
        <f t="shared" si="4"/>
        <v>9.4863158321573309</v>
      </c>
      <c r="H157" s="29">
        <v>66</v>
      </c>
      <c r="I157" s="29">
        <v>1</v>
      </c>
      <c r="J157" s="12" t="s">
        <v>47</v>
      </c>
      <c r="K157" s="30">
        <v>40.883203333300003</v>
      </c>
      <c r="L157" s="30">
        <v>71.969184999999996</v>
      </c>
      <c r="M157" s="14">
        <v>100</v>
      </c>
    </row>
    <row r="158" spans="1:13" ht="30" customHeight="1">
      <c r="A158" s="5" t="s">
        <v>45</v>
      </c>
      <c r="B158" s="30" t="s">
        <v>389</v>
      </c>
      <c r="C158" s="30" t="s">
        <v>259</v>
      </c>
      <c r="D158" s="27">
        <v>9470.5399795165831</v>
      </c>
      <c r="E158" s="28">
        <v>8588.9182481776625</v>
      </c>
      <c r="F158" s="27">
        <f t="shared" si="5"/>
        <v>881.62173133892065</v>
      </c>
      <c r="G158" s="27">
        <f t="shared" si="4"/>
        <v>9.3090967700441762</v>
      </c>
      <c r="H158" s="29">
        <v>32</v>
      </c>
      <c r="I158" s="29">
        <v>1</v>
      </c>
      <c r="J158" s="12" t="s">
        <v>49</v>
      </c>
      <c r="K158" s="30">
        <v>40.877465000000001</v>
      </c>
      <c r="L158" s="30">
        <v>72.08811</v>
      </c>
      <c r="M158" s="14">
        <v>250</v>
      </c>
    </row>
    <row r="159" spans="1:13" ht="30" customHeight="1">
      <c r="A159" s="5" t="s">
        <v>45</v>
      </c>
      <c r="B159" s="30" t="s">
        <v>387</v>
      </c>
      <c r="C159" s="30" t="s">
        <v>260</v>
      </c>
      <c r="D159" s="27">
        <v>11855.472989516586</v>
      </c>
      <c r="E159" s="28">
        <v>11035.474248177661</v>
      </c>
      <c r="F159" s="27">
        <f t="shared" si="5"/>
        <v>819.99874133892445</v>
      </c>
      <c r="G159" s="27">
        <f t="shared" si="4"/>
        <v>6.9166261191267786</v>
      </c>
      <c r="H159" s="29">
        <v>50</v>
      </c>
      <c r="I159" s="29">
        <v>1</v>
      </c>
      <c r="J159" s="12" t="s">
        <v>20</v>
      </c>
      <c r="K159" s="30">
        <v>40.886789999999998</v>
      </c>
      <c r="L159" s="30">
        <v>71.967898333299999</v>
      </c>
      <c r="M159" s="14">
        <v>100</v>
      </c>
    </row>
    <row r="160" spans="1:13" ht="30" customHeight="1">
      <c r="A160" s="5" t="s">
        <v>45</v>
      </c>
      <c r="B160" s="30" t="s">
        <v>391</v>
      </c>
      <c r="C160" s="30" t="s">
        <v>261</v>
      </c>
      <c r="D160" s="27">
        <v>15225.882809516586</v>
      </c>
      <c r="E160" s="28">
        <v>13984.214248177665</v>
      </c>
      <c r="F160" s="27">
        <f t="shared" si="5"/>
        <v>1241.6685613389218</v>
      </c>
      <c r="G160" s="27">
        <f t="shared" si="4"/>
        <v>8.1549856706032529</v>
      </c>
      <c r="H160" s="29">
        <v>73</v>
      </c>
      <c r="I160" s="29">
        <v>2</v>
      </c>
      <c r="J160" s="12" t="s">
        <v>48</v>
      </c>
      <c r="K160" s="30">
        <v>40.813769904799997</v>
      </c>
      <c r="L160" s="30">
        <v>72.127671415400002</v>
      </c>
      <c r="M160" s="14">
        <v>100</v>
      </c>
    </row>
    <row r="161" spans="1:13" ht="30" customHeight="1">
      <c r="A161" s="5" t="s">
        <v>45</v>
      </c>
      <c r="B161" s="30" t="s">
        <v>387</v>
      </c>
      <c r="C161" s="30" t="s">
        <v>262</v>
      </c>
      <c r="D161" s="27">
        <v>11997.38405951658</v>
      </c>
      <c r="E161" s="28">
        <v>11159.630914844331</v>
      </c>
      <c r="F161" s="27">
        <f t="shared" si="5"/>
        <v>837.75314467224962</v>
      </c>
      <c r="G161" s="27">
        <f t="shared" si="4"/>
        <v>6.9827984210251737</v>
      </c>
      <c r="H161" s="29">
        <v>145</v>
      </c>
      <c r="I161" s="29">
        <v>2</v>
      </c>
      <c r="J161" s="12" t="s">
        <v>29</v>
      </c>
      <c r="K161" s="30">
        <v>40.868474999999997</v>
      </c>
      <c r="L161" s="30">
        <v>71.973686666700004</v>
      </c>
      <c r="M161" s="14">
        <v>100</v>
      </c>
    </row>
    <row r="162" spans="1:13" ht="30" customHeight="1">
      <c r="A162" s="5" t="s">
        <v>45</v>
      </c>
      <c r="B162" s="30" t="s">
        <v>389</v>
      </c>
      <c r="C162" s="30" t="s">
        <v>263</v>
      </c>
      <c r="D162" s="27">
        <v>14165.731259516584</v>
      </c>
      <c r="E162" s="28">
        <v>13056.697581510998</v>
      </c>
      <c r="F162" s="27">
        <f t="shared" si="5"/>
        <v>1109.0336780055859</v>
      </c>
      <c r="G162" s="27">
        <f t="shared" si="4"/>
        <v>7.8289899595584487</v>
      </c>
      <c r="H162" s="29">
        <v>226</v>
      </c>
      <c r="I162" s="29">
        <v>2</v>
      </c>
      <c r="J162" s="12" t="s">
        <v>46</v>
      </c>
      <c r="K162" s="30">
        <v>40.877846666700002</v>
      </c>
      <c r="L162" s="30">
        <v>72.089301666699996</v>
      </c>
      <c r="M162" s="14">
        <v>100</v>
      </c>
    </row>
    <row r="163" spans="1:13" ht="30" customHeight="1">
      <c r="A163" s="5" t="s">
        <v>30</v>
      </c>
      <c r="B163" s="30" t="s">
        <v>392</v>
      </c>
      <c r="C163" s="30" t="s">
        <v>264</v>
      </c>
      <c r="D163" s="27">
        <v>18543.390779516587</v>
      </c>
      <c r="E163" s="28">
        <v>16886.67091484433</v>
      </c>
      <c r="F163" s="27">
        <f t="shared" si="5"/>
        <v>1656.7198646722572</v>
      </c>
      <c r="G163" s="27">
        <f t="shared" si="4"/>
        <v>8.9342876088352945</v>
      </c>
      <c r="H163" s="29">
        <v>84</v>
      </c>
      <c r="I163" s="29">
        <v>2</v>
      </c>
      <c r="J163" s="12" t="s">
        <v>36</v>
      </c>
      <c r="K163" s="30">
        <v>40.820733333299998</v>
      </c>
      <c r="L163" s="30">
        <v>72.163296666700006</v>
      </c>
      <c r="M163" s="20">
        <v>63</v>
      </c>
    </row>
    <row r="164" spans="1:13" ht="30" customHeight="1">
      <c r="A164" s="5" t="s">
        <v>30</v>
      </c>
      <c r="B164" s="30" t="s">
        <v>391</v>
      </c>
      <c r="C164" s="30" t="s">
        <v>265</v>
      </c>
      <c r="D164" s="27">
        <v>13382.993429516586</v>
      </c>
      <c r="E164" s="28">
        <v>12371.887581510997</v>
      </c>
      <c r="F164" s="27">
        <f t="shared" si="5"/>
        <v>1011.105848005589</v>
      </c>
      <c r="G164" s="27">
        <f t="shared" si="4"/>
        <v>7.5551546321136591</v>
      </c>
      <c r="H164" s="29">
        <v>71</v>
      </c>
      <c r="I164" s="29">
        <v>2</v>
      </c>
      <c r="J164" s="12" t="s">
        <v>36</v>
      </c>
      <c r="K164" s="30">
        <v>40.852661666700001</v>
      </c>
      <c r="L164" s="30">
        <v>72.0707816667</v>
      </c>
      <c r="M164" s="20">
        <v>100</v>
      </c>
    </row>
    <row r="165" spans="1:13" ht="30" customHeight="1">
      <c r="A165" s="5" t="s">
        <v>30</v>
      </c>
      <c r="B165" s="30" t="s">
        <v>388</v>
      </c>
      <c r="C165" s="30" t="s">
        <v>266</v>
      </c>
      <c r="D165" s="27">
        <v>15008.758529516583</v>
      </c>
      <c r="E165" s="28">
        <v>13794.254248177665</v>
      </c>
      <c r="F165" s="27">
        <f t="shared" si="5"/>
        <v>1214.5042813389173</v>
      </c>
      <c r="G165" s="27">
        <f t="shared" si="4"/>
        <v>8.0919702915497247</v>
      </c>
      <c r="H165" s="29">
        <v>93</v>
      </c>
      <c r="I165" s="29">
        <v>1</v>
      </c>
      <c r="J165" s="12" t="s">
        <v>36</v>
      </c>
      <c r="K165" s="30">
        <v>40.877846666700002</v>
      </c>
      <c r="L165" s="30">
        <v>72.000298333299995</v>
      </c>
      <c r="M165" s="20">
        <v>100</v>
      </c>
    </row>
    <row r="166" spans="1:13" ht="30" customHeight="1">
      <c r="A166" s="5" t="s">
        <v>30</v>
      </c>
      <c r="B166" s="30" t="s">
        <v>385</v>
      </c>
      <c r="C166" s="30" t="s">
        <v>267</v>
      </c>
      <c r="D166" s="27">
        <v>20624.168939516589</v>
      </c>
      <c r="E166" s="28">
        <v>18707.124248177668</v>
      </c>
      <c r="F166" s="27">
        <f t="shared" si="5"/>
        <v>1917.0446913389205</v>
      </c>
      <c r="G166" s="27">
        <f t="shared" si="4"/>
        <v>9.2951366765901504</v>
      </c>
      <c r="H166" s="29">
        <v>112</v>
      </c>
      <c r="I166" s="29">
        <v>1</v>
      </c>
      <c r="J166" s="12" t="s">
        <v>36</v>
      </c>
      <c r="K166" s="30">
        <v>40.869096666700003</v>
      </c>
      <c r="L166" s="30">
        <v>71.993186666699998</v>
      </c>
      <c r="M166" s="20">
        <v>160</v>
      </c>
    </row>
    <row r="167" spans="1:13" ht="30" customHeight="1">
      <c r="A167" s="5" t="s">
        <v>30</v>
      </c>
      <c r="B167" s="30" t="s">
        <v>390</v>
      </c>
      <c r="C167" s="30" t="s">
        <v>268</v>
      </c>
      <c r="D167" s="27">
        <v>10696.013789516581</v>
      </c>
      <c r="E167" s="28">
        <v>10021.074248177663</v>
      </c>
      <c r="F167" s="27">
        <f t="shared" si="5"/>
        <v>674.93954133891748</v>
      </c>
      <c r="G167" s="27">
        <f t="shared" si="4"/>
        <v>6.31019700068489</v>
      </c>
      <c r="H167" s="29">
        <v>70</v>
      </c>
      <c r="I167" s="29">
        <v>1</v>
      </c>
      <c r="J167" s="12" t="s">
        <v>50</v>
      </c>
      <c r="K167" s="30">
        <v>40.859043333300001</v>
      </c>
      <c r="L167" s="30">
        <v>72.065916666700005</v>
      </c>
      <c r="M167" s="20">
        <v>250</v>
      </c>
    </row>
    <row r="168" spans="1:13" ht="30" customHeight="1">
      <c r="A168" s="5" t="s">
        <v>30</v>
      </c>
      <c r="B168" s="30" t="s">
        <v>389</v>
      </c>
      <c r="C168" s="30" t="s">
        <v>269</v>
      </c>
      <c r="D168" s="27">
        <v>18086.282219516586</v>
      </c>
      <c r="E168" s="28">
        <v>16486.750914844331</v>
      </c>
      <c r="F168" s="27">
        <f t="shared" si="5"/>
        <v>1599.5313046722549</v>
      </c>
      <c r="G168" s="27">
        <f t="shared" si="4"/>
        <v>8.8438922121110615</v>
      </c>
      <c r="H168" s="29">
        <v>135</v>
      </c>
      <c r="I168" s="29">
        <v>1</v>
      </c>
      <c r="J168" s="12" t="s">
        <v>50</v>
      </c>
      <c r="K168" s="30">
        <v>40.880443333300001</v>
      </c>
      <c r="L168" s="30">
        <v>72.033211666699998</v>
      </c>
      <c r="M168" s="20">
        <v>400</v>
      </c>
    </row>
    <row r="169" spans="1:13" ht="30" customHeight="1">
      <c r="A169" s="5" t="s">
        <v>30</v>
      </c>
      <c r="B169" s="30" t="s">
        <v>388</v>
      </c>
      <c r="C169" s="30" t="s">
        <v>270</v>
      </c>
      <c r="D169" s="27">
        <v>17359.661879516585</v>
      </c>
      <c r="E169" s="28">
        <v>15851.037581511</v>
      </c>
      <c r="F169" s="27">
        <f t="shared" si="5"/>
        <v>1508.6242980055849</v>
      </c>
      <c r="G169" s="27">
        <f t="shared" si="4"/>
        <v>8.6904013941980978</v>
      </c>
      <c r="H169" s="29">
        <v>85</v>
      </c>
      <c r="I169" s="29">
        <v>2</v>
      </c>
      <c r="J169" s="12" t="s">
        <v>50</v>
      </c>
      <c r="K169" s="30">
        <v>40.874026666600002</v>
      </c>
      <c r="L169" s="30">
        <v>72.094549999700007</v>
      </c>
      <c r="M169" s="20">
        <v>160</v>
      </c>
    </row>
    <row r="170" spans="1:13" ht="30" customHeight="1">
      <c r="A170" s="5" t="s">
        <v>30</v>
      </c>
      <c r="B170" s="30" t="s">
        <v>388</v>
      </c>
      <c r="C170" s="30" t="s">
        <v>271</v>
      </c>
      <c r="D170" s="27">
        <v>13640.118899516585</v>
      </c>
      <c r="E170" s="28">
        <v>12596.844248177662</v>
      </c>
      <c r="F170" s="27">
        <f t="shared" si="5"/>
        <v>1043.2746513389229</v>
      </c>
      <c r="G170" s="27">
        <f t="shared" si="4"/>
        <v>7.6485744664285678</v>
      </c>
      <c r="H170" s="29">
        <v>55</v>
      </c>
      <c r="I170" s="29">
        <v>2</v>
      </c>
      <c r="J170" s="12" t="s">
        <v>37</v>
      </c>
      <c r="K170" s="30">
        <v>40.877225000000003</v>
      </c>
      <c r="L170" s="30">
        <v>71.997230000000002</v>
      </c>
      <c r="M170" s="23">
        <v>100</v>
      </c>
    </row>
    <row r="171" spans="1:13" ht="30" customHeight="1">
      <c r="A171" s="5" t="s">
        <v>30</v>
      </c>
      <c r="B171" s="30" t="s">
        <v>388</v>
      </c>
      <c r="C171" s="30" t="s">
        <v>272</v>
      </c>
      <c r="D171" s="27">
        <v>15442.820399516588</v>
      </c>
      <c r="E171" s="28">
        <v>14174.01091484433</v>
      </c>
      <c r="F171" s="27">
        <f t="shared" si="5"/>
        <v>1268.8094846722579</v>
      </c>
      <c r="G171" s="27">
        <f t="shared" si="4"/>
        <v>8.2161771739052014</v>
      </c>
      <c r="H171" s="29">
        <v>112</v>
      </c>
      <c r="I171" s="29">
        <v>2</v>
      </c>
      <c r="J171" s="12" t="s">
        <v>37</v>
      </c>
      <c r="K171" s="30">
        <v>40.878791666700003</v>
      </c>
      <c r="L171" s="30">
        <v>72.014080000000007</v>
      </c>
      <c r="M171" s="20">
        <v>100</v>
      </c>
    </row>
    <row r="172" spans="1:13" ht="30" customHeight="1">
      <c r="A172" s="5" t="s">
        <v>30</v>
      </c>
      <c r="B172" s="30" t="s">
        <v>384</v>
      </c>
      <c r="C172" s="30" t="s">
        <v>100</v>
      </c>
      <c r="D172" s="27">
        <v>16006.805555516583</v>
      </c>
      <c r="E172" s="28">
        <v>14667.436248177666</v>
      </c>
      <c r="F172" s="27">
        <f t="shared" si="5"/>
        <v>1339.3693073389168</v>
      </c>
      <c r="G172" s="27">
        <f t="shared" si="4"/>
        <v>8.3674990783986676</v>
      </c>
      <c r="H172" s="29">
        <v>84</v>
      </c>
      <c r="I172" s="29">
        <v>2</v>
      </c>
      <c r="J172" s="12" t="s">
        <v>37</v>
      </c>
      <c r="K172" s="30">
        <v>40.879103333300002</v>
      </c>
      <c r="L172" s="30">
        <v>71.946520000000007</v>
      </c>
      <c r="M172" s="20">
        <v>100</v>
      </c>
    </row>
    <row r="173" spans="1:13" ht="30" customHeight="1">
      <c r="A173" s="5" t="s">
        <v>13</v>
      </c>
      <c r="B173" s="30" t="s">
        <v>389</v>
      </c>
      <c r="C173" s="30" t="s">
        <v>273</v>
      </c>
      <c r="D173" s="27">
        <v>14206.978319516586</v>
      </c>
      <c r="E173" s="28">
        <v>13092.784248177664</v>
      </c>
      <c r="F173" s="27">
        <f t="shared" si="5"/>
        <v>1114.1940713389213</v>
      </c>
      <c r="G173" s="27">
        <f t="shared" si="4"/>
        <v>7.8425830340595137</v>
      </c>
      <c r="H173" s="29">
        <v>97</v>
      </c>
      <c r="I173" s="29">
        <v>2</v>
      </c>
      <c r="J173" s="12"/>
      <c r="K173" s="30">
        <v>40.867316666699999</v>
      </c>
      <c r="L173" s="30">
        <v>72.0448633333</v>
      </c>
      <c r="M173" s="14">
        <v>400</v>
      </c>
    </row>
    <row r="174" spans="1:13" ht="30" customHeight="1">
      <c r="A174" s="5" t="s">
        <v>13</v>
      </c>
      <c r="B174" s="30" t="s">
        <v>391</v>
      </c>
      <c r="C174" s="30" t="s">
        <v>274</v>
      </c>
      <c r="D174" s="27">
        <v>15632.268839516581</v>
      </c>
      <c r="E174" s="28">
        <v>14339.757581510996</v>
      </c>
      <c r="F174" s="27">
        <f t="shared" si="5"/>
        <v>1292.5112580055848</v>
      </c>
      <c r="G174" s="27">
        <f t="shared" si="4"/>
        <v>8.2682256253056803</v>
      </c>
      <c r="H174" s="29">
        <v>71</v>
      </c>
      <c r="I174" s="29">
        <v>6</v>
      </c>
      <c r="J174" s="12" t="s">
        <v>23</v>
      </c>
      <c r="K174" s="30">
        <v>40.821199999999997</v>
      </c>
      <c r="L174" s="30">
        <v>72.145963333300003</v>
      </c>
      <c r="M174" s="14">
        <v>100</v>
      </c>
    </row>
    <row r="175" spans="1:13" ht="30" customHeight="1">
      <c r="A175" s="5" t="s">
        <v>13</v>
      </c>
      <c r="B175" s="30" t="s">
        <v>391</v>
      </c>
      <c r="C175" s="30" t="s">
        <v>275</v>
      </c>
      <c r="D175" s="27">
        <v>18352.403099516589</v>
      </c>
      <c r="E175" s="28">
        <v>16719.577581510999</v>
      </c>
      <c r="F175" s="27">
        <f t="shared" si="5"/>
        <v>1632.8255180055894</v>
      </c>
      <c r="G175" s="27">
        <f t="shared" si="4"/>
        <v>8.8970665539086742</v>
      </c>
      <c r="H175" s="29">
        <v>148</v>
      </c>
      <c r="I175" s="29">
        <v>4</v>
      </c>
      <c r="J175" s="12" t="s">
        <v>40</v>
      </c>
      <c r="K175" s="30">
        <v>40.853495000000002</v>
      </c>
      <c r="L175" s="30">
        <v>72.061329999999998</v>
      </c>
      <c r="M175" s="20">
        <v>250</v>
      </c>
    </row>
    <row r="176" spans="1:13" ht="30" customHeight="1">
      <c r="A176" s="5" t="s">
        <v>13</v>
      </c>
      <c r="B176" s="30" t="s">
        <v>390</v>
      </c>
      <c r="C176" s="30" t="s">
        <v>276</v>
      </c>
      <c r="D176" s="27">
        <v>13380.558839516581</v>
      </c>
      <c r="E176" s="28">
        <v>12369.757581510996</v>
      </c>
      <c r="F176" s="27">
        <f t="shared" si="5"/>
        <v>1010.8012580055856</v>
      </c>
      <c r="G176" s="27">
        <f t="shared" si="4"/>
        <v>7.5542529286624651</v>
      </c>
      <c r="H176" s="29">
        <v>82</v>
      </c>
      <c r="I176" s="29">
        <v>1</v>
      </c>
      <c r="J176" s="12" t="s">
        <v>40</v>
      </c>
      <c r="K176" s="30">
        <v>40.8542466667</v>
      </c>
      <c r="L176" s="30">
        <v>72.141778333299996</v>
      </c>
      <c r="M176" s="21">
        <v>160</v>
      </c>
    </row>
    <row r="177" spans="1:13" ht="30" customHeight="1">
      <c r="A177" s="5" t="s">
        <v>13</v>
      </c>
      <c r="B177" s="30" t="s">
        <v>390</v>
      </c>
      <c r="C177" s="30" t="s">
        <v>277</v>
      </c>
      <c r="D177" s="27">
        <v>13921.822679516581</v>
      </c>
      <c r="E177" s="28">
        <v>12843.304248177665</v>
      </c>
      <c r="F177" s="27">
        <f t="shared" si="5"/>
        <v>1078.5184313389163</v>
      </c>
      <c r="G177" s="27">
        <f t="shared" si="4"/>
        <v>7.7469628522546783</v>
      </c>
      <c r="H177" s="29">
        <v>107</v>
      </c>
      <c r="I177" s="29">
        <v>2</v>
      </c>
      <c r="J177" s="12" t="s">
        <v>40</v>
      </c>
      <c r="K177" s="30">
        <v>40.870876666699999</v>
      </c>
      <c r="L177" s="30">
        <v>72.127028333300004</v>
      </c>
      <c r="M177" s="20">
        <v>100</v>
      </c>
    </row>
    <row r="178" spans="1:13" ht="30" customHeight="1">
      <c r="A178" s="5" t="s">
        <v>13</v>
      </c>
      <c r="B178" s="30" t="s">
        <v>385</v>
      </c>
      <c r="C178" s="30" t="s">
        <v>278</v>
      </c>
      <c r="D178" s="27">
        <v>14086.437539516583</v>
      </c>
      <c r="E178" s="28">
        <v>12987.324248177665</v>
      </c>
      <c r="F178" s="27">
        <f t="shared" si="5"/>
        <v>1099.1132913389174</v>
      </c>
      <c r="G178" s="27">
        <f t="shared" si="4"/>
        <v>7.8026348979689342</v>
      </c>
      <c r="H178" s="29">
        <v>105</v>
      </c>
      <c r="I178" s="29">
        <v>6</v>
      </c>
      <c r="J178" s="12" t="s">
        <v>18</v>
      </c>
      <c r="K178" s="30">
        <v>40.85586</v>
      </c>
      <c r="L178" s="30">
        <v>72.008968333300004</v>
      </c>
      <c r="M178" s="20">
        <v>100</v>
      </c>
    </row>
    <row r="179" spans="1:13" ht="30" customHeight="1">
      <c r="A179" s="5" t="s">
        <v>13</v>
      </c>
      <c r="B179" s="30" t="s">
        <v>391</v>
      </c>
      <c r="C179" s="30" t="s">
        <v>279</v>
      </c>
      <c r="D179" s="27">
        <v>14978.949089516585</v>
      </c>
      <c r="E179" s="28">
        <v>13768.174248177664</v>
      </c>
      <c r="F179" s="27">
        <f t="shared" si="5"/>
        <v>1210.7748413389218</v>
      </c>
      <c r="G179" s="27">
        <f t="shared" si="4"/>
        <v>8.0831761567726712</v>
      </c>
      <c r="H179" s="29">
        <v>65</v>
      </c>
      <c r="I179" s="29">
        <v>2</v>
      </c>
      <c r="J179" s="12" t="s">
        <v>23</v>
      </c>
      <c r="K179" s="30">
        <v>40.827616666700003</v>
      </c>
      <c r="L179" s="30">
        <v>72.112166666700006</v>
      </c>
      <c r="M179" s="20">
        <v>100</v>
      </c>
    </row>
    <row r="180" spans="1:13" ht="30" customHeight="1">
      <c r="A180" s="5" t="s">
        <v>13</v>
      </c>
      <c r="B180" s="30" t="s">
        <v>391</v>
      </c>
      <c r="C180" s="30" t="s">
        <v>280</v>
      </c>
      <c r="D180" s="27">
        <v>15743.783729516586</v>
      </c>
      <c r="E180" s="28">
        <v>14437.320914844331</v>
      </c>
      <c r="F180" s="27">
        <f t="shared" si="5"/>
        <v>1306.4628146722553</v>
      </c>
      <c r="G180" s="27">
        <f t="shared" si="4"/>
        <v>8.298277193829124</v>
      </c>
      <c r="H180" s="29">
        <v>59</v>
      </c>
      <c r="I180" s="29">
        <v>6</v>
      </c>
      <c r="J180" s="12" t="s">
        <v>23</v>
      </c>
      <c r="K180" s="30">
        <v>40.813206666699998</v>
      </c>
      <c r="L180" s="30">
        <v>72.109205000000003</v>
      </c>
      <c r="M180" s="20">
        <v>160</v>
      </c>
    </row>
    <row r="181" spans="1:13" ht="30" customHeight="1">
      <c r="A181" s="5" t="s">
        <v>13</v>
      </c>
      <c r="B181" s="30" t="s">
        <v>387</v>
      </c>
      <c r="C181" s="30" t="s">
        <v>281</v>
      </c>
      <c r="D181" s="27">
        <v>10283.078369516586</v>
      </c>
      <c r="E181" s="28">
        <v>9659.8009148443289</v>
      </c>
      <c r="F181" s="27">
        <f t="shared" si="5"/>
        <v>623.27745467225759</v>
      </c>
      <c r="G181" s="27">
        <f t="shared" si="4"/>
        <v>6.0611952206833006</v>
      </c>
      <c r="H181" s="29">
        <v>16</v>
      </c>
      <c r="I181" s="29">
        <v>1</v>
      </c>
      <c r="J181" s="12" t="s">
        <v>23</v>
      </c>
      <c r="K181" s="30">
        <v>40.879336666699999</v>
      </c>
      <c r="L181" s="30">
        <v>71.986581666700005</v>
      </c>
      <c r="M181" s="20">
        <v>100</v>
      </c>
    </row>
    <row r="182" spans="1:13" ht="30" customHeight="1">
      <c r="A182" s="5" t="s">
        <v>13</v>
      </c>
      <c r="B182" s="30" t="s">
        <v>390</v>
      </c>
      <c r="C182" s="30" t="s">
        <v>282</v>
      </c>
      <c r="D182" s="27">
        <v>13125.163109516585</v>
      </c>
      <c r="E182" s="28">
        <v>12146.314248177663</v>
      </c>
      <c r="F182" s="27">
        <f t="shared" si="5"/>
        <v>978.84886133892178</v>
      </c>
      <c r="G182" s="27">
        <f t="shared" si="4"/>
        <v>7.4578034053473479</v>
      </c>
      <c r="H182" s="29">
        <v>26</v>
      </c>
      <c r="I182" s="29">
        <v>1</v>
      </c>
      <c r="J182" s="12" t="s">
        <v>23</v>
      </c>
      <c r="K182" s="30">
        <v>40.851741666700001</v>
      </c>
      <c r="L182" s="30">
        <v>72.133139999999997</v>
      </c>
      <c r="M182" s="20">
        <v>100</v>
      </c>
    </row>
    <row r="183" spans="1:13" ht="30" customHeight="1">
      <c r="A183" s="5" t="s">
        <v>13</v>
      </c>
      <c r="B183" s="30" t="s">
        <v>389</v>
      </c>
      <c r="C183" s="30" t="s">
        <v>283</v>
      </c>
      <c r="D183" s="27">
        <v>14173.137899516585</v>
      </c>
      <c r="E183" s="28">
        <v>13063.177581510998</v>
      </c>
      <c r="F183" s="27">
        <f t="shared" si="5"/>
        <v>1109.9603180055874</v>
      </c>
      <c r="G183" s="27">
        <f t="shared" si="4"/>
        <v>7.8314366647307203</v>
      </c>
      <c r="H183" s="29">
        <v>82</v>
      </c>
      <c r="I183" s="29">
        <v>2</v>
      </c>
      <c r="J183" s="12" t="s">
        <v>23</v>
      </c>
      <c r="K183" s="30">
        <v>40.878543333300001</v>
      </c>
      <c r="L183" s="30">
        <v>72.055769999999995</v>
      </c>
      <c r="M183" s="20">
        <v>250</v>
      </c>
    </row>
    <row r="184" spans="1:13" ht="30" customHeight="1">
      <c r="A184" s="5" t="s">
        <v>13</v>
      </c>
      <c r="B184" s="30" t="s">
        <v>385</v>
      </c>
      <c r="C184" s="30" t="s">
        <v>284</v>
      </c>
      <c r="D184" s="27">
        <v>15930.260369516587</v>
      </c>
      <c r="E184" s="28">
        <v>14600.467581510999</v>
      </c>
      <c r="F184" s="27">
        <f t="shared" si="5"/>
        <v>1329.7927880055886</v>
      </c>
      <c r="G184" s="27">
        <f t="shared" si="4"/>
        <v>8.3475897892429849</v>
      </c>
      <c r="H184" s="29">
        <v>95</v>
      </c>
      <c r="I184" s="29">
        <v>1</v>
      </c>
      <c r="J184" s="12" t="s">
        <v>23</v>
      </c>
      <c r="K184" s="30">
        <v>40.863901666700002</v>
      </c>
      <c r="L184" s="30">
        <v>71.990183333299996</v>
      </c>
      <c r="M184" s="20">
        <v>100</v>
      </c>
    </row>
    <row r="185" spans="1:13" ht="30" customHeight="1">
      <c r="A185" s="5" t="s">
        <v>13</v>
      </c>
      <c r="B185" s="30" t="s">
        <v>384</v>
      </c>
      <c r="C185" s="30" t="s">
        <v>112</v>
      </c>
      <c r="D185" s="27">
        <v>13530.585209516588</v>
      </c>
      <c r="E185" s="28">
        <v>12501.014248177664</v>
      </c>
      <c r="F185" s="27">
        <f t="shared" si="5"/>
        <v>1029.5709613389245</v>
      </c>
      <c r="G185" s="27">
        <f t="shared" si="4"/>
        <v>7.6092123540583234</v>
      </c>
      <c r="H185" s="29">
        <v>92</v>
      </c>
      <c r="I185" s="29">
        <v>4</v>
      </c>
      <c r="J185" s="12" t="s">
        <v>19</v>
      </c>
      <c r="K185" s="30">
        <v>40.877413333299998</v>
      </c>
      <c r="L185" s="30">
        <v>71.930764999999994</v>
      </c>
      <c r="M185" s="20">
        <v>160</v>
      </c>
    </row>
    <row r="186" spans="1:13" ht="30" customHeight="1">
      <c r="A186" s="5" t="s">
        <v>13</v>
      </c>
      <c r="B186" s="30" t="s">
        <v>388</v>
      </c>
      <c r="C186" s="30" t="s">
        <v>285</v>
      </c>
      <c r="D186" s="27">
        <v>11779.433009516584</v>
      </c>
      <c r="E186" s="28">
        <v>10968.947581510996</v>
      </c>
      <c r="F186" s="27">
        <f t="shared" si="5"/>
        <v>810.48542800558789</v>
      </c>
      <c r="G186" s="27">
        <f t="shared" si="4"/>
        <v>6.8805130718159191</v>
      </c>
      <c r="H186" s="29">
        <v>45</v>
      </c>
      <c r="I186" s="29">
        <v>1</v>
      </c>
      <c r="J186" s="12" t="s">
        <v>19</v>
      </c>
      <c r="K186" s="30">
        <v>40.874026666600002</v>
      </c>
      <c r="L186" s="30">
        <v>72.094549999700007</v>
      </c>
      <c r="M186" s="20">
        <v>160</v>
      </c>
    </row>
    <row r="187" spans="1:13" ht="30" customHeight="1">
      <c r="A187" s="5" t="s">
        <v>13</v>
      </c>
      <c r="B187" s="30" t="s">
        <v>387</v>
      </c>
      <c r="C187" s="30" t="s">
        <v>286</v>
      </c>
      <c r="D187" s="27">
        <v>21442.873169516584</v>
      </c>
      <c r="E187" s="28">
        <v>19423.400914844333</v>
      </c>
      <c r="F187" s="27">
        <f t="shared" si="5"/>
        <v>2019.4722546722514</v>
      </c>
      <c r="G187" s="27">
        <f t="shared" si="4"/>
        <v>9.4179181992418552</v>
      </c>
      <c r="H187" s="29">
        <v>52</v>
      </c>
      <c r="I187" s="29">
        <v>4</v>
      </c>
      <c r="J187" s="12" t="s">
        <v>19</v>
      </c>
      <c r="K187" s="30">
        <v>40.8828566667</v>
      </c>
      <c r="L187" s="30">
        <v>71.988209999999995</v>
      </c>
      <c r="M187" s="20">
        <v>160</v>
      </c>
    </row>
    <row r="188" spans="1:13" ht="30" customHeight="1">
      <c r="A188" s="5" t="s">
        <v>13</v>
      </c>
      <c r="B188" s="30" t="s">
        <v>390</v>
      </c>
      <c r="C188" s="30" t="s">
        <v>287</v>
      </c>
      <c r="D188" s="27">
        <v>12814.848896516587</v>
      </c>
      <c r="E188" s="28">
        <v>11874.823248177665</v>
      </c>
      <c r="F188" s="27">
        <f t="shared" si="5"/>
        <v>940.02564833892211</v>
      </c>
      <c r="G188" s="27">
        <f t="shared" si="4"/>
        <v>7.3354407525979166</v>
      </c>
      <c r="H188" s="29">
        <v>70</v>
      </c>
      <c r="I188" s="29">
        <v>1</v>
      </c>
      <c r="J188" s="12" t="s">
        <v>19</v>
      </c>
      <c r="K188" s="30">
        <v>40.859856666699997</v>
      </c>
      <c r="L188" s="30">
        <v>72.077610000000007</v>
      </c>
      <c r="M188" s="20">
        <v>63</v>
      </c>
    </row>
    <row r="189" spans="1:13" ht="30" customHeight="1">
      <c r="A189" s="5" t="s">
        <v>13</v>
      </c>
      <c r="B189" s="30" t="s">
        <v>391</v>
      </c>
      <c r="C189" s="30" t="s">
        <v>288</v>
      </c>
      <c r="D189" s="27">
        <v>14011.548179516582</v>
      </c>
      <c r="E189" s="28">
        <v>12921.804248177665</v>
      </c>
      <c r="F189" s="27">
        <f t="shared" si="5"/>
        <v>1089.7439313389168</v>
      </c>
      <c r="G189" s="27">
        <f t="shared" si="4"/>
        <v>7.7774698225854051</v>
      </c>
      <c r="H189" s="29">
        <v>82</v>
      </c>
      <c r="I189" s="29">
        <v>1</v>
      </c>
      <c r="J189" s="12" t="s">
        <v>23</v>
      </c>
      <c r="K189" s="30">
        <v>40.848528333300003</v>
      </c>
      <c r="L189" s="30">
        <v>72.072953333300006</v>
      </c>
      <c r="M189" s="20">
        <v>100</v>
      </c>
    </row>
    <row r="190" spans="1:13" ht="30" customHeight="1">
      <c r="A190" s="5" t="s">
        <v>13</v>
      </c>
      <c r="B190" s="30" t="s">
        <v>390</v>
      </c>
      <c r="C190" s="30" t="s">
        <v>289</v>
      </c>
      <c r="D190" s="27">
        <v>12494.737649516579</v>
      </c>
      <c r="E190" s="28">
        <v>11594.760914844328</v>
      </c>
      <c r="F190" s="27">
        <f t="shared" si="5"/>
        <v>899.97673467225104</v>
      </c>
      <c r="G190" s="27">
        <f t="shared" si="4"/>
        <v>7.2028461894681808</v>
      </c>
      <c r="H190" s="29">
        <v>54</v>
      </c>
      <c r="I190" s="29">
        <v>2</v>
      </c>
      <c r="J190" s="12" t="s">
        <v>19</v>
      </c>
      <c r="K190" s="30">
        <v>40.877876666699997</v>
      </c>
      <c r="L190" s="30">
        <v>72.082390000000004</v>
      </c>
      <c r="M190" s="20">
        <v>100</v>
      </c>
    </row>
    <row r="191" spans="1:13" ht="30" customHeight="1">
      <c r="A191" s="5" t="s">
        <v>13</v>
      </c>
      <c r="B191" s="30" t="s">
        <v>384</v>
      </c>
      <c r="C191" s="30" t="s">
        <v>97</v>
      </c>
      <c r="D191" s="27">
        <v>12140.460989516583</v>
      </c>
      <c r="E191" s="28">
        <v>11284.807581510997</v>
      </c>
      <c r="F191" s="27">
        <f t="shared" si="5"/>
        <v>855.65340800558624</v>
      </c>
      <c r="G191" s="27">
        <f t="shared" si="4"/>
        <v>7.0479482512604097</v>
      </c>
      <c r="H191" s="29">
        <v>37</v>
      </c>
      <c r="I191" s="29">
        <v>1</v>
      </c>
      <c r="J191" s="12" t="s">
        <v>19</v>
      </c>
      <c r="K191" s="30">
        <v>40.864673333299997</v>
      </c>
      <c r="L191" s="30">
        <v>71.946511666700005</v>
      </c>
      <c r="M191" s="20">
        <v>100</v>
      </c>
    </row>
    <row r="192" spans="1:13" ht="30" customHeight="1">
      <c r="A192" s="5" t="s">
        <v>30</v>
      </c>
      <c r="B192" s="30" t="s">
        <v>385</v>
      </c>
      <c r="C192" s="30" t="s">
        <v>290</v>
      </c>
      <c r="D192" s="27">
        <v>19869.903239516592</v>
      </c>
      <c r="E192" s="28">
        <v>18047.224248177667</v>
      </c>
      <c r="F192" s="27">
        <f t="shared" si="5"/>
        <v>1822.6789913389257</v>
      </c>
      <c r="G192" s="27">
        <f t="shared" si="4"/>
        <v>9.173064253851237</v>
      </c>
      <c r="H192" s="29">
        <v>79</v>
      </c>
      <c r="I192" s="29">
        <v>2</v>
      </c>
      <c r="J192" s="12" t="s">
        <v>33</v>
      </c>
      <c r="K192" s="30">
        <v>40.865333333300001</v>
      </c>
      <c r="L192" s="30">
        <v>71.986301666700001</v>
      </c>
      <c r="M192" s="20">
        <v>160</v>
      </c>
    </row>
    <row r="193" spans="1:13" ht="30" customHeight="1">
      <c r="A193" s="5" t="s">
        <v>30</v>
      </c>
      <c r="B193" s="30" t="s">
        <v>388</v>
      </c>
      <c r="C193" s="30" t="s">
        <v>291</v>
      </c>
      <c r="D193" s="27">
        <v>14257.757999516585</v>
      </c>
      <c r="E193" s="28">
        <v>13137.210914844331</v>
      </c>
      <c r="F193" s="27">
        <f t="shared" si="5"/>
        <v>1120.5470846722546</v>
      </c>
      <c r="G193" s="27">
        <f t="shared" si="4"/>
        <v>7.8592095945957787</v>
      </c>
      <c r="H193" s="29">
        <v>103</v>
      </c>
      <c r="I193" s="29">
        <v>1</v>
      </c>
      <c r="J193" s="12" t="s">
        <v>42</v>
      </c>
      <c r="K193" s="30">
        <v>40.872945000000001</v>
      </c>
      <c r="L193" s="30">
        <v>72.003528333299997</v>
      </c>
      <c r="M193" s="21">
        <v>250</v>
      </c>
    </row>
    <row r="194" spans="1:13" ht="30" customHeight="1">
      <c r="A194" s="5" t="s">
        <v>30</v>
      </c>
      <c r="B194" s="30" t="s">
        <v>384</v>
      </c>
      <c r="C194" s="30" t="s">
        <v>116</v>
      </c>
      <c r="D194" s="27">
        <v>24791.104979516589</v>
      </c>
      <c r="E194" s="28">
        <v>22352.737581510995</v>
      </c>
      <c r="F194" s="27">
        <f t="shared" si="5"/>
        <v>2438.3673980055937</v>
      </c>
      <c r="G194" s="27">
        <f t="shared" si="4"/>
        <v>9.8356543607889648</v>
      </c>
      <c r="H194" s="29">
        <v>103</v>
      </c>
      <c r="I194" s="29">
        <v>2</v>
      </c>
      <c r="J194" s="12" t="s">
        <v>42</v>
      </c>
      <c r="K194" s="30">
        <v>40.890994999999997</v>
      </c>
      <c r="L194" s="30">
        <v>71.932898333300002</v>
      </c>
      <c r="M194" s="20">
        <v>400</v>
      </c>
    </row>
    <row r="195" spans="1:13" ht="30" customHeight="1">
      <c r="A195" s="5" t="s">
        <v>30</v>
      </c>
      <c r="B195" s="30" t="s">
        <v>389</v>
      </c>
      <c r="C195" s="30" t="s">
        <v>292</v>
      </c>
      <c r="D195" s="27">
        <v>11248.696199516582</v>
      </c>
      <c r="E195" s="28">
        <v>10504.61091484433</v>
      </c>
      <c r="F195" s="27">
        <f t="shared" si="5"/>
        <v>744.08528467225187</v>
      </c>
      <c r="G195" s="27">
        <f t="shared" ref="G195:G258" si="6">+F195*100/D195</f>
        <v>6.6148580375406469</v>
      </c>
      <c r="H195" s="29">
        <v>24</v>
      </c>
      <c r="I195" s="29">
        <v>1</v>
      </c>
      <c r="J195" s="12" t="s">
        <v>42</v>
      </c>
      <c r="K195" s="30">
        <v>40.87829</v>
      </c>
      <c r="L195" s="30">
        <v>72.038823333300002</v>
      </c>
      <c r="M195" s="20">
        <v>160</v>
      </c>
    </row>
    <row r="196" spans="1:13" ht="30" customHeight="1">
      <c r="A196" s="5" t="s">
        <v>30</v>
      </c>
      <c r="B196" s="30" t="s">
        <v>392</v>
      </c>
      <c r="C196" s="30" t="s">
        <v>293</v>
      </c>
      <c r="D196" s="27">
        <v>12193.820039516582</v>
      </c>
      <c r="E196" s="28">
        <v>11331.490914844328</v>
      </c>
      <c r="F196" s="27">
        <f t="shared" si="5"/>
        <v>862.32912467225469</v>
      </c>
      <c r="G196" s="27">
        <f t="shared" si="6"/>
        <v>7.0718537905078129</v>
      </c>
      <c r="H196" s="29">
        <v>89</v>
      </c>
      <c r="I196" s="29">
        <v>2</v>
      </c>
      <c r="J196" s="12" t="s">
        <v>51</v>
      </c>
      <c r="K196" s="30">
        <v>40.838336666700002</v>
      </c>
      <c r="L196" s="30">
        <v>72.207795000000004</v>
      </c>
      <c r="M196" s="20">
        <v>100</v>
      </c>
    </row>
    <row r="197" spans="1:13" ht="30" customHeight="1">
      <c r="A197" s="5" t="s">
        <v>30</v>
      </c>
      <c r="B197" s="30" t="s">
        <v>392</v>
      </c>
      <c r="C197" s="30" t="s">
        <v>294</v>
      </c>
      <c r="D197" s="27">
        <v>13357.409279516583</v>
      </c>
      <c r="E197" s="28">
        <v>12349.504248177665</v>
      </c>
      <c r="F197" s="27">
        <f t="shared" ref="F197:F260" si="7">+D197-E197</f>
        <v>1007.905031338918</v>
      </c>
      <c r="G197" s="27">
        <f t="shared" si="6"/>
        <v>7.5456625626088094</v>
      </c>
      <c r="H197" s="29">
        <v>76</v>
      </c>
      <c r="I197" s="29">
        <v>1</v>
      </c>
      <c r="J197" s="12" t="s">
        <v>51</v>
      </c>
      <c r="K197" s="30">
        <v>40.839168333300002</v>
      </c>
      <c r="L197" s="30">
        <v>72.209829999999997</v>
      </c>
      <c r="M197" s="20">
        <v>100</v>
      </c>
    </row>
    <row r="198" spans="1:13" ht="30" customHeight="1">
      <c r="A198" s="5" t="s">
        <v>30</v>
      </c>
      <c r="B198" s="30" t="s">
        <v>388</v>
      </c>
      <c r="C198" s="30" t="s">
        <v>295</v>
      </c>
      <c r="D198" s="27">
        <v>16131.687449516581</v>
      </c>
      <c r="E198" s="28">
        <v>14776.694248177664</v>
      </c>
      <c r="F198" s="27">
        <f t="shared" si="7"/>
        <v>1354.9932013389171</v>
      </c>
      <c r="G198" s="27">
        <f t="shared" si="6"/>
        <v>8.3995750945417811</v>
      </c>
      <c r="H198" s="29">
        <v>102</v>
      </c>
      <c r="I198" s="29">
        <v>2</v>
      </c>
      <c r="J198" s="12" t="s">
        <v>51</v>
      </c>
      <c r="K198" s="30">
        <v>40.875433333300002</v>
      </c>
      <c r="L198" s="30">
        <v>72.019919999999999</v>
      </c>
      <c r="M198" s="20">
        <v>160</v>
      </c>
    </row>
    <row r="199" spans="1:13" ht="30" customHeight="1">
      <c r="A199" s="5" t="s">
        <v>30</v>
      </c>
      <c r="B199" s="30" t="s">
        <v>388</v>
      </c>
      <c r="C199" s="30" t="s">
        <v>296</v>
      </c>
      <c r="D199" s="27">
        <v>10812.211169516586</v>
      </c>
      <c r="E199" s="28">
        <v>10122.734248177663</v>
      </c>
      <c r="F199" s="27">
        <f t="shared" si="7"/>
        <v>689.47692133892269</v>
      </c>
      <c r="G199" s="27">
        <f t="shared" si="6"/>
        <v>6.3768355106011976</v>
      </c>
      <c r="H199" s="29">
        <v>23</v>
      </c>
      <c r="I199" s="29">
        <v>2</v>
      </c>
      <c r="J199" s="12" t="s">
        <v>51</v>
      </c>
      <c r="K199" s="30">
        <v>40.874026666600002</v>
      </c>
      <c r="L199" s="30">
        <v>72.094549999700007</v>
      </c>
      <c r="M199" s="20">
        <v>250</v>
      </c>
    </row>
    <row r="200" spans="1:13" ht="30" customHeight="1">
      <c r="A200" s="5" t="s">
        <v>30</v>
      </c>
      <c r="B200" s="30" t="s">
        <v>386</v>
      </c>
      <c r="C200" s="30" t="s">
        <v>297</v>
      </c>
      <c r="D200" s="27">
        <v>11505.208259516583</v>
      </c>
      <c r="E200" s="28">
        <v>10729.030914844328</v>
      </c>
      <c r="F200" s="27">
        <f t="shared" si="7"/>
        <v>776.17734467225455</v>
      </c>
      <c r="G200" s="27">
        <f t="shared" si="6"/>
        <v>6.7463128625267261</v>
      </c>
      <c r="H200" s="29">
        <v>56</v>
      </c>
      <c r="I200" s="29">
        <v>1</v>
      </c>
      <c r="J200" s="12"/>
      <c r="K200" s="30">
        <v>40.872078333300003</v>
      </c>
      <c r="L200" s="30">
        <v>71.959788333299997</v>
      </c>
      <c r="M200" s="20">
        <v>63</v>
      </c>
    </row>
    <row r="201" spans="1:13" ht="30" customHeight="1">
      <c r="A201" s="5" t="s">
        <v>30</v>
      </c>
      <c r="B201" s="30" t="s">
        <v>387</v>
      </c>
      <c r="C201" s="30" t="s">
        <v>298</v>
      </c>
      <c r="D201" s="27">
        <v>11870.57963951658</v>
      </c>
      <c r="E201" s="28">
        <v>11048.690914844328</v>
      </c>
      <c r="F201" s="27">
        <f t="shared" si="7"/>
        <v>821.88872467225156</v>
      </c>
      <c r="G201" s="27">
        <f t="shared" si="6"/>
        <v>6.9237455089069462</v>
      </c>
      <c r="H201" s="29">
        <v>49</v>
      </c>
      <c r="I201" s="29">
        <v>1</v>
      </c>
      <c r="J201" s="12" t="s">
        <v>52</v>
      </c>
      <c r="K201" s="30">
        <v>40.885644999999997</v>
      </c>
      <c r="L201" s="30">
        <v>71.975255000000004</v>
      </c>
      <c r="M201" s="20">
        <v>250</v>
      </c>
    </row>
    <row r="202" spans="1:13" ht="30" customHeight="1">
      <c r="A202" s="19" t="s">
        <v>30</v>
      </c>
      <c r="B202" s="30" t="s">
        <v>387</v>
      </c>
      <c r="C202" s="30" t="s">
        <v>299</v>
      </c>
      <c r="D202" s="27">
        <v>11154.398699516581</v>
      </c>
      <c r="E202" s="28">
        <v>10422.11091484433</v>
      </c>
      <c r="F202" s="27">
        <f t="shared" si="7"/>
        <v>732.28778467225129</v>
      </c>
      <c r="G202" s="27">
        <f t="shared" si="6"/>
        <v>6.5650135376995964</v>
      </c>
      <c r="H202" s="29">
        <v>44</v>
      </c>
      <c r="I202" s="29">
        <v>2</v>
      </c>
      <c r="J202" s="13" t="s">
        <v>52</v>
      </c>
      <c r="K202" s="30">
        <v>40.883506666700001</v>
      </c>
      <c r="L202" s="30">
        <v>71.977718333300004</v>
      </c>
      <c r="M202" s="20">
        <v>250</v>
      </c>
    </row>
    <row r="203" spans="1:13" ht="30" customHeight="1">
      <c r="A203" s="19" t="s">
        <v>30</v>
      </c>
      <c r="B203" s="30" t="s">
        <v>389</v>
      </c>
      <c r="C203" s="30" t="s">
        <v>300</v>
      </c>
      <c r="D203" s="27">
        <v>9619.6468795165838</v>
      </c>
      <c r="E203" s="28">
        <v>9079.3709148443286</v>
      </c>
      <c r="F203" s="27">
        <f t="shared" si="7"/>
        <v>540.27596467225521</v>
      </c>
      <c r="G203" s="27">
        <f t="shared" si="6"/>
        <v>5.6163804289186725</v>
      </c>
      <c r="H203" s="29">
        <v>26</v>
      </c>
      <c r="I203" s="29">
        <v>2</v>
      </c>
      <c r="J203" s="13" t="s">
        <v>52</v>
      </c>
      <c r="K203" s="30">
        <v>40.877465000000001</v>
      </c>
      <c r="L203" s="30">
        <v>72.08811</v>
      </c>
      <c r="M203" s="20">
        <v>250</v>
      </c>
    </row>
    <row r="204" spans="1:13" ht="30" customHeight="1">
      <c r="A204" s="19" t="s">
        <v>30</v>
      </c>
      <c r="B204" s="30" t="s">
        <v>390</v>
      </c>
      <c r="C204" s="30" t="s">
        <v>301</v>
      </c>
      <c r="D204" s="27">
        <v>18503.679149516589</v>
      </c>
      <c r="E204" s="28">
        <v>16851.927581510998</v>
      </c>
      <c r="F204" s="27">
        <f t="shared" si="7"/>
        <v>1651.7515680055913</v>
      </c>
      <c r="G204" s="27">
        <f t="shared" si="6"/>
        <v>8.9266115925315521</v>
      </c>
      <c r="H204" s="29">
        <v>89</v>
      </c>
      <c r="I204" s="29">
        <v>1</v>
      </c>
      <c r="J204" s="13" t="s">
        <v>53</v>
      </c>
      <c r="K204" s="30">
        <v>40.861406666699999</v>
      </c>
      <c r="L204" s="30">
        <v>72.060223333300002</v>
      </c>
      <c r="M204" s="20">
        <v>100</v>
      </c>
    </row>
    <row r="205" spans="1:13" ht="30" customHeight="1">
      <c r="A205" s="19" t="s">
        <v>30</v>
      </c>
      <c r="B205" s="30" t="s">
        <v>388</v>
      </c>
      <c r="C205" s="30" t="s">
        <v>302</v>
      </c>
      <c r="D205" s="27">
        <v>12919.842209516586</v>
      </c>
      <c r="E205" s="28">
        <v>11966.680914844332</v>
      </c>
      <c r="F205" s="27">
        <f t="shared" si="7"/>
        <v>953.16129467225437</v>
      </c>
      <c r="G205" s="27">
        <f t="shared" si="6"/>
        <v>7.3774995020463034</v>
      </c>
      <c r="H205" s="29">
        <v>68</v>
      </c>
      <c r="I205" s="29">
        <v>1</v>
      </c>
      <c r="J205" s="13" t="s">
        <v>53</v>
      </c>
      <c r="K205" s="30">
        <v>40.876036666700003</v>
      </c>
      <c r="L205" s="30">
        <v>72.012455000000003</v>
      </c>
      <c r="M205" s="20">
        <v>63</v>
      </c>
    </row>
    <row r="206" spans="1:13" ht="30" customHeight="1">
      <c r="A206" s="19" t="s">
        <v>30</v>
      </c>
      <c r="B206" s="30" t="s">
        <v>387</v>
      </c>
      <c r="C206" s="30" t="s">
        <v>303</v>
      </c>
      <c r="D206" s="27">
        <v>32487.503099516587</v>
      </c>
      <c r="E206" s="28">
        <v>29086.244248177649</v>
      </c>
      <c r="F206" s="27">
        <f t="shared" si="7"/>
        <v>3401.2588513389383</v>
      </c>
      <c r="G206" s="27">
        <f t="shared" si="6"/>
        <v>10.469437558559397</v>
      </c>
      <c r="H206" s="29">
        <v>139</v>
      </c>
      <c r="I206" s="29">
        <v>1</v>
      </c>
      <c r="J206" s="13" t="s">
        <v>53</v>
      </c>
      <c r="K206" s="30">
        <v>40.878603333299999</v>
      </c>
      <c r="L206" s="30">
        <v>71.971546666699993</v>
      </c>
      <c r="M206" s="20">
        <v>100</v>
      </c>
    </row>
    <row r="207" spans="1:13" ht="30" customHeight="1">
      <c r="A207" s="19" t="s">
        <v>30</v>
      </c>
      <c r="B207" s="30" t="s">
        <v>388</v>
      </c>
      <c r="C207" s="30" t="s">
        <v>304</v>
      </c>
      <c r="D207" s="27">
        <v>11817.411089516585</v>
      </c>
      <c r="E207" s="28">
        <v>11002.174248177662</v>
      </c>
      <c r="F207" s="27">
        <f t="shared" si="7"/>
        <v>815.23684133892311</v>
      </c>
      <c r="G207" s="27">
        <f t="shared" si="6"/>
        <v>6.8986077844252431</v>
      </c>
      <c r="H207" s="29">
        <v>52</v>
      </c>
      <c r="I207" s="29">
        <v>1</v>
      </c>
      <c r="J207" s="13" t="s">
        <v>53</v>
      </c>
      <c r="K207" s="30">
        <v>40.877144999999999</v>
      </c>
      <c r="L207" s="30">
        <v>72.008285000000001</v>
      </c>
      <c r="M207" s="20">
        <v>160</v>
      </c>
    </row>
    <row r="208" spans="1:13" ht="30" customHeight="1">
      <c r="A208" s="19" t="s">
        <v>30</v>
      </c>
      <c r="B208" s="30" t="s">
        <v>389</v>
      </c>
      <c r="C208" s="30" t="s">
        <v>305</v>
      </c>
      <c r="D208" s="27">
        <v>14934.558779516583</v>
      </c>
      <c r="E208" s="28">
        <v>13729.337581510998</v>
      </c>
      <c r="F208" s="27">
        <f t="shared" si="7"/>
        <v>1205.2211980055854</v>
      </c>
      <c r="G208" s="27">
        <f t="shared" si="6"/>
        <v>8.0700154306439931</v>
      </c>
      <c r="H208" s="29">
        <v>118</v>
      </c>
      <c r="I208" s="29">
        <v>1</v>
      </c>
      <c r="J208" s="13" t="s">
        <v>53</v>
      </c>
      <c r="K208" s="30">
        <v>40.881168333300003</v>
      </c>
      <c r="L208" s="30">
        <v>72.049769999999995</v>
      </c>
      <c r="M208" s="20">
        <v>160</v>
      </c>
    </row>
    <row r="209" spans="1:13" ht="30" customHeight="1">
      <c r="A209" s="19" t="s">
        <v>30</v>
      </c>
      <c r="B209" s="30" t="s">
        <v>390</v>
      </c>
      <c r="C209" s="30" t="s">
        <v>306</v>
      </c>
      <c r="D209" s="27">
        <v>10854.719339516587</v>
      </c>
      <c r="E209" s="28">
        <v>10159.924248177662</v>
      </c>
      <c r="F209" s="27">
        <f t="shared" si="7"/>
        <v>694.79509133892498</v>
      </c>
      <c r="G209" s="27">
        <f t="shared" si="6"/>
        <v>6.400857264079824</v>
      </c>
      <c r="H209" s="29">
        <v>85</v>
      </c>
      <c r="I209" s="29">
        <v>8</v>
      </c>
      <c r="J209" s="13" t="s">
        <v>53</v>
      </c>
      <c r="K209" s="30">
        <v>40.850251666699997</v>
      </c>
      <c r="L209" s="30">
        <v>72.055284999999998</v>
      </c>
      <c r="M209" s="20">
        <v>250</v>
      </c>
    </row>
    <row r="210" spans="1:13" ht="30" customHeight="1">
      <c r="A210" s="19" t="s">
        <v>30</v>
      </c>
      <c r="B210" s="30" t="s">
        <v>389</v>
      </c>
      <c r="C210" s="30" t="s">
        <v>307</v>
      </c>
      <c r="D210" s="27">
        <v>16831.550159516592</v>
      </c>
      <c r="E210" s="28">
        <v>15388.997581510999</v>
      </c>
      <c r="F210" s="27">
        <f t="shared" si="7"/>
        <v>1442.5525780055923</v>
      </c>
      <c r="G210" s="27">
        <f t="shared" si="6"/>
        <v>8.5705271608032501</v>
      </c>
      <c r="H210" s="29">
        <v>56</v>
      </c>
      <c r="I210" s="29">
        <v>1</v>
      </c>
      <c r="J210" s="13" t="s">
        <v>53</v>
      </c>
      <c r="K210" s="30">
        <v>40.8797483333</v>
      </c>
      <c r="L210" s="30">
        <v>72.029821666700002</v>
      </c>
      <c r="M210" s="20">
        <v>40</v>
      </c>
    </row>
    <row r="211" spans="1:13" ht="30" customHeight="1">
      <c r="A211" s="19" t="s">
        <v>30</v>
      </c>
      <c r="B211" s="30" t="s">
        <v>387</v>
      </c>
      <c r="C211" s="30" t="s">
        <v>308</v>
      </c>
      <c r="D211" s="27">
        <v>15197.890739516586</v>
      </c>
      <c r="E211" s="28">
        <v>13959.724248177663</v>
      </c>
      <c r="F211" s="27">
        <f t="shared" si="7"/>
        <v>1238.1664913389232</v>
      </c>
      <c r="G211" s="27">
        <f t="shared" si="6"/>
        <v>8.1469627105524687</v>
      </c>
      <c r="H211" s="29">
        <v>49</v>
      </c>
      <c r="I211" s="29">
        <v>1</v>
      </c>
      <c r="J211" s="13" t="s">
        <v>49</v>
      </c>
      <c r="K211" s="30">
        <v>40.87462</v>
      </c>
      <c r="L211" s="30">
        <v>71.975811666699997</v>
      </c>
      <c r="M211" s="20">
        <v>250</v>
      </c>
    </row>
    <row r="212" spans="1:13" ht="30" customHeight="1">
      <c r="A212" s="19" t="s">
        <v>30</v>
      </c>
      <c r="B212" s="30" t="s">
        <v>392</v>
      </c>
      <c r="C212" s="30" t="s">
        <v>309</v>
      </c>
      <c r="D212" s="27">
        <v>10405.15838951658</v>
      </c>
      <c r="E212" s="28">
        <v>9766.6075815109962</v>
      </c>
      <c r="F212" s="27">
        <f t="shared" si="7"/>
        <v>638.55080800558426</v>
      </c>
      <c r="G212" s="27">
        <f t="shared" si="6"/>
        <v>6.1368677352277299</v>
      </c>
      <c r="H212" s="29">
        <v>61</v>
      </c>
      <c r="I212" s="29">
        <v>2</v>
      </c>
      <c r="J212" s="13" t="s">
        <v>49</v>
      </c>
      <c r="K212" s="30">
        <v>40.841295000000002</v>
      </c>
      <c r="L212" s="30">
        <v>72.169233333299999</v>
      </c>
      <c r="M212" s="20">
        <v>63</v>
      </c>
    </row>
    <row r="213" spans="1:13" ht="30" customHeight="1">
      <c r="A213" s="19" t="s">
        <v>30</v>
      </c>
      <c r="B213" s="30" t="s">
        <v>389</v>
      </c>
      <c r="C213" s="30" t="s">
        <v>310</v>
      </c>
      <c r="D213" s="27">
        <v>13863.278219516584</v>
      </c>
      <c r="E213" s="28">
        <v>12792.084248177664</v>
      </c>
      <c r="F213" s="27">
        <f t="shared" si="7"/>
        <v>1071.1939713389202</v>
      </c>
      <c r="G213" s="27">
        <f t="shared" si="6"/>
        <v>7.726844649419963</v>
      </c>
      <c r="H213" s="29">
        <v>68</v>
      </c>
      <c r="I213" s="29">
        <v>2</v>
      </c>
      <c r="J213" s="13" t="s">
        <v>54</v>
      </c>
      <c r="K213" s="30">
        <v>40.8741466667</v>
      </c>
      <c r="L213" s="30">
        <v>72.027926666699997</v>
      </c>
      <c r="M213" s="20">
        <v>25</v>
      </c>
    </row>
    <row r="214" spans="1:13" ht="30" customHeight="1">
      <c r="A214" s="19" t="s">
        <v>30</v>
      </c>
      <c r="B214" s="30" t="s">
        <v>392</v>
      </c>
      <c r="C214" s="30" t="s">
        <v>311</v>
      </c>
      <c r="D214" s="27">
        <v>10405.687979516586</v>
      </c>
      <c r="E214" s="28">
        <v>9767.0709148443293</v>
      </c>
      <c r="F214" s="27">
        <f t="shared" si="7"/>
        <v>638.61706467225667</v>
      </c>
      <c r="G214" s="27">
        <f t="shared" si="6"/>
        <v>6.1371921388510122</v>
      </c>
      <c r="H214" s="29">
        <v>56</v>
      </c>
      <c r="I214" s="29">
        <v>1</v>
      </c>
      <c r="J214" s="13" t="s">
        <v>52</v>
      </c>
      <c r="K214" s="30">
        <v>40.822923333299997</v>
      </c>
      <c r="L214" s="30">
        <v>72.176041666700002</v>
      </c>
      <c r="M214" s="20">
        <v>100</v>
      </c>
    </row>
    <row r="215" spans="1:13" ht="30" customHeight="1">
      <c r="A215" s="19" t="s">
        <v>30</v>
      </c>
      <c r="B215" s="30" t="s">
        <v>388</v>
      </c>
      <c r="C215" s="30" t="s">
        <v>312</v>
      </c>
      <c r="D215" s="27">
        <v>11972.439989516583</v>
      </c>
      <c r="E215" s="28">
        <v>11137.807581510997</v>
      </c>
      <c r="F215" s="27">
        <f t="shared" si="7"/>
        <v>834.6324080055856</v>
      </c>
      <c r="G215" s="27">
        <f t="shared" si="6"/>
        <v>6.9712807809971409</v>
      </c>
      <c r="H215" s="29">
        <v>74</v>
      </c>
      <c r="I215" s="29">
        <v>1</v>
      </c>
      <c r="J215" s="13" t="s">
        <v>42</v>
      </c>
      <c r="K215" s="30">
        <v>40.871153333300001</v>
      </c>
      <c r="L215" s="30">
        <v>72.022553333299996</v>
      </c>
      <c r="M215" s="20">
        <v>250</v>
      </c>
    </row>
    <row r="216" spans="1:13" ht="30" customHeight="1">
      <c r="A216" s="19" t="s">
        <v>30</v>
      </c>
      <c r="B216" s="30" t="s">
        <v>389</v>
      </c>
      <c r="C216" s="30" t="s">
        <v>313</v>
      </c>
      <c r="D216" s="27">
        <v>22590.258479516589</v>
      </c>
      <c r="E216" s="28">
        <v>20427.237581510995</v>
      </c>
      <c r="F216" s="27">
        <f t="shared" si="7"/>
        <v>2163.0208980055941</v>
      </c>
      <c r="G216" s="27">
        <f t="shared" si="6"/>
        <v>9.5750161511736742</v>
      </c>
      <c r="H216" s="29">
        <v>97</v>
      </c>
      <c r="I216" s="29">
        <v>4</v>
      </c>
      <c r="J216" s="13" t="s">
        <v>27</v>
      </c>
      <c r="K216" s="30">
        <v>40.879914999999997</v>
      </c>
      <c r="L216" s="30">
        <v>72.089108333300004</v>
      </c>
      <c r="M216" s="20">
        <v>40</v>
      </c>
    </row>
    <row r="217" spans="1:13" ht="30" customHeight="1">
      <c r="A217" s="19" t="s">
        <v>30</v>
      </c>
      <c r="B217" s="30" t="s">
        <v>388</v>
      </c>
      <c r="C217" s="30" t="s">
        <v>314</v>
      </c>
      <c r="D217" s="27">
        <v>11208.481649516585</v>
      </c>
      <c r="E217" s="28">
        <v>10469.427581510996</v>
      </c>
      <c r="F217" s="27">
        <f t="shared" si="7"/>
        <v>739.05406800558922</v>
      </c>
      <c r="G217" s="27">
        <f t="shared" si="6"/>
        <v>6.5937036890046938</v>
      </c>
      <c r="H217" s="29">
        <v>52</v>
      </c>
      <c r="I217" s="29">
        <v>2</v>
      </c>
      <c r="J217" s="13" t="s">
        <v>32</v>
      </c>
      <c r="K217" s="30">
        <v>40.876891666699997</v>
      </c>
      <c r="L217" s="30">
        <v>71.987205000000003</v>
      </c>
      <c r="M217" s="19">
        <v>160</v>
      </c>
    </row>
    <row r="218" spans="1:13" ht="30" customHeight="1">
      <c r="A218" s="19" t="s">
        <v>30</v>
      </c>
      <c r="B218" s="30" t="s">
        <v>388</v>
      </c>
      <c r="C218" s="30" t="s">
        <v>315</v>
      </c>
      <c r="D218" s="27">
        <v>11434.35368951658</v>
      </c>
      <c r="E218" s="28">
        <v>10667.04091484433</v>
      </c>
      <c r="F218" s="27">
        <f t="shared" si="7"/>
        <v>767.31277467224936</v>
      </c>
      <c r="G218" s="27">
        <f t="shared" si="6"/>
        <v>6.7105915691216449</v>
      </c>
      <c r="H218" s="29">
        <v>43</v>
      </c>
      <c r="I218" s="29">
        <v>2</v>
      </c>
      <c r="J218" s="13"/>
      <c r="K218" s="30">
        <v>40.8787183333</v>
      </c>
      <c r="L218" s="30">
        <v>71.984646666700002</v>
      </c>
      <c r="M218" s="20">
        <v>160</v>
      </c>
    </row>
    <row r="219" spans="1:13" ht="30" customHeight="1">
      <c r="A219" s="19" t="s">
        <v>30</v>
      </c>
      <c r="B219" s="30" t="s">
        <v>392</v>
      </c>
      <c r="C219" s="30" t="s">
        <v>316</v>
      </c>
      <c r="D219" s="27">
        <v>13647.552209516585</v>
      </c>
      <c r="E219" s="28">
        <v>12603.347581510996</v>
      </c>
      <c r="F219" s="27">
        <f t="shared" si="7"/>
        <v>1044.2046280055893</v>
      </c>
      <c r="G219" s="27">
        <f t="shared" si="6"/>
        <v>7.6512228125235096</v>
      </c>
      <c r="H219" s="29">
        <v>96</v>
      </c>
      <c r="I219" s="29">
        <v>1</v>
      </c>
      <c r="J219" s="13"/>
      <c r="K219" s="30">
        <v>40.835000000000001</v>
      </c>
      <c r="L219" s="30">
        <v>72.206898333300003</v>
      </c>
      <c r="M219" s="20">
        <v>63</v>
      </c>
    </row>
    <row r="220" spans="1:13" ht="30" customHeight="1">
      <c r="A220" s="19" t="s">
        <v>30</v>
      </c>
      <c r="B220" s="30" t="s">
        <v>387</v>
      </c>
      <c r="C220" s="30" t="s">
        <v>317</v>
      </c>
      <c r="D220" s="27">
        <v>11179.236089516582</v>
      </c>
      <c r="E220" s="28">
        <v>10443.84091484433</v>
      </c>
      <c r="F220" s="27">
        <f t="shared" si="7"/>
        <v>735.39517467225232</v>
      </c>
      <c r="G220" s="27">
        <f t="shared" si="6"/>
        <v>6.5782238498556715</v>
      </c>
      <c r="H220" s="29">
        <v>80</v>
      </c>
      <c r="I220" s="29">
        <v>2</v>
      </c>
      <c r="J220" s="13"/>
      <c r="K220" s="30">
        <v>40.880708333299999</v>
      </c>
      <c r="L220" s="30">
        <v>71.964420000000004</v>
      </c>
      <c r="M220" s="20">
        <v>63</v>
      </c>
    </row>
    <row r="221" spans="1:13" ht="30" customHeight="1">
      <c r="A221" s="19" t="s">
        <v>13</v>
      </c>
      <c r="B221" s="30" t="s">
        <v>386</v>
      </c>
      <c r="C221" s="30" t="s">
        <v>318</v>
      </c>
      <c r="D221" s="27">
        <v>32080.038839516586</v>
      </c>
      <c r="E221" s="28">
        <v>28729.757581510985</v>
      </c>
      <c r="F221" s="27">
        <f t="shared" si="7"/>
        <v>3350.2812580056016</v>
      </c>
      <c r="G221" s="27">
        <f t="shared" si="6"/>
        <v>10.443507486900808</v>
      </c>
      <c r="H221" s="29">
        <v>71</v>
      </c>
      <c r="I221" s="29">
        <v>2</v>
      </c>
      <c r="J221" s="13"/>
      <c r="K221" s="30">
        <v>40.874901666699998</v>
      </c>
      <c r="L221" s="30">
        <v>71.967150000000004</v>
      </c>
      <c r="M221" s="20">
        <v>160</v>
      </c>
    </row>
    <row r="222" spans="1:13" ht="30" customHeight="1">
      <c r="A222" s="19" t="s">
        <v>30</v>
      </c>
      <c r="B222" s="30" t="s">
        <v>386</v>
      </c>
      <c r="C222" s="30" t="s">
        <v>319</v>
      </c>
      <c r="D222" s="27">
        <v>12090.146129516585</v>
      </c>
      <c r="E222" s="28">
        <v>11240.787581510996</v>
      </c>
      <c r="F222" s="27">
        <f t="shared" si="7"/>
        <v>849.35854800558809</v>
      </c>
      <c r="G222" s="27">
        <f t="shared" si="6"/>
        <v>7.0252132514096344</v>
      </c>
      <c r="H222" s="29">
        <v>125</v>
      </c>
      <c r="I222" s="29">
        <v>2</v>
      </c>
      <c r="J222" s="13"/>
      <c r="K222" s="30">
        <v>40.869693333299999</v>
      </c>
      <c r="L222" s="30">
        <v>71.966144999999997</v>
      </c>
      <c r="M222" s="19">
        <v>160</v>
      </c>
    </row>
    <row r="223" spans="1:13" ht="30" customHeight="1">
      <c r="A223" s="19" t="s">
        <v>30</v>
      </c>
      <c r="B223" s="30" t="s">
        <v>384</v>
      </c>
      <c r="C223" s="30" t="s">
        <v>90</v>
      </c>
      <c r="D223" s="27">
        <v>10979.797829516587</v>
      </c>
      <c r="E223" s="28">
        <v>10269.354248177662</v>
      </c>
      <c r="F223" s="27">
        <f t="shared" si="7"/>
        <v>710.44358133892456</v>
      </c>
      <c r="G223" s="27">
        <f t="shared" si="6"/>
        <v>6.4704614089438444</v>
      </c>
      <c r="H223" s="29">
        <v>86</v>
      </c>
      <c r="I223" s="29">
        <v>1</v>
      </c>
      <c r="J223" s="13" t="s">
        <v>39</v>
      </c>
      <c r="K223" s="30">
        <v>40.8802053239</v>
      </c>
      <c r="L223" s="30">
        <v>71.948066717000003</v>
      </c>
      <c r="M223" s="20">
        <v>100</v>
      </c>
    </row>
    <row r="224" spans="1:13" ht="30" customHeight="1">
      <c r="A224" s="19" t="s">
        <v>13</v>
      </c>
      <c r="B224" s="30" t="s">
        <v>392</v>
      </c>
      <c r="C224" s="30" t="s">
        <v>320</v>
      </c>
      <c r="D224" s="27">
        <v>12652.627859516584</v>
      </c>
      <c r="E224" s="28">
        <v>11732.897581510997</v>
      </c>
      <c r="F224" s="27">
        <f t="shared" si="7"/>
        <v>919.73027800558702</v>
      </c>
      <c r="G224" s="27">
        <f t="shared" si="6"/>
        <v>7.2690850329073609</v>
      </c>
      <c r="H224" s="29">
        <v>41</v>
      </c>
      <c r="I224" s="29">
        <v>1</v>
      </c>
      <c r="J224" s="13" t="s">
        <v>23</v>
      </c>
      <c r="K224" s="30">
        <v>40.837551666700001</v>
      </c>
      <c r="L224" s="30">
        <v>72.172751666699995</v>
      </c>
      <c r="M224" s="20">
        <v>100</v>
      </c>
    </row>
    <row r="225" spans="1:13" ht="30" customHeight="1">
      <c r="A225" s="16" t="s">
        <v>13</v>
      </c>
      <c r="B225" s="30" t="s">
        <v>385</v>
      </c>
      <c r="C225" s="30" t="s">
        <v>321</v>
      </c>
      <c r="D225" s="27">
        <v>14527.864139516581</v>
      </c>
      <c r="E225" s="28">
        <v>13373.524248177662</v>
      </c>
      <c r="F225" s="27">
        <f t="shared" si="7"/>
        <v>1154.3398913389192</v>
      </c>
      <c r="G225" s="27">
        <f t="shared" si="6"/>
        <v>7.9456958039623444</v>
      </c>
      <c r="H225" s="29">
        <v>87</v>
      </c>
      <c r="I225" s="29">
        <v>2</v>
      </c>
      <c r="J225" s="15" t="s">
        <v>55</v>
      </c>
      <c r="K225" s="30">
        <v>40.857341666700002</v>
      </c>
      <c r="L225" s="30">
        <v>72.001365000000007</v>
      </c>
      <c r="M225" s="15">
        <v>1000</v>
      </c>
    </row>
    <row r="226" spans="1:13" ht="30" customHeight="1">
      <c r="A226" s="16" t="s">
        <v>13</v>
      </c>
      <c r="B226" s="30" t="s">
        <v>387</v>
      </c>
      <c r="C226" s="30" t="s">
        <v>322</v>
      </c>
      <c r="D226" s="27">
        <v>11698.729589516586</v>
      </c>
      <c r="E226" s="28">
        <v>10898.34091484433</v>
      </c>
      <c r="F226" s="27">
        <f t="shared" si="7"/>
        <v>800.38867467225646</v>
      </c>
      <c r="G226" s="27">
        <f t="shared" si="6"/>
        <v>6.8416717263855489</v>
      </c>
      <c r="H226" s="29">
        <v>49</v>
      </c>
      <c r="I226" s="29">
        <v>1</v>
      </c>
      <c r="J226" s="15" t="s">
        <v>55</v>
      </c>
      <c r="K226" s="30">
        <v>40.883535000000002</v>
      </c>
      <c r="L226" s="30">
        <v>71.979993333300001</v>
      </c>
      <c r="M226" s="15">
        <v>630</v>
      </c>
    </row>
    <row r="227" spans="1:13" ht="30" customHeight="1">
      <c r="A227" s="16" t="s">
        <v>13</v>
      </c>
      <c r="B227" s="30" t="s">
        <v>390</v>
      </c>
      <c r="C227" s="30" t="s">
        <v>323</v>
      </c>
      <c r="D227" s="27">
        <v>13074.87872951658</v>
      </c>
      <c r="E227" s="28">
        <v>12102.320914844331</v>
      </c>
      <c r="F227" s="27">
        <f t="shared" si="7"/>
        <v>972.55781467224915</v>
      </c>
      <c r="G227" s="27">
        <f t="shared" si="6"/>
        <v>7.4383696766280263</v>
      </c>
      <c r="H227" s="29">
        <v>50</v>
      </c>
      <c r="I227" s="29">
        <v>4</v>
      </c>
      <c r="J227" s="15" t="s">
        <v>56</v>
      </c>
      <c r="K227" s="30">
        <v>40.874026666600002</v>
      </c>
      <c r="L227" s="30">
        <v>72.094549999700007</v>
      </c>
      <c r="M227" s="15">
        <v>400</v>
      </c>
    </row>
    <row r="228" spans="1:13" ht="30" customHeight="1">
      <c r="A228" s="16" t="s">
        <v>30</v>
      </c>
      <c r="B228" s="30" t="s">
        <v>391</v>
      </c>
      <c r="C228" s="30" t="s">
        <v>324</v>
      </c>
      <c r="D228" s="27">
        <v>10719.538634516581</v>
      </c>
      <c r="E228" s="28">
        <v>10041.655914844328</v>
      </c>
      <c r="F228" s="27">
        <f t="shared" si="7"/>
        <v>677.88271967225228</v>
      </c>
      <c r="G228" s="27">
        <f t="shared" si="6"/>
        <v>6.3238049955759381</v>
      </c>
      <c r="H228" s="29">
        <v>73</v>
      </c>
      <c r="I228" s="29">
        <v>2</v>
      </c>
      <c r="J228" s="15" t="s">
        <v>57</v>
      </c>
      <c r="K228" s="30">
        <v>40.846710000000002</v>
      </c>
      <c r="L228" s="30">
        <v>72.065683333300001</v>
      </c>
      <c r="M228" s="15">
        <v>1000</v>
      </c>
    </row>
    <row r="229" spans="1:13" ht="30" customHeight="1">
      <c r="A229" s="16" t="s">
        <v>13</v>
      </c>
      <c r="B229" s="30" t="s">
        <v>392</v>
      </c>
      <c r="C229" s="30" t="s">
        <v>325</v>
      </c>
      <c r="D229" s="27">
        <v>21821.907209516583</v>
      </c>
      <c r="E229" s="28">
        <v>19755.014248177667</v>
      </c>
      <c r="F229" s="27">
        <f t="shared" si="7"/>
        <v>2066.8929613389155</v>
      </c>
      <c r="G229" s="27">
        <f t="shared" si="6"/>
        <v>9.4716421506802995</v>
      </c>
      <c r="H229" s="29">
        <v>124</v>
      </c>
      <c r="I229" s="29">
        <v>1</v>
      </c>
      <c r="J229" s="15" t="s">
        <v>58</v>
      </c>
      <c r="K229" s="30">
        <v>40.839961666699999</v>
      </c>
      <c r="L229" s="30">
        <v>72.232654999999994</v>
      </c>
      <c r="M229" s="15">
        <v>1000</v>
      </c>
    </row>
    <row r="230" spans="1:13" ht="30" customHeight="1">
      <c r="A230" s="16" t="s">
        <v>13</v>
      </c>
      <c r="B230" s="30" t="s">
        <v>387</v>
      </c>
      <c r="C230" s="30" t="s">
        <v>326</v>
      </c>
      <c r="D230" s="27">
        <v>22468.544219516589</v>
      </c>
      <c r="E230" s="28">
        <v>20320.750914844331</v>
      </c>
      <c r="F230" s="27">
        <f t="shared" si="7"/>
        <v>2147.7933046722574</v>
      </c>
      <c r="G230" s="27">
        <f t="shared" si="6"/>
        <v>9.5591119909168167</v>
      </c>
      <c r="H230" s="29">
        <v>100</v>
      </c>
      <c r="I230" s="29">
        <v>1</v>
      </c>
      <c r="J230" s="15" t="s">
        <v>55</v>
      </c>
      <c r="K230" s="30">
        <v>40.873249936800001</v>
      </c>
      <c r="L230" s="30">
        <v>71.969074951500005</v>
      </c>
      <c r="M230" s="15">
        <v>160</v>
      </c>
    </row>
    <row r="231" spans="1:13" ht="30" customHeight="1">
      <c r="A231" s="16" t="s">
        <v>13</v>
      </c>
      <c r="B231" s="30" t="s">
        <v>384</v>
      </c>
      <c r="C231" s="30" t="s">
        <v>118</v>
      </c>
      <c r="D231" s="27">
        <v>19228.242089516585</v>
      </c>
      <c r="E231" s="28">
        <v>17485.840914844335</v>
      </c>
      <c r="F231" s="27">
        <f t="shared" si="7"/>
        <v>1742.4011746722499</v>
      </c>
      <c r="G231" s="27">
        <f t="shared" si="6"/>
        <v>9.061676915448361</v>
      </c>
      <c r="H231" s="29">
        <v>51</v>
      </c>
      <c r="I231" s="29">
        <v>2</v>
      </c>
      <c r="J231" s="15" t="s">
        <v>59</v>
      </c>
      <c r="K231" s="30">
        <v>40.895608333299997</v>
      </c>
      <c r="L231" s="30">
        <v>71.923013333300005</v>
      </c>
      <c r="M231" s="15">
        <v>100</v>
      </c>
    </row>
    <row r="232" spans="1:13" ht="30" customHeight="1">
      <c r="A232" s="16" t="s">
        <v>13</v>
      </c>
      <c r="B232" s="30" t="s">
        <v>386</v>
      </c>
      <c r="C232" s="30" t="s">
        <v>327</v>
      </c>
      <c r="D232" s="27">
        <v>11662.100249516587</v>
      </c>
      <c r="E232" s="28">
        <v>10866.294248177664</v>
      </c>
      <c r="F232" s="27">
        <f t="shared" si="7"/>
        <v>795.80600133892221</v>
      </c>
      <c r="G232" s="27">
        <f t="shared" si="6"/>
        <v>6.8238652070574481</v>
      </c>
      <c r="H232" s="29">
        <v>66</v>
      </c>
      <c r="I232" s="29">
        <v>4</v>
      </c>
      <c r="J232" s="15" t="s">
        <v>55</v>
      </c>
      <c r="K232" s="30">
        <v>40.875115049900003</v>
      </c>
      <c r="L232" s="30">
        <v>72.008864803799995</v>
      </c>
      <c r="M232" s="15">
        <v>250</v>
      </c>
    </row>
    <row r="233" spans="1:13" ht="30" customHeight="1">
      <c r="A233" s="16" t="s">
        <v>13</v>
      </c>
      <c r="B233" s="30" t="s">
        <v>390</v>
      </c>
      <c r="C233" s="30" t="s">
        <v>328</v>
      </c>
      <c r="D233" s="27">
        <v>12391.090409516581</v>
      </c>
      <c r="E233" s="28">
        <v>11504.080914844328</v>
      </c>
      <c r="F233" s="27">
        <f t="shared" si="7"/>
        <v>887.00949467225291</v>
      </c>
      <c r="G233" s="27">
        <f t="shared" si="6"/>
        <v>7.1584458296827025</v>
      </c>
      <c r="H233" s="29">
        <v>44</v>
      </c>
      <c r="I233" s="29">
        <v>1</v>
      </c>
      <c r="J233" s="15" t="s">
        <v>60</v>
      </c>
      <c r="K233" s="30">
        <v>40.874026666600002</v>
      </c>
      <c r="L233" s="30">
        <v>72.094549999700007</v>
      </c>
      <c r="M233" s="15">
        <v>160</v>
      </c>
    </row>
    <row r="234" spans="1:13" ht="30" customHeight="1">
      <c r="A234" s="16" t="s">
        <v>13</v>
      </c>
      <c r="B234" s="30" t="s">
        <v>391</v>
      </c>
      <c r="C234" s="30" t="s">
        <v>329</v>
      </c>
      <c r="D234" s="27">
        <v>14831.574479516587</v>
      </c>
      <c r="E234" s="28">
        <v>13639.237581510995</v>
      </c>
      <c r="F234" s="27">
        <f t="shared" si="7"/>
        <v>1192.3368980055911</v>
      </c>
      <c r="G234" s="27">
        <f t="shared" si="6"/>
        <v>8.039179519694887</v>
      </c>
      <c r="H234" s="29">
        <v>100</v>
      </c>
      <c r="I234" s="29">
        <v>2</v>
      </c>
      <c r="J234" s="15" t="s">
        <v>61</v>
      </c>
      <c r="K234" s="30">
        <v>40.816318333300003</v>
      </c>
      <c r="L234" s="30">
        <v>72.106885000000005</v>
      </c>
      <c r="M234" s="15">
        <v>100</v>
      </c>
    </row>
    <row r="235" spans="1:13" ht="30" customHeight="1">
      <c r="A235" s="16" t="s">
        <v>13</v>
      </c>
      <c r="B235" s="30" t="s">
        <v>390</v>
      </c>
      <c r="C235" s="30" t="s">
        <v>330</v>
      </c>
      <c r="D235" s="27">
        <v>11787.914069516582</v>
      </c>
      <c r="E235" s="28">
        <v>10976.367581510995</v>
      </c>
      <c r="F235" s="27">
        <f t="shared" si="7"/>
        <v>811.54648800558789</v>
      </c>
      <c r="G235" s="27">
        <f t="shared" si="6"/>
        <v>6.8845639968163521</v>
      </c>
      <c r="H235" s="29">
        <v>35</v>
      </c>
      <c r="I235" s="29">
        <v>1</v>
      </c>
      <c r="J235" s="15" t="s">
        <v>55</v>
      </c>
      <c r="K235" s="30">
        <v>40.872684479199997</v>
      </c>
      <c r="L235" s="30">
        <v>72.093719629500001</v>
      </c>
      <c r="M235" s="15">
        <v>100</v>
      </c>
    </row>
    <row r="236" spans="1:13" ht="30" customHeight="1">
      <c r="A236" s="16" t="s">
        <v>13</v>
      </c>
      <c r="B236" s="30" t="s">
        <v>384</v>
      </c>
      <c r="C236" s="30" t="s">
        <v>95</v>
      </c>
      <c r="D236" s="27">
        <v>11689.955159516581</v>
      </c>
      <c r="E236" s="28">
        <v>10890.664248177663</v>
      </c>
      <c r="F236" s="27">
        <f t="shared" si="7"/>
        <v>799.29091133891779</v>
      </c>
      <c r="G236" s="27">
        <f t="shared" si="6"/>
        <v>6.8374164009365721</v>
      </c>
      <c r="H236" s="29">
        <v>48</v>
      </c>
      <c r="I236" s="29">
        <v>1</v>
      </c>
      <c r="J236" s="15" t="s">
        <v>62</v>
      </c>
      <c r="K236" s="30">
        <v>40.874026666600002</v>
      </c>
      <c r="L236" s="30">
        <v>72.094549999700007</v>
      </c>
      <c r="M236" s="15">
        <v>400</v>
      </c>
    </row>
    <row r="237" spans="1:13" ht="30" customHeight="1">
      <c r="A237" s="16" t="s">
        <v>13</v>
      </c>
      <c r="B237" s="30" t="s">
        <v>388</v>
      </c>
      <c r="C237" s="30" t="s">
        <v>331</v>
      </c>
      <c r="D237" s="27">
        <v>12945.182519516586</v>
      </c>
      <c r="E237" s="28">
        <v>11988.85091484433</v>
      </c>
      <c r="F237" s="27">
        <f t="shared" si="7"/>
        <v>956.33160467225571</v>
      </c>
      <c r="G237" s="27">
        <f t="shared" si="6"/>
        <v>7.3875482499413083</v>
      </c>
      <c r="H237" s="29">
        <v>79</v>
      </c>
      <c r="I237" s="29">
        <v>2</v>
      </c>
      <c r="J237" s="15" t="s">
        <v>60</v>
      </c>
      <c r="K237" s="30">
        <v>40.869140000000002</v>
      </c>
      <c r="L237" s="30">
        <v>71.991384999999994</v>
      </c>
      <c r="M237" s="15">
        <v>100</v>
      </c>
    </row>
    <row r="238" spans="1:13" ht="30" customHeight="1">
      <c r="A238" s="16" t="s">
        <v>13</v>
      </c>
      <c r="B238" s="30" t="s">
        <v>392</v>
      </c>
      <c r="C238" s="30" t="s">
        <v>332</v>
      </c>
      <c r="D238" s="27">
        <v>12304.439579516582</v>
      </c>
      <c r="E238" s="28">
        <v>11428.27091484433</v>
      </c>
      <c r="F238" s="27">
        <f t="shared" si="7"/>
        <v>876.16866467225191</v>
      </c>
      <c r="G238" s="27">
        <f t="shared" si="6"/>
        <v>7.1207523025333508</v>
      </c>
      <c r="H238" s="29">
        <v>52</v>
      </c>
      <c r="I238" s="29">
        <v>1</v>
      </c>
      <c r="J238" s="15" t="s">
        <v>63</v>
      </c>
      <c r="K238" s="30">
        <v>40.820733333200003</v>
      </c>
      <c r="L238" s="30">
        <v>72.163296666700006</v>
      </c>
      <c r="M238" s="15">
        <v>160</v>
      </c>
    </row>
    <row r="239" spans="1:13" ht="30" customHeight="1">
      <c r="A239" s="16" t="s">
        <v>30</v>
      </c>
      <c r="B239" s="30" t="s">
        <v>391</v>
      </c>
      <c r="C239" s="30" t="s">
        <v>333</v>
      </c>
      <c r="D239" s="27">
        <v>13313.556179516583</v>
      </c>
      <c r="E239" s="28">
        <v>12311.137581510997</v>
      </c>
      <c r="F239" s="27">
        <f t="shared" si="7"/>
        <v>1002.4185980055863</v>
      </c>
      <c r="G239" s="27">
        <f t="shared" si="6"/>
        <v>7.5293076056406756</v>
      </c>
      <c r="H239" s="29">
        <v>68</v>
      </c>
      <c r="I239" s="29">
        <v>1</v>
      </c>
      <c r="J239" s="15" t="s">
        <v>64</v>
      </c>
      <c r="K239" s="30">
        <v>40.813206666600003</v>
      </c>
      <c r="L239" s="30">
        <v>72.109205000000003</v>
      </c>
      <c r="M239" s="15">
        <v>630</v>
      </c>
    </row>
    <row r="240" spans="1:13" ht="30" customHeight="1">
      <c r="A240" s="16" t="s">
        <v>13</v>
      </c>
      <c r="B240" s="30" t="s">
        <v>386</v>
      </c>
      <c r="C240" s="30" t="s">
        <v>334</v>
      </c>
      <c r="D240" s="27">
        <v>15041.833139516586</v>
      </c>
      <c r="E240" s="28">
        <v>13823.19091484433</v>
      </c>
      <c r="F240" s="27">
        <f t="shared" si="7"/>
        <v>1218.6422246722559</v>
      </c>
      <c r="G240" s="27">
        <f t="shared" si="6"/>
        <v>8.101686897926994</v>
      </c>
      <c r="H240" s="29">
        <v>101</v>
      </c>
      <c r="I240" s="29">
        <v>4</v>
      </c>
      <c r="J240" s="15" t="s">
        <v>65</v>
      </c>
      <c r="K240" s="30">
        <v>40.872072950000003</v>
      </c>
      <c r="L240" s="30">
        <v>71.967303771499999</v>
      </c>
      <c r="M240" s="15">
        <v>100</v>
      </c>
    </row>
    <row r="241" spans="1:14" ht="30" customHeight="1">
      <c r="A241" s="16" t="s">
        <v>30</v>
      </c>
      <c r="B241" s="30" t="s">
        <v>389</v>
      </c>
      <c r="C241" s="30" t="s">
        <v>335</v>
      </c>
      <c r="D241" s="27">
        <v>14415.450089516582</v>
      </c>
      <c r="E241" s="28">
        <v>13275.174248177664</v>
      </c>
      <c r="F241" s="27">
        <f t="shared" si="7"/>
        <v>1140.2758413389183</v>
      </c>
      <c r="G241" s="27">
        <f t="shared" si="6"/>
        <v>7.9100953092554951</v>
      </c>
      <c r="H241" s="29">
        <v>73</v>
      </c>
      <c r="I241" s="29">
        <v>2</v>
      </c>
      <c r="J241" s="15" t="s">
        <v>62</v>
      </c>
      <c r="K241" s="30">
        <v>40.875613333300002</v>
      </c>
      <c r="L241" s="30">
        <v>72.034936666700006</v>
      </c>
      <c r="M241" s="15">
        <v>400</v>
      </c>
    </row>
    <row r="242" spans="1:14" ht="30" customHeight="1">
      <c r="A242" s="16" t="s">
        <v>13</v>
      </c>
      <c r="B242" s="30" t="s">
        <v>391</v>
      </c>
      <c r="C242" s="30" t="s">
        <v>336</v>
      </c>
      <c r="D242" s="27">
        <v>9715.8531895165852</v>
      </c>
      <c r="E242" s="28">
        <v>9163.5409148443305</v>
      </c>
      <c r="F242" s="27">
        <f t="shared" si="7"/>
        <v>552.31227467225472</v>
      </c>
      <c r="G242" s="27">
        <f t="shared" si="6"/>
        <v>5.6846502710456779</v>
      </c>
      <c r="H242" s="29">
        <v>23</v>
      </c>
      <c r="I242" s="29">
        <v>1</v>
      </c>
      <c r="J242" s="15" t="s">
        <v>66</v>
      </c>
      <c r="K242" s="30">
        <v>40.813206666600003</v>
      </c>
      <c r="L242" s="30">
        <v>72.109205000000003</v>
      </c>
      <c r="M242" s="15">
        <v>100</v>
      </c>
    </row>
    <row r="243" spans="1:14" ht="30" customHeight="1">
      <c r="A243" s="16" t="s">
        <v>13</v>
      </c>
      <c r="B243" s="30" t="s">
        <v>391</v>
      </c>
      <c r="C243" s="30" t="s">
        <v>337</v>
      </c>
      <c r="D243" s="27">
        <v>10210.863629516583</v>
      </c>
      <c r="E243" s="28">
        <v>9596.6209148443286</v>
      </c>
      <c r="F243" s="27">
        <f t="shared" si="7"/>
        <v>614.24271467225481</v>
      </c>
      <c r="G243" s="27">
        <f t="shared" si="6"/>
        <v>6.0155804343195909</v>
      </c>
      <c r="H243" s="29">
        <v>48</v>
      </c>
      <c r="I243" s="29">
        <v>1</v>
      </c>
      <c r="J243" s="15" t="s">
        <v>59</v>
      </c>
      <c r="K243" s="30">
        <v>40.813206666600003</v>
      </c>
      <c r="L243" s="30">
        <v>72.109205000000003</v>
      </c>
      <c r="M243" s="15">
        <v>100</v>
      </c>
    </row>
    <row r="244" spans="1:14" ht="30" customHeight="1">
      <c r="A244" s="16" t="s">
        <v>13</v>
      </c>
      <c r="B244" s="30" t="s">
        <v>391</v>
      </c>
      <c r="C244" s="30" t="s">
        <v>338</v>
      </c>
      <c r="D244" s="27">
        <v>9831.5933695165859</v>
      </c>
      <c r="E244" s="28">
        <v>9264.8009148443289</v>
      </c>
      <c r="F244" s="27">
        <f t="shared" si="7"/>
        <v>566.79245467225701</v>
      </c>
      <c r="G244" s="27">
        <f t="shared" si="6"/>
        <v>5.7650111570890354</v>
      </c>
      <c r="H244" s="29">
        <v>27</v>
      </c>
      <c r="I244" s="29">
        <v>2</v>
      </c>
      <c r="J244" s="15" t="s">
        <v>66</v>
      </c>
      <c r="K244" s="30">
        <v>40.813206666600003</v>
      </c>
      <c r="L244" s="30">
        <v>72.109205000000003</v>
      </c>
      <c r="M244" s="15">
        <v>25</v>
      </c>
    </row>
    <row r="245" spans="1:14" ht="30" customHeight="1">
      <c r="A245" s="16" t="s">
        <v>13</v>
      </c>
      <c r="B245" s="30" t="s">
        <v>387</v>
      </c>
      <c r="C245" s="30" t="s">
        <v>339</v>
      </c>
      <c r="D245" s="27">
        <v>9431.1166495165799</v>
      </c>
      <c r="E245" s="28">
        <v>8914.4275815109959</v>
      </c>
      <c r="F245" s="27">
        <f t="shared" si="7"/>
        <v>516.68906800558398</v>
      </c>
      <c r="G245" s="27">
        <f t="shared" si="6"/>
        <v>5.4785566461217341</v>
      </c>
      <c r="H245" s="29">
        <v>35</v>
      </c>
      <c r="I245" s="29">
        <v>4</v>
      </c>
      <c r="J245" s="15" t="s">
        <v>66</v>
      </c>
      <c r="K245" s="30">
        <v>40.887124999999997</v>
      </c>
      <c r="L245" s="30">
        <v>71.961399</v>
      </c>
      <c r="M245" s="15">
        <v>63</v>
      </c>
    </row>
    <row r="246" spans="1:14" ht="30" customHeight="1">
      <c r="A246" s="16" t="s">
        <v>13</v>
      </c>
      <c r="B246" s="30" t="s">
        <v>388</v>
      </c>
      <c r="C246" s="30" t="s">
        <v>340</v>
      </c>
      <c r="D246" s="27">
        <v>9458.5829395165838</v>
      </c>
      <c r="E246" s="28">
        <v>8938.4575815109947</v>
      </c>
      <c r="F246" s="27">
        <f t="shared" si="7"/>
        <v>520.12535800558908</v>
      </c>
      <c r="G246" s="27">
        <f t="shared" si="6"/>
        <v>5.4989776093476008</v>
      </c>
      <c r="H246" s="29">
        <v>98</v>
      </c>
      <c r="I246" s="29">
        <v>1</v>
      </c>
      <c r="J246" s="15" t="s">
        <v>67</v>
      </c>
      <c r="K246" s="30">
        <v>40.890337000000002</v>
      </c>
      <c r="L246" s="30">
        <v>72.009943000000007</v>
      </c>
      <c r="M246" s="15">
        <v>160</v>
      </c>
      <c r="N246" s="32">
        <v>7</v>
      </c>
    </row>
    <row r="247" spans="1:14" ht="30" customHeight="1">
      <c r="A247" s="16" t="s">
        <v>13</v>
      </c>
      <c r="B247" s="30" t="s">
        <v>390</v>
      </c>
      <c r="C247" s="30" t="s">
        <v>341</v>
      </c>
      <c r="D247" s="27">
        <v>9533.1217795165849</v>
      </c>
      <c r="E247" s="28">
        <v>9003.6709148443279</v>
      </c>
      <c r="F247" s="27">
        <f t="shared" si="7"/>
        <v>529.45086467225701</v>
      </c>
      <c r="G247" s="27">
        <f t="shared" si="6"/>
        <v>5.5538036428934081</v>
      </c>
      <c r="H247" s="29">
        <v>57</v>
      </c>
      <c r="I247" s="29">
        <v>1</v>
      </c>
      <c r="J247" s="15" t="s">
        <v>60</v>
      </c>
      <c r="K247" s="13"/>
      <c r="L247" s="13"/>
      <c r="M247" s="15">
        <v>63</v>
      </c>
    </row>
    <row r="248" spans="1:14" ht="30" customHeight="1">
      <c r="A248" s="16" t="s">
        <v>13</v>
      </c>
      <c r="B248" s="30" t="s">
        <v>384</v>
      </c>
      <c r="C248" s="30" t="s">
        <v>122</v>
      </c>
      <c r="D248" s="27">
        <v>9431.1166495165799</v>
      </c>
      <c r="E248" s="28">
        <v>8914.4275815109959</v>
      </c>
      <c r="F248" s="27">
        <f t="shared" si="7"/>
        <v>516.68906800558398</v>
      </c>
      <c r="G248" s="27">
        <f t="shared" si="6"/>
        <v>5.4785566461217341</v>
      </c>
      <c r="H248" s="29">
        <v>18</v>
      </c>
      <c r="I248" s="29">
        <v>2</v>
      </c>
      <c r="J248" s="15" t="s">
        <v>75</v>
      </c>
      <c r="K248" s="13"/>
      <c r="L248" s="13"/>
      <c r="M248" s="15">
        <v>160</v>
      </c>
    </row>
    <row r="249" spans="1:14" ht="30" customHeight="1">
      <c r="A249" s="16" t="s">
        <v>13</v>
      </c>
      <c r="B249" s="30" t="s">
        <v>387</v>
      </c>
      <c r="C249" s="30" t="s">
        <v>342</v>
      </c>
      <c r="D249" s="27">
        <v>26832.36200951659</v>
      </c>
      <c r="E249" s="28">
        <v>24138.614248177666</v>
      </c>
      <c r="F249" s="27">
        <f t="shared" si="7"/>
        <v>2693.7477613389237</v>
      </c>
      <c r="G249" s="27">
        <f t="shared" si="6"/>
        <v>10.039174935041263</v>
      </c>
      <c r="H249" s="29">
        <v>74</v>
      </c>
      <c r="I249" s="29">
        <v>2</v>
      </c>
      <c r="J249" s="15" t="s">
        <v>75</v>
      </c>
      <c r="K249" s="13"/>
      <c r="L249" s="13"/>
      <c r="M249" s="15">
        <v>63</v>
      </c>
    </row>
    <row r="250" spans="1:14" ht="30" customHeight="1">
      <c r="A250" s="16" t="s">
        <v>13</v>
      </c>
      <c r="B250" s="30" t="s">
        <v>388</v>
      </c>
      <c r="C250" s="30" t="s">
        <v>343</v>
      </c>
      <c r="D250" s="27">
        <v>16124.600849516586</v>
      </c>
      <c r="E250" s="28">
        <v>14770.494248177663</v>
      </c>
      <c r="F250" s="27">
        <f t="shared" si="7"/>
        <v>1354.1066013389227</v>
      </c>
      <c r="G250" s="27">
        <f t="shared" si="6"/>
        <v>8.3977681926899823</v>
      </c>
      <c r="H250" s="29">
        <v>37</v>
      </c>
      <c r="I250" s="29">
        <v>1</v>
      </c>
      <c r="J250" s="15" t="s">
        <v>75</v>
      </c>
      <c r="K250" s="13">
        <v>40.876370000000001</v>
      </c>
      <c r="L250" s="13">
        <v>71.934290000000004</v>
      </c>
      <c r="M250" s="15">
        <v>63</v>
      </c>
    </row>
    <row r="251" spans="1:14" ht="30" customHeight="1">
      <c r="A251" s="16" t="s">
        <v>13</v>
      </c>
      <c r="B251" s="30" t="s">
        <v>389</v>
      </c>
      <c r="C251" s="30" t="s">
        <v>344</v>
      </c>
      <c r="D251" s="27">
        <v>11978.162609516583</v>
      </c>
      <c r="E251" s="28">
        <v>11142.814248177661</v>
      </c>
      <c r="F251" s="27">
        <f t="shared" si="7"/>
        <v>835.34836133892168</v>
      </c>
      <c r="G251" s="27">
        <f t="shared" si="6"/>
        <v>6.9739273757666478</v>
      </c>
      <c r="H251" s="29">
        <v>28</v>
      </c>
      <c r="I251" s="29">
        <v>1</v>
      </c>
      <c r="J251" s="15" t="s">
        <v>75</v>
      </c>
      <c r="K251" s="13"/>
      <c r="L251" s="13"/>
      <c r="M251" s="15">
        <v>160</v>
      </c>
    </row>
    <row r="252" spans="1:14" ht="30" customHeight="1">
      <c r="A252" s="16" t="s">
        <v>13</v>
      </c>
      <c r="B252" s="30" t="s">
        <v>389</v>
      </c>
      <c r="C252" s="30" t="s">
        <v>345</v>
      </c>
      <c r="D252" s="27">
        <v>12207.151229516587</v>
      </c>
      <c r="E252" s="28">
        <v>11343.154248177661</v>
      </c>
      <c r="F252" s="27">
        <f t="shared" si="7"/>
        <v>863.99698133892525</v>
      </c>
      <c r="G252" s="27">
        <f t="shared" si="6"/>
        <v>7.0777937054617803</v>
      </c>
      <c r="H252" s="29">
        <v>57</v>
      </c>
      <c r="I252" s="29">
        <v>2</v>
      </c>
      <c r="J252" s="15" t="s">
        <v>75</v>
      </c>
      <c r="K252" s="13"/>
      <c r="L252" s="13"/>
      <c r="M252" s="15">
        <v>63</v>
      </c>
    </row>
    <row r="253" spans="1:14" ht="30" customHeight="1">
      <c r="A253" s="16" t="s">
        <v>13</v>
      </c>
      <c r="B253" s="30" t="s">
        <v>386</v>
      </c>
      <c r="C253" s="30" t="s">
        <v>346</v>
      </c>
      <c r="D253" s="27">
        <v>13229.450429516581</v>
      </c>
      <c r="E253" s="28">
        <v>12237.554248177665</v>
      </c>
      <c r="F253" s="27">
        <f t="shared" si="7"/>
        <v>991.89618133891599</v>
      </c>
      <c r="G253" s="27">
        <f t="shared" si="6"/>
        <v>7.4976370834412744</v>
      </c>
      <c r="H253" s="29">
        <v>54</v>
      </c>
      <c r="I253" s="29">
        <v>1</v>
      </c>
      <c r="J253" s="15" t="s">
        <v>59</v>
      </c>
      <c r="K253" s="13"/>
      <c r="L253" s="13"/>
      <c r="M253" s="15">
        <v>250</v>
      </c>
    </row>
    <row r="254" spans="1:14" ht="30" customHeight="1">
      <c r="A254" s="16" t="s">
        <v>13</v>
      </c>
      <c r="B254" s="30" t="s">
        <v>388</v>
      </c>
      <c r="C254" s="30" t="s">
        <v>347</v>
      </c>
      <c r="D254" s="27">
        <v>15817.998719516587</v>
      </c>
      <c r="E254" s="28">
        <v>14502.250914844331</v>
      </c>
      <c r="F254" s="27">
        <f t="shared" si="7"/>
        <v>1315.7478046722554</v>
      </c>
      <c r="G254" s="27">
        <f t="shared" si="6"/>
        <v>8.3180421746327333</v>
      </c>
      <c r="H254" s="29">
        <v>83</v>
      </c>
      <c r="I254" s="29">
        <v>2</v>
      </c>
      <c r="J254" s="15" t="s">
        <v>72</v>
      </c>
      <c r="K254" s="13"/>
      <c r="L254" s="13"/>
      <c r="M254" s="15">
        <v>25</v>
      </c>
    </row>
    <row r="255" spans="1:14" ht="30" customHeight="1">
      <c r="A255" s="16" t="s">
        <v>13</v>
      </c>
      <c r="B255" s="30" t="s">
        <v>387</v>
      </c>
      <c r="C255" s="30" t="s">
        <v>348</v>
      </c>
      <c r="D255" s="27">
        <v>13336.012319516585</v>
      </c>
      <c r="E255" s="28">
        <v>12330.784248177664</v>
      </c>
      <c r="F255" s="27">
        <f t="shared" si="7"/>
        <v>1005.2280713389209</v>
      </c>
      <c r="G255" s="27">
        <f t="shared" si="6"/>
        <v>7.5376960312778056</v>
      </c>
      <c r="H255" s="29">
        <v>58</v>
      </c>
      <c r="I255" s="29">
        <v>1</v>
      </c>
      <c r="J255" s="15" t="s">
        <v>76</v>
      </c>
      <c r="K255" s="13"/>
      <c r="L255" s="13"/>
      <c r="M255" s="15">
        <v>630</v>
      </c>
    </row>
    <row r="256" spans="1:14" ht="30" customHeight="1">
      <c r="A256" s="16" t="s">
        <v>30</v>
      </c>
      <c r="B256" s="30" t="s">
        <v>388</v>
      </c>
      <c r="C256" s="30" t="s">
        <v>349</v>
      </c>
      <c r="D256" s="27">
        <v>12252.097799516579</v>
      </c>
      <c r="E256" s="28">
        <v>11382.477581510995</v>
      </c>
      <c r="F256" s="27">
        <f t="shared" si="7"/>
        <v>869.62021800558432</v>
      </c>
      <c r="G256" s="27">
        <f t="shared" si="6"/>
        <v>7.0977250772508214</v>
      </c>
      <c r="H256" s="29">
        <v>57</v>
      </c>
      <c r="I256" s="29">
        <v>1</v>
      </c>
      <c r="J256" s="15" t="s">
        <v>76</v>
      </c>
      <c r="K256" s="13"/>
      <c r="L256" s="13"/>
      <c r="M256" s="15">
        <v>400</v>
      </c>
    </row>
    <row r="257" spans="1:13" ht="30" customHeight="1">
      <c r="A257" s="16" t="s">
        <v>13</v>
      </c>
      <c r="B257" s="30" t="s">
        <v>387</v>
      </c>
      <c r="C257" s="30" t="s">
        <v>350</v>
      </c>
      <c r="D257" s="27">
        <v>14559.269969516585</v>
      </c>
      <c r="E257" s="28">
        <v>13401.000914844331</v>
      </c>
      <c r="F257" s="27">
        <f t="shared" si="7"/>
        <v>1158.2690546722533</v>
      </c>
      <c r="G257" s="27">
        <f t="shared" si="6"/>
        <v>7.9555434928906097</v>
      </c>
      <c r="H257" s="29">
        <v>22</v>
      </c>
      <c r="I257" s="29">
        <v>2</v>
      </c>
      <c r="J257" s="15" t="s">
        <v>55</v>
      </c>
      <c r="K257" s="13"/>
      <c r="L257" s="13"/>
      <c r="M257" s="15">
        <v>160</v>
      </c>
    </row>
    <row r="258" spans="1:13" ht="30" customHeight="1">
      <c r="A258" s="16" t="s">
        <v>13</v>
      </c>
      <c r="B258" s="30" t="s">
        <v>384</v>
      </c>
      <c r="C258" s="30" t="s">
        <v>99</v>
      </c>
      <c r="D258" s="27">
        <v>10720.915949516586</v>
      </c>
      <c r="E258" s="28">
        <v>10042.86091484433</v>
      </c>
      <c r="F258" s="27">
        <f t="shared" si="7"/>
        <v>678.05503467225572</v>
      </c>
      <c r="G258" s="27">
        <f t="shared" si="6"/>
        <v>6.32459985569451</v>
      </c>
      <c r="H258" s="29">
        <v>39</v>
      </c>
      <c r="I258" s="29">
        <v>2</v>
      </c>
      <c r="J258" s="15" t="s">
        <v>75</v>
      </c>
      <c r="K258" s="13"/>
      <c r="L258" s="13"/>
      <c r="M258" s="15">
        <v>160</v>
      </c>
    </row>
    <row r="259" spans="1:13" ht="30" customHeight="1">
      <c r="A259" s="16" t="s">
        <v>13</v>
      </c>
      <c r="B259" s="30" t="s">
        <v>390</v>
      </c>
      <c r="C259" s="30" t="s">
        <v>351</v>
      </c>
      <c r="D259" s="27">
        <v>9433.6274395165801</v>
      </c>
      <c r="E259" s="28">
        <v>8916.6242481776626</v>
      </c>
      <c r="F259" s="27">
        <f t="shared" si="7"/>
        <v>517.00319133891753</v>
      </c>
      <c r="G259" s="27">
        <f t="shared" ref="G259:G293" si="8">+F259*100/D259</f>
        <v>5.4804283363283952</v>
      </c>
      <c r="H259" s="29">
        <v>41</v>
      </c>
      <c r="I259" s="29">
        <v>2</v>
      </c>
      <c r="J259" s="15" t="s">
        <v>75</v>
      </c>
      <c r="K259" s="13">
        <v>40.865291666700003</v>
      </c>
      <c r="L259" s="13">
        <v>71.961494999999999</v>
      </c>
      <c r="M259" s="15">
        <v>100</v>
      </c>
    </row>
    <row r="260" spans="1:13" ht="30" customHeight="1">
      <c r="A260" s="16" t="s">
        <v>30</v>
      </c>
      <c r="B260" s="30" t="s">
        <v>388</v>
      </c>
      <c r="C260" s="30" t="s">
        <v>352</v>
      </c>
      <c r="D260" s="27">
        <v>11051.494409516583</v>
      </c>
      <c r="E260" s="28">
        <v>10332.080914844328</v>
      </c>
      <c r="F260" s="27">
        <f t="shared" si="7"/>
        <v>719.41349467225518</v>
      </c>
      <c r="G260" s="27">
        <f t="shared" si="8"/>
        <v>6.509648994191763</v>
      </c>
      <c r="H260" s="29">
        <v>38</v>
      </c>
      <c r="I260" s="29">
        <v>2</v>
      </c>
      <c r="J260" s="15" t="s">
        <v>68</v>
      </c>
      <c r="K260" s="13"/>
      <c r="L260" s="13"/>
      <c r="M260" s="15">
        <v>100</v>
      </c>
    </row>
    <row r="261" spans="1:13" ht="30" customHeight="1">
      <c r="A261" s="16" t="s">
        <v>13</v>
      </c>
      <c r="B261" s="30" t="s">
        <v>389</v>
      </c>
      <c r="C261" s="30" t="s">
        <v>353</v>
      </c>
      <c r="D261" s="27">
        <v>14215.969919516587</v>
      </c>
      <c r="E261" s="28">
        <v>13100.650914844329</v>
      </c>
      <c r="F261" s="27">
        <f t="shared" ref="F261:F324" si="9">+D261-E261</f>
        <v>1115.3190046722575</v>
      </c>
      <c r="G261" s="27">
        <f t="shared" si="8"/>
        <v>7.8455357670747237</v>
      </c>
      <c r="H261" s="29">
        <v>69</v>
      </c>
      <c r="I261" s="29">
        <v>1</v>
      </c>
      <c r="J261" s="15" t="s">
        <v>72</v>
      </c>
      <c r="K261" s="13"/>
      <c r="L261" s="13"/>
      <c r="M261" s="15">
        <v>250</v>
      </c>
    </row>
    <row r="262" spans="1:13" ht="30" customHeight="1">
      <c r="A262" s="16" t="s">
        <v>30</v>
      </c>
      <c r="B262" s="30" t="s">
        <v>390</v>
      </c>
      <c r="C262" s="30" t="s">
        <v>354</v>
      </c>
      <c r="D262" s="27">
        <v>9431.1166495165799</v>
      </c>
      <c r="E262" s="28">
        <v>8914.4275815109959</v>
      </c>
      <c r="F262" s="27">
        <f t="shared" si="9"/>
        <v>516.68906800558398</v>
      </c>
      <c r="G262" s="27">
        <f t="shared" si="8"/>
        <v>5.4785566461217341</v>
      </c>
      <c r="H262" s="29">
        <v>50</v>
      </c>
      <c r="I262" s="29">
        <v>1</v>
      </c>
      <c r="J262" s="15" t="s">
        <v>72</v>
      </c>
      <c r="K262" s="13"/>
      <c r="L262" s="13"/>
      <c r="M262" s="15">
        <v>160</v>
      </c>
    </row>
    <row r="263" spans="1:13" ht="30" customHeight="1">
      <c r="A263" s="16" t="s">
        <v>30</v>
      </c>
      <c r="B263" s="30" t="s">
        <v>387</v>
      </c>
      <c r="C263" s="30" t="s">
        <v>355</v>
      </c>
      <c r="D263" s="27">
        <v>116427.44951951659</v>
      </c>
      <c r="E263" s="28">
        <v>102524.51758151103</v>
      </c>
      <c r="F263" s="27">
        <f t="shared" si="9"/>
        <v>13902.931938005568</v>
      </c>
      <c r="G263" s="27">
        <f t="shared" si="8"/>
        <v>11.941283602261711</v>
      </c>
      <c r="H263" s="29">
        <v>77</v>
      </c>
      <c r="I263" s="29">
        <v>2</v>
      </c>
      <c r="J263" s="15" t="s">
        <v>71</v>
      </c>
      <c r="K263" s="13"/>
      <c r="L263" s="13"/>
      <c r="M263" s="15">
        <v>160</v>
      </c>
    </row>
    <row r="264" spans="1:13" ht="30" customHeight="1">
      <c r="A264" s="16" t="s">
        <v>30</v>
      </c>
      <c r="B264" s="30" t="s">
        <v>384</v>
      </c>
      <c r="C264" s="30" t="s">
        <v>120</v>
      </c>
      <c r="D264" s="27">
        <v>12909.67712951658</v>
      </c>
      <c r="E264" s="28">
        <v>11957.787581510998</v>
      </c>
      <c r="F264" s="27">
        <f t="shared" si="9"/>
        <v>951.88954800558167</v>
      </c>
      <c r="G264" s="27">
        <f t="shared" si="8"/>
        <v>7.3734574339523116</v>
      </c>
      <c r="H264" s="29">
        <v>28</v>
      </c>
      <c r="I264" s="29">
        <v>1</v>
      </c>
      <c r="J264" s="15" t="s">
        <v>71</v>
      </c>
      <c r="K264" s="13"/>
      <c r="L264" s="13"/>
      <c r="M264" s="15">
        <v>100</v>
      </c>
    </row>
    <row r="265" spans="1:13" ht="30" customHeight="1">
      <c r="A265" s="16" t="s">
        <v>30</v>
      </c>
      <c r="B265" s="30" t="s">
        <v>384</v>
      </c>
      <c r="C265" s="30" t="s">
        <v>103</v>
      </c>
      <c r="D265" s="27">
        <v>12076.182479516587</v>
      </c>
      <c r="E265" s="28">
        <v>11228.570914844329</v>
      </c>
      <c r="F265" s="27">
        <f t="shared" si="9"/>
        <v>847.61156467225737</v>
      </c>
      <c r="G265" s="27">
        <f t="shared" si="8"/>
        <v>7.0188701281217103</v>
      </c>
      <c r="H265" s="29">
        <v>87</v>
      </c>
      <c r="I265" s="29">
        <v>1</v>
      </c>
      <c r="J265" s="15" t="s">
        <v>77</v>
      </c>
      <c r="K265" s="13">
        <v>40.858196666700003</v>
      </c>
      <c r="L265" s="13">
        <v>72.1313583333</v>
      </c>
      <c r="M265" s="15">
        <v>250</v>
      </c>
    </row>
    <row r="266" spans="1:13" ht="30" customHeight="1">
      <c r="A266" s="16" t="s">
        <v>13</v>
      </c>
      <c r="B266" s="30" t="s">
        <v>388</v>
      </c>
      <c r="C266" s="30" t="s">
        <v>356</v>
      </c>
      <c r="D266" s="27">
        <v>9434.1341695165811</v>
      </c>
      <c r="E266" s="28">
        <v>8917.0675815109953</v>
      </c>
      <c r="F266" s="27">
        <f t="shared" si="9"/>
        <v>517.0665880055858</v>
      </c>
      <c r="G266" s="27">
        <f t="shared" si="8"/>
        <v>5.4808059617842071</v>
      </c>
      <c r="H266" s="29">
        <v>14</v>
      </c>
      <c r="I266" s="29">
        <v>2</v>
      </c>
      <c r="J266" s="15" t="s">
        <v>69</v>
      </c>
      <c r="K266" s="13"/>
      <c r="L266" s="13"/>
      <c r="M266" s="15">
        <v>160</v>
      </c>
    </row>
    <row r="267" spans="1:13" ht="30" customHeight="1">
      <c r="A267" s="16" t="s">
        <v>30</v>
      </c>
      <c r="B267" s="30" t="s">
        <v>392</v>
      </c>
      <c r="C267" s="30" t="s">
        <v>357</v>
      </c>
      <c r="D267" s="27">
        <v>11617.557539516585</v>
      </c>
      <c r="E267" s="28">
        <v>10827.324248177663</v>
      </c>
      <c r="F267" s="27">
        <f t="shared" si="9"/>
        <v>790.23329133892184</v>
      </c>
      <c r="G267" s="27">
        <f t="shared" si="8"/>
        <v>6.802060490348163</v>
      </c>
      <c r="H267" s="29">
        <v>42</v>
      </c>
      <c r="I267" s="29">
        <v>1</v>
      </c>
      <c r="J267" s="15" t="s">
        <v>73</v>
      </c>
      <c r="K267" s="13"/>
      <c r="L267" s="13"/>
      <c r="M267" s="15">
        <v>160</v>
      </c>
    </row>
    <row r="268" spans="1:13" ht="30" customHeight="1">
      <c r="A268" s="16" t="s">
        <v>30</v>
      </c>
      <c r="B268" s="30" t="s">
        <v>389</v>
      </c>
      <c r="C268" s="30" t="s">
        <v>358</v>
      </c>
      <c r="D268" s="27">
        <v>11639.647919516587</v>
      </c>
      <c r="E268" s="28">
        <v>10846.650914844327</v>
      </c>
      <c r="F268" s="27">
        <f t="shared" si="9"/>
        <v>792.99700467225921</v>
      </c>
      <c r="G268" s="27">
        <f t="shared" si="8"/>
        <v>6.8128951163773142</v>
      </c>
      <c r="H268" s="29">
        <v>35</v>
      </c>
      <c r="I268" s="29">
        <v>1</v>
      </c>
      <c r="J268" s="15" t="s">
        <v>78</v>
      </c>
      <c r="K268" s="13"/>
      <c r="L268" s="13"/>
      <c r="M268" s="15">
        <v>250</v>
      </c>
    </row>
    <row r="269" spans="1:13" ht="30" customHeight="1">
      <c r="A269" s="16" t="s">
        <v>30</v>
      </c>
      <c r="B269" s="30" t="s">
        <v>391</v>
      </c>
      <c r="C269" s="30" t="s">
        <v>359</v>
      </c>
      <c r="D269" s="27">
        <v>11122.56233951658</v>
      </c>
      <c r="E269" s="28">
        <v>10394.257581510998</v>
      </c>
      <c r="F269" s="27">
        <f t="shared" si="9"/>
        <v>728.3047580055827</v>
      </c>
      <c r="G269" s="27">
        <f t="shared" si="8"/>
        <v>6.547994389908153</v>
      </c>
      <c r="H269" s="29">
        <v>22</v>
      </c>
      <c r="I269" s="29">
        <v>1</v>
      </c>
      <c r="J269" s="15" t="s">
        <v>79</v>
      </c>
      <c r="K269" s="13">
        <v>40.883151666700002</v>
      </c>
      <c r="L269" s="13">
        <v>72.085181666699995</v>
      </c>
      <c r="M269" s="15">
        <v>160</v>
      </c>
    </row>
    <row r="270" spans="1:13" ht="30" customHeight="1">
      <c r="A270" s="16" t="s">
        <v>30</v>
      </c>
      <c r="B270" s="30" t="s">
        <v>384</v>
      </c>
      <c r="C270" s="30" t="s">
        <v>102</v>
      </c>
      <c r="D270" s="27">
        <v>10278.647339516587</v>
      </c>
      <c r="E270" s="28">
        <v>9655.9242481776619</v>
      </c>
      <c r="F270" s="27">
        <f t="shared" si="9"/>
        <v>622.72309133892486</v>
      </c>
      <c r="G270" s="27">
        <f t="shared" si="8"/>
        <v>6.0584147969047066</v>
      </c>
      <c r="H270" s="29">
        <v>30</v>
      </c>
      <c r="I270" s="29">
        <v>1</v>
      </c>
      <c r="J270" s="15" t="s">
        <v>80</v>
      </c>
      <c r="K270" s="13"/>
      <c r="L270" s="13"/>
      <c r="M270" s="15">
        <v>63</v>
      </c>
    </row>
    <row r="271" spans="1:13" ht="30" customHeight="1">
      <c r="A271" s="16" t="s">
        <v>30</v>
      </c>
      <c r="B271" s="30" t="s">
        <v>392</v>
      </c>
      <c r="C271" s="30" t="s">
        <v>360</v>
      </c>
      <c r="D271" s="27">
        <v>14365.790549516581</v>
      </c>
      <c r="E271" s="28">
        <v>13231.727581510997</v>
      </c>
      <c r="F271" s="27">
        <f t="shared" si="9"/>
        <v>1134.0629680055845</v>
      </c>
      <c r="G271" s="27">
        <f t="shared" si="8"/>
        <v>7.8941911626558312</v>
      </c>
      <c r="H271" s="29">
        <v>75</v>
      </c>
      <c r="I271" s="29">
        <v>1</v>
      </c>
      <c r="J271" s="15" t="s">
        <v>75</v>
      </c>
      <c r="K271" s="13"/>
      <c r="L271" s="13"/>
      <c r="M271" s="15">
        <v>400</v>
      </c>
    </row>
    <row r="272" spans="1:13" ht="30" customHeight="1">
      <c r="A272" s="16" t="s">
        <v>13</v>
      </c>
      <c r="B272" s="30" t="s">
        <v>388</v>
      </c>
      <c r="C272" s="30" t="s">
        <v>361</v>
      </c>
      <c r="D272" s="27">
        <v>10938.474569516582</v>
      </c>
      <c r="E272" s="28">
        <v>10233.20091484433</v>
      </c>
      <c r="F272" s="27">
        <f t="shared" si="9"/>
        <v>705.27365467225172</v>
      </c>
      <c r="G272" s="27">
        <f t="shared" si="8"/>
        <v>6.4476417638498997</v>
      </c>
      <c r="H272" s="29">
        <v>50</v>
      </c>
      <c r="I272" s="29">
        <v>1</v>
      </c>
      <c r="J272" s="15" t="s">
        <v>75</v>
      </c>
      <c r="K272" s="13"/>
      <c r="L272" s="13"/>
      <c r="M272" s="15">
        <v>400</v>
      </c>
    </row>
    <row r="273" spans="1:13" ht="30" customHeight="1">
      <c r="A273" s="16" t="s">
        <v>13</v>
      </c>
      <c r="B273" s="30" t="s">
        <v>387</v>
      </c>
      <c r="C273" s="30" t="s">
        <v>362</v>
      </c>
      <c r="D273" s="27">
        <v>21013.021349516588</v>
      </c>
      <c r="E273" s="28">
        <v>19047.327581510999</v>
      </c>
      <c r="F273" s="27">
        <f t="shared" si="9"/>
        <v>1965.6937680055889</v>
      </c>
      <c r="G273" s="27">
        <f t="shared" si="8"/>
        <v>9.3546460326173424</v>
      </c>
      <c r="H273" s="29">
        <v>51</v>
      </c>
      <c r="I273" s="29">
        <v>1</v>
      </c>
      <c r="J273" s="15" t="s">
        <v>68</v>
      </c>
      <c r="K273" s="13">
        <v>40.890700000000002</v>
      </c>
      <c r="L273" s="13">
        <v>71.955235000000002</v>
      </c>
      <c r="M273" s="15">
        <v>40</v>
      </c>
    </row>
    <row r="274" spans="1:13" ht="30" customHeight="1">
      <c r="A274" s="16" t="s">
        <v>13</v>
      </c>
      <c r="B274" s="30" t="s">
        <v>388</v>
      </c>
      <c r="C274" s="30" t="s">
        <v>363</v>
      </c>
      <c r="D274" s="27">
        <v>9814.9512895165808</v>
      </c>
      <c r="E274" s="28">
        <v>9250.2409148443276</v>
      </c>
      <c r="F274" s="27">
        <f t="shared" si="9"/>
        <v>564.71037467225324</v>
      </c>
      <c r="G274" s="27">
        <f t="shared" si="8"/>
        <v>5.7535728707632448</v>
      </c>
      <c r="H274" s="29">
        <v>28</v>
      </c>
      <c r="I274" s="29">
        <v>2</v>
      </c>
      <c r="J274" s="15" t="s">
        <v>74</v>
      </c>
      <c r="K274" s="13">
        <v>40.883293333300003</v>
      </c>
      <c r="L274" s="13">
        <v>71.964291666700007</v>
      </c>
      <c r="M274" s="15">
        <v>63</v>
      </c>
    </row>
    <row r="275" spans="1:13" ht="30" customHeight="1">
      <c r="A275" s="16" t="s">
        <v>13</v>
      </c>
      <c r="B275" s="30" t="s">
        <v>389</v>
      </c>
      <c r="C275" s="30" t="s">
        <v>364</v>
      </c>
      <c r="D275" s="27">
        <v>13310.889179516582</v>
      </c>
      <c r="E275" s="28">
        <v>12308.804248177665</v>
      </c>
      <c r="F275" s="27">
        <f t="shared" si="9"/>
        <v>1002.0849313389172</v>
      </c>
      <c r="G275" s="27">
        <f t="shared" si="8"/>
        <v>7.5283094752300421</v>
      </c>
      <c r="H275" s="29">
        <v>72</v>
      </c>
      <c r="I275" s="29">
        <v>1</v>
      </c>
      <c r="J275" s="15" t="s">
        <v>76</v>
      </c>
      <c r="K275" s="13">
        <v>40.875286666699999</v>
      </c>
      <c r="L275" s="13">
        <v>71.9537066667</v>
      </c>
      <c r="M275" s="15">
        <v>25</v>
      </c>
    </row>
    <row r="276" spans="1:13" ht="30" customHeight="1">
      <c r="A276" s="16" t="s">
        <v>13</v>
      </c>
      <c r="B276" s="30" t="s">
        <v>386</v>
      </c>
      <c r="C276" s="30" t="s">
        <v>365</v>
      </c>
      <c r="D276" s="27">
        <v>11610.04421951658</v>
      </c>
      <c r="E276" s="28">
        <v>10820.75091484433</v>
      </c>
      <c r="F276" s="27">
        <f t="shared" si="9"/>
        <v>789.29330467225009</v>
      </c>
      <c r="G276" s="27">
        <f t="shared" si="8"/>
        <v>6.7983660505395971</v>
      </c>
      <c r="H276" s="29">
        <v>40</v>
      </c>
      <c r="I276" s="29">
        <v>1</v>
      </c>
      <c r="J276" s="15" t="s">
        <v>81</v>
      </c>
      <c r="K276" s="13"/>
      <c r="L276" s="13"/>
      <c r="M276" s="15">
        <v>160</v>
      </c>
    </row>
    <row r="277" spans="1:13" ht="30" customHeight="1">
      <c r="A277" s="16" t="s">
        <v>13</v>
      </c>
      <c r="B277" s="30" t="s">
        <v>389</v>
      </c>
      <c r="C277" s="30" t="s">
        <v>366</v>
      </c>
      <c r="D277" s="27">
        <v>11330.912189516586</v>
      </c>
      <c r="E277" s="28">
        <v>10576.54091484433</v>
      </c>
      <c r="F277" s="27">
        <f t="shared" si="9"/>
        <v>754.37127467225582</v>
      </c>
      <c r="G277" s="27">
        <f t="shared" si="8"/>
        <v>6.6576394032088935</v>
      </c>
      <c r="H277" s="29">
        <v>17</v>
      </c>
      <c r="I277" s="29">
        <v>1</v>
      </c>
      <c r="J277" s="15" t="s">
        <v>77</v>
      </c>
      <c r="K277" s="13"/>
      <c r="L277" s="13"/>
      <c r="M277" s="15">
        <v>60</v>
      </c>
    </row>
    <row r="278" spans="1:13" ht="30" customHeight="1">
      <c r="A278" s="16" t="s">
        <v>30</v>
      </c>
      <c r="B278" s="30" t="s">
        <v>384</v>
      </c>
      <c r="C278" s="30" t="s">
        <v>91</v>
      </c>
      <c r="D278" s="27">
        <v>10535.403239516583</v>
      </c>
      <c r="E278" s="28">
        <v>9880.5575815109969</v>
      </c>
      <c r="F278" s="27">
        <f t="shared" si="9"/>
        <v>654.8456580055863</v>
      </c>
      <c r="G278" s="27">
        <f t="shared" si="8"/>
        <v>6.2156677169162995</v>
      </c>
      <c r="H278" s="29">
        <v>19</v>
      </c>
      <c r="I278" s="29">
        <v>1</v>
      </c>
      <c r="J278" s="15" t="s">
        <v>82</v>
      </c>
      <c r="K278" s="13"/>
      <c r="L278" s="13"/>
      <c r="M278" s="15">
        <v>250</v>
      </c>
    </row>
    <row r="279" spans="1:13" ht="30" customHeight="1">
      <c r="A279" s="16" t="s">
        <v>30</v>
      </c>
      <c r="B279" s="30" t="s">
        <v>390</v>
      </c>
      <c r="C279" s="30" t="s">
        <v>367</v>
      </c>
      <c r="D279" s="27">
        <v>17380.578779516589</v>
      </c>
      <c r="E279" s="28">
        <v>15869.337581510996</v>
      </c>
      <c r="F279" s="27">
        <f t="shared" si="9"/>
        <v>1511.2411980055931</v>
      </c>
      <c r="G279" s="27">
        <f t="shared" si="8"/>
        <v>8.6949992700279086</v>
      </c>
      <c r="H279" s="29">
        <v>51</v>
      </c>
      <c r="I279" s="29">
        <v>1</v>
      </c>
      <c r="J279" s="15" t="s">
        <v>70</v>
      </c>
      <c r="K279" s="13">
        <v>40.870626666699998</v>
      </c>
      <c r="L279" s="13">
        <v>72.030681666700005</v>
      </c>
      <c r="M279" s="15">
        <v>40</v>
      </c>
    </row>
    <row r="280" spans="1:13" ht="30" customHeight="1">
      <c r="A280" s="16" t="s">
        <v>30</v>
      </c>
      <c r="B280" s="30" t="s">
        <v>384</v>
      </c>
      <c r="C280" s="30" t="s">
        <v>106</v>
      </c>
      <c r="D280" s="27">
        <v>11073.580979516582</v>
      </c>
      <c r="E280" s="28">
        <v>10351.404248177661</v>
      </c>
      <c r="F280" s="27">
        <f t="shared" si="9"/>
        <v>722.17673133892094</v>
      </c>
      <c r="G280" s="27">
        <f t="shared" si="8"/>
        <v>6.5216187308764111</v>
      </c>
      <c r="H280" s="29">
        <v>45</v>
      </c>
      <c r="I280" s="29">
        <v>2</v>
      </c>
      <c r="J280" s="15" t="s">
        <v>59</v>
      </c>
      <c r="K280" s="13"/>
      <c r="L280" s="13"/>
      <c r="M280" s="15">
        <v>250</v>
      </c>
    </row>
    <row r="281" spans="1:13" ht="30" customHeight="1">
      <c r="A281" s="16" t="s">
        <v>13</v>
      </c>
      <c r="B281" s="30" t="s">
        <v>388</v>
      </c>
      <c r="C281" s="30" t="s">
        <v>368</v>
      </c>
      <c r="D281" s="27">
        <v>10690.607399516584</v>
      </c>
      <c r="E281" s="28">
        <v>10016.344248177664</v>
      </c>
      <c r="F281" s="27">
        <f t="shared" si="9"/>
        <v>674.26315133892058</v>
      </c>
      <c r="G281" s="27">
        <f t="shared" si="8"/>
        <v>6.3070611999970172</v>
      </c>
      <c r="H281" s="29">
        <v>35</v>
      </c>
      <c r="I281" s="29">
        <v>1</v>
      </c>
      <c r="J281" s="15" t="s">
        <v>83</v>
      </c>
      <c r="K281" s="13"/>
      <c r="L281" s="13"/>
      <c r="M281" s="15">
        <v>63</v>
      </c>
    </row>
    <row r="282" spans="1:13" ht="30" customHeight="1">
      <c r="A282" s="16" t="s">
        <v>13</v>
      </c>
      <c r="B282" s="30" t="s">
        <v>389</v>
      </c>
      <c r="C282" s="30" t="s">
        <v>369</v>
      </c>
      <c r="D282" s="27">
        <v>15113.514479516589</v>
      </c>
      <c r="E282" s="28">
        <v>13885.904248177663</v>
      </c>
      <c r="F282" s="27">
        <f t="shared" si="9"/>
        <v>1227.6102313389256</v>
      </c>
      <c r="G282" s="27">
        <f t="shared" si="8"/>
        <v>8.1225993663003475</v>
      </c>
      <c r="H282" s="29">
        <v>74</v>
      </c>
      <c r="I282" s="29">
        <v>1</v>
      </c>
      <c r="J282" s="15" t="s">
        <v>55</v>
      </c>
      <c r="K282" s="13"/>
      <c r="L282" s="13"/>
      <c r="M282" s="15">
        <v>400</v>
      </c>
    </row>
    <row r="283" spans="1:13" ht="30" customHeight="1">
      <c r="A283" s="16" t="s">
        <v>13</v>
      </c>
      <c r="B283" s="30" t="s">
        <v>390</v>
      </c>
      <c r="C283" s="30" t="s">
        <v>370</v>
      </c>
      <c r="D283" s="27">
        <v>12377.427749516586</v>
      </c>
      <c r="E283" s="28">
        <v>11492.127581510997</v>
      </c>
      <c r="F283" s="27">
        <f t="shared" si="9"/>
        <v>885.30016800558951</v>
      </c>
      <c r="G283" s="27">
        <f t="shared" si="8"/>
        <v>7.1525375540177629</v>
      </c>
      <c r="H283" s="29">
        <v>52</v>
      </c>
      <c r="I283" s="29">
        <v>2</v>
      </c>
      <c r="J283" s="15" t="s">
        <v>56</v>
      </c>
      <c r="K283" s="13"/>
      <c r="L283" s="13"/>
      <c r="M283" s="15">
        <v>25</v>
      </c>
    </row>
    <row r="284" spans="1:13" ht="30" customHeight="1">
      <c r="A284" s="16" t="s">
        <v>13</v>
      </c>
      <c r="B284" s="30" t="s">
        <v>391</v>
      </c>
      <c r="C284" s="30" t="s">
        <v>371</v>
      </c>
      <c r="D284" s="27">
        <v>10740.583169516582</v>
      </c>
      <c r="E284" s="28">
        <v>10060.067581510995</v>
      </c>
      <c r="F284" s="27">
        <f t="shared" si="9"/>
        <v>680.51558800558632</v>
      </c>
      <c r="G284" s="27">
        <f t="shared" si="8"/>
        <v>6.3359277356279282</v>
      </c>
      <c r="H284" s="29">
        <v>44</v>
      </c>
      <c r="I284" s="29">
        <v>1</v>
      </c>
      <c r="J284" s="15" t="s">
        <v>75</v>
      </c>
      <c r="K284" s="13"/>
      <c r="L284" s="13"/>
      <c r="M284" s="15">
        <v>25</v>
      </c>
    </row>
    <row r="285" spans="1:13" ht="30" customHeight="1">
      <c r="A285" s="16" t="s">
        <v>13</v>
      </c>
      <c r="B285" s="30" t="s">
        <v>388</v>
      </c>
      <c r="C285" s="30" t="s">
        <v>372</v>
      </c>
      <c r="D285" s="27">
        <v>11035.309529516582</v>
      </c>
      <c r="E285" s="28">
        <v>10317.920914844328</v>
      </c>
      <c r="F285" s="27">
        <f t="shared" si="9"/>
        <v>717.38861467225433</v>
      </c>
      <c r="G285" s="27">
        <f t="shared" si="8"/>
        <v>6.5008472372562496</v>
      </c>
      <c r="H285" s="29">
        <v>27</v>
      </c>
      <c r="I285" s="29">
        <v>2</v>
      </c>
      <c r="J285" s="15" t="s">
        <v>55</v>
      </c>
      <c r="K285" s="13">
        <v>40.882366666700001</v>
      </c>
      <c r="L285" s="13">
        <v>72.011693333300002</v>
      </c>
      <c r="M285" s="15">
        <v>63</v>
      </c>
    </row>
    <row r="286" spans="1:13" ht="30" customHeight="1">
      <c r="A286" s="16" t="s">
        <v>30</v>
      </c>
      <c r="B286" s="30" t="s">
        <v>392</v>
      </c>
      <c r="C286" s="30" t="s">
        <v>373</v>
      </c>
      <c r="D286" s="27">
        <v>17317.972859516587</v>
      </c>
      <c r="E286" s="28">
        <v>15814.564248177665</v>
      </c>
      <c r="F286" s="27">
        <f t="shared" si="9"/>
        <v>1503.4086113389221</v>
      </c>
      <c r="G286" s="27">
        <f t="shared" si="8"/>
        <v>8.6812043391831946</v>
      </c>
      <c r="H286" s="29">
        <v>169</v>
      </c>
      <c r="I286" s="29">
        <v>2</v>
      </c>
      <c r="J286" s="15" t="s">
        <v>84</v>
      </c>
      <c r="K286" s="13"/>
      <c r="L286" s="13"/>
      <c r="M286" s="15">
        <v>100</v>
      </c>
    </row>
    <row r="287" spans="1:13" ht="30" customHeight="1">
      <c r="A287" s="16" t="s">
        <v>13</v>
      </c>
      <c r="B287" s="30" t="s">
        <v>388</v>
      </c>
      <c r="C287" s="30" t="s">
        <v>26</v>
      </c>
      <c r="D287" s="27">
        <v>10698.459809516584</v>
      </c>
      <c r="E287" s="28">
        <v>10023.214248177663</v>
      </c>
      <c r="F287" s="27">
        <f t="shared" si="9"/>
        <v>675.24556133892111</v>
      </c>
      <c r="G287" s="27">
        <f t="shared" si="8"/>
        <v>6.3116146937176039</v>
      </c>
      <c r="H287" s="29">
        <v>32</v>
      </c>
      <c r="I287" s="29">
        <v>1</v>
      </c>
      <c r="J287" s="15" t="s">
        <v>85</v>
      </c>
      <c r="K287" s="13"/>
      <c r="L287" s="13"/>
      <c r="M287" s="15">
        <v>100</v>
      </c>
    </row>
    <row r="288" spans="1:13" ht="30" customHeight="1">
      <c r="A288" s="16" t="s">
        <v>13</v>
      </c>
      <c r="B288" s="30" t="s">
        <v>390</v>
      </c>
      <c r="C288" s="30" t="s">
        <v>374</v>
      </c>
      <c r="D288" s="27">
        <v>12454.355459516582</v>
      </c>
      <c r="E288" s="28">
        <v>11559.43091484433</v>
      </c>
      <c r="F288" s="27">
        <f t="shared" si="9"/>
        <v>894.92454467225252</v>
      </c>
      <c r="G288" s="27">
        <f t="shared" si="8"/>
        <v>7.1856351585695721</v>
      </c>
      <c r="H288" s="29">
        <v>44</v>
      </c>
      <c r="I288" s="29">
        <v>1</v>
      </c>
      <c r="J288" s="15" t="s">
        <v>81</v>
      </c>
      <c r="K288" s="13"/>
      <c r="L288" s="13"/>
      <c r="M288" s="15">
        <v>100</v>
      </c>
    </row>
    <row r="289" spans="1:13" ht="30" customHeight="1">
      <c r="A289" s="16" t="s">
        <v>13</v>
      </c>
      <c r="B289" s="30" t="s">
        <v>390</v>
      </c>
      <c r="C289" s="30" t="s">
        <v>375</v>
      </c>
      <c r="D289" s="27">
        <v>11884.714739516587</v>
      </c>
      <c r="E289" s="28">
        <v>11061.057581510997</v>
      </c>
      <c r="F289" s="27">
        <f t="shared" si="9"/>
        <v>823.65715800558974</v>
      </c>
      <c r="G289" s="27">
        <f t="shared" si="8"/>
        <v>6.9303906409039495</v>
      </c>
      <c r="H289" s="29">
        <v>51</v>
      </c>
      <c r="I289" s="29">
        <v>5</v>
      </c>
      <c r="J289" s="15" t="s">
        <v>65</v>
      </c>
      <c r="K289" s="13"/>
      <c r="L289" s="13"/>
      <c r="M289" s="15">
        <v>63</v>
      </c>
    </row>
    <row r="290" spans="1:13" ht="30" customHeight="1">
      <c r="A290" s="16" t="s">
        <v>13</v>
      </c>
      <c r="B290" s="30" t="s">
        <v>390</v>
      </c>
      <c r="C290" s="30" t="s">
        <v>376</v>
      </c>
      <c r="D290" s="27">
        <v>12724.236809516586</v>
      </c>
      <c r="E290" s="28">
        <v>11795.547581510995</v>
      </c>
      <c r="F290" s="27">
        <f t="shared" si="9"/>
        <v>928.68922800559085</v>
      </c>
      <c r="G290" s="27">
        <f t="shared" si="8"/>
        <v>7.298584912464178</v>
      </c>
      <c r="H290" s="29">
        <v>64</v>
      </c>
      <c r="I290" s="29">
        <v>1</v>
      </c>
      <c r="J290" s="15" t="s">
        <v>60</v>
      </c>
      <c r="K290" s="13"/>
      <c r="L290" s="13"/>
      <c r="M290" s="15">
        <v>160</v>
      </c>
    </row>
    <row r="291" spans="1:13" ht="30" customHeight="1">
      <c r="A291" s="16" t="s">
        <v>13</v>
      </c>
      <c r="B291" s="30" t="s">
        <v>389</v>
      </c>
      <c r="C291" s="30" t="s">
        <v>377</v>
      </c>
      <c r="D291" s="27">
        <v>15759.191369516584</v>
      </c>
      <c r="E291" s="28">
        <v>14450.800914844331</v>
      </c>
      <c r="F291" s="27">
        <f t="shared" si="9"/>
        <v>1308.3904546722533</v>
      </c>
      <c r="G291" s="27">
        <f t="shared" si="8"/>
        <v>8.3023958780214269</v>
      </c>
      <c r="H291" s="29">
        <v>99</v>
      </c>
      <c r="I291" s="29">
        <v>1</v>
      </c>
      <c r="J291" s="15" t="s">
        <v>60</v>
      </c>
      <c r="K291" s="13">
        <v>40.881914999999999</v>
      </c>
      <c r="L291" s="13">
        <v>71.997399999999999</v>
      </c>
      <c r="M291" s="15">
        <v>100</v>
      </c>
    </row>
    <row r="292" spans="1:13" ht="30" customHeight="1">
      <c r="A292" s="16" t="s">
        <v>13</v>
      </c>
      <c r="B292" s="30" t="s">
        <v>392</v>
      </c>
      <c r="C292" s="30" t="s">
        <v>378</v>
      </c>
      <c r="D292" s="27">
        <v>11052.587879516583</v>
      </c>
      <c r="E292" s="28">
        <v>10333.037581510996</v>
      </c>
      <c r="F292" s="27">
        <f t="shared" si="9"/>
        <v>719.55029800558623</v>
      </c>
      <c r="G292" s="27">
        <f t="shared" si="8"/>
        <v>6.5102427218797008</v>
      </c>
      <c r="H292" s="29">
        <v>34</v>
      </c>
      <c r="I292" s="29">
        <v>1</v>
      </c>
      <c r="J292" s="15" t="s">
        <v>55</v>
      </c>
      <c r="K292" s="13"/>
      <c r="L292" s="13"/>
      <c r="M292" s="15">
        <v>160</v>
      </c>
    </row>
    <row r="293" spans="1:13" ht="30" customHeight="1">
      <c r="A293" s="16" t="s">
        <v>30</v>
      </c>
      <c r="B293" s="30" t="s">
        <v>391</v>
      </c>
      <c r="C293" s="30" t="s">
        <v>379</v>
      </c>
      <c r="D293" s="27">
        <v>12883.673879516586</v>
      </c>
      <c r="E293" s="28">
        <v>11935.037581510998</v>
      </c>
      <c r="F293" s="27">
        <f t="shared" si="9"/>
        <v>948.63629800558738</v>
      </c>
      <c r="G293" s="27">
        <f t="shared" si="8"/>
        <v>7.3630884084531134</v>
      </c>
      <c r="H293" s="29">
        <v>31</v>
      </c>
      <c r="I293" s="29">
        <v>1</v>
      </c>
      <c r="J293" s="15" t="s">
        <v>75</v>
      </c>
      <c r="K293" s="13">
        <v>40.837551666700001</v>
      </c>
      <c r="L293" s="13">
        <v>72.172751666699995</v>
      </c>
      <c r="M293" s="15">
        <v>100</v>
      </c>
    </row>
    <row r="294" spans="1:13" ht="30" customHeight="1">
      <c r="A294" s="16" t="s">
        <v>30</v>
      </c>
      <c r="B294" s="30" t="s">
        <v>388</v>
      </c>
      <c r="C294" s="30" t="s">
        <v>380</v>
      </c>
      <c r="D294" s="27">
        <v>10438.232999516584</v>
      </c>
      <c r="E294" s="28">
        <v>9795.5442481776608</v>
      </c>
      <c r="F294" s="27">
        <f t="shared" si="9"/>
        <v>642.68875133892288</v>
      </c>
      <c r="G294" s="27">
        <f t="shared" ref="G294:G357" si="10">+F294*100/D294</f>
        <v>6.1570646235688278</v>
      </c>
      <c r="H294" s="29">
        <v>29</v>
      </c>
      <c r="I294" s="29">
        <v>1</v>
      </c>
      <c r="J294" s="15" t="s">
        <v>86</v>
      </c>
      <c r="K294" s="13">
        <v>40.883151666700002</v>
      </c>
      <c r="L294" s="13">
        <v>72.085181666699995</v>
      </c>
      <c r="M294" s="15">
        <v>63</v>
      </c>
    </row>
    <row r="295" spans="1:13" ht="30" customHeight="1">
      <c r="A295" s="16" t="s">
        <v>13</v>
      </c>
      <c r="B295" s="30" t="s">
        <v>390</v>
      </c>
      <c r="C295" s="30" t="s">
        <v>381</v>
      </c>
      <c r="D295" s="27">
        <v>10232.97305951658</v>
      </c>
      <c r="E295" s="28">
        <v>9615.9642481776627</v>
      </c>
      <c r="F295" s="27">
        <f t="shared" si="9"/>
        <v>617.00881133891744</v>
      </c>
      <c r="G295" s="27">
        <f t="shared" si="10"/>
        <v>6.0296143432636553</v>
      </c>
      <c r="H295" s="29">
        <v>17</v>
      </c>
      <c r="I295" s="29">
        <v>1</v>
      </c>
      <c r="J295" s="15" t="s">
        <v>70</v>
      </c>
      <c r="K295" s="13">
        <v>40.883535000000002</v>
      </c>
      <c r="L295" s="13">
        <v>71.979993333300001</v>
      </c>
      <c r="M295" s="15">
        <v>100</v>
      </c>
    </row>
    <row r="296" spans="1:13" ht="30" customHeight="1">
      <c r="A296" s="16" t="s">
        <v>30</v>
      </c>
      <c r="B296" s="30" t="s">
        <v>385</v>
      </c>
      <c r="C296" s="30" t="s">
        <v>382</v>
      </c>
      <c r="D296" s="27">
        <v>15579.641309516583</v>
      </c>
      <c r="E296" s="28">
        <v>14293.714248177665</v>
      </c>
      <c r="F296" s="27">
        <f t="shared" si="9"/>
        <v>1285.9270613389181</v>
      </c>
      <c r="G296" s="27">
        <f t="shared" si="10"/>
        <v>8.2538938849216592</v>
      </c>
      <c r="H296" s="29">
        <v>136</v>
      </c>
      <c r="I296" s="29">
        <v>14</v>
      </c>
      <c r="J296" s="15" t="s">
        <v>56</v>
      </c>
      <c r="K296" s="13">
        <v>40.858853333299997</v>
      </c>
      <c r="L296" s="13">
        <v>72.0770083333</v>
      </c>
      <c r="M296" s="15">
        <v>100</v>
      </c>
    </row>
    <row r="297" spans="1:13" ht="30" customHeight="1">
      <c r="A297" s="16" t="s">
        <v>45</v>
      </c>
      <c r="B297" s="30" t="s">
        <v>385</v>
      </c>
      <c r="C297" s="30" t="s">
        <v>383</v>
      </c>
      <c r="D297" s="27">
        <v>9819.1034076077976</v>
      </c>
      <c r="E297" s="28">
        <v>9253.9684542587438</v>
      </c>
      <c r="F297" s="27">
        <f t="shared" si="9"/>
        <v>565.13495334905383</v>
      </c>
      <c r="G297" s="27">
        <f t="shared" si="10"/>
        <v>5.7554639144668727</v>
      </c>
      <c r="H297" s="29">
        <v>2</v>
      </c>
      <c r="I297" s="29">
        <v>4</v>
      </c>
      <c r="J297" s="15" t="s">
        <v>87</v>
      </c>
      <c r="K297" s="13">
        <v>40.833135628299999</v>
      </c>
      <c r="L297" s="13">
        <v>72.203557438199994</v>
      </c>
      <c r="M297" s="15">
        <v>630</v>
      </c>
    </row>
    <row r="298" spans="1:13" ht="30" customHeight="1">
      <c r="A298" s="16" t="s">
        <v>30</v>
      </c>
      <c r="B298" s="30" t="s">
        <v>384</v>
      </c>
      <c r="C298" s="30" t="s">
        <v>114</v>
      </c>
      <c r="D298" s="27">
        <v>9743.8528795165821</v>
      </c>
      <c r="E298" s="28">
        <v>9188.0375815109965</v>
      </c>
      <c r="F298" s="27">
        <f t="shared" si="9"/>
        <v>555.81529800558565</v>
      </c>
      <c r="G298" s="27">
        <f t="shared" si="10"/>
        <v>5.7042661140134241</v>
      </c>
      <c r="H298" s="29">
        <v>19</v>
      </c>
      <c r="I298" s="29">
        <v>1</v>
      </c>
      <c r="J298" s="15" t="s">
        <v>88</v>
      </c>
      <c r="K298" s="13">
        <v>40.8940533333</v>
      </c>
      <c r="L298" s="13">
        <v>71.926556666699994</v>
      </c>
      <c r="M298" s="15">
        <v>40</v>
      </c>
    </row>
    <row r="299" spans="1:13" ht="30" customHeight="1">
      <c r="A299" s="16" t="s">
        <v>13</v>
      </c>
      <c r="B299" s="30" t="s">
        <v>388</v>
      </c>
      <c r="C299" s="30" t="s">
        <v>402</v>
      </c>
      <c r="D299" s="44">
        <v>2800.5969999999998</v>
      </c>
      <c r="E299" s="44">
        <v>2800.5969999999998</v>
      </c>
      <c r="F299" s="27">
        <f t="shared" si="9"/>
        <v>0</v>
      </c>
      <c r="G299" s="27">
        <f t="shared" si="10"/>
        <v>0</v>
      </c>
      <c r="H299" s="29">
        <v>1</v>
      </c>
      <c r="I299" s="35"/>
      <c r="J299" s="12"/>
      <c r="K299" s="13"/>
      <c r="L299" s="13"/>
      <c r="M299" s="36"/>
    </row>
    <row r="300" spans="1:13" ht="30" customHeight="1">
      <c r="A300" s="16" t="s">
        <v>13</v>
      </c>
      <c r="B300" s="30" t="s">
        <v>387</v>
      </c>
      <c r="C300" s="30" t="s">
        <v>404</v>
      </c>
      <c r="D300" s="44">
        <v>2728.8754999999996</v>
      </c>
      <c r="E300" s="44">
        <v>2728.8754999999996</v>
      </c>
      <c r="F300" s="27">
        <f t="shared" si="9"/>
        <v>0</v>
      </c>
      <c r="G300" s="27">
        <f t="shared" si="10"/>
        <v>0</v>
      </c>
      <c r="H300" s="29">
        <v>1</v>
      </c>
      <c r="I300" s="12"/>
      <c r="J300" s="12"/>
      <c r="K300" s="13"/>
      <c r="L300" s="13"/>
      <c r="M300" s="36"/>
    </row>
    <row r="301" spans="1:13" ht="30" customHeight="1">
      <c r="A301" s="16" t="s">
        <v>13</v>
      </c>
      <c r="B301" s="30" t="s">
        <v>388</v>
      </c>
      <c r="C301" s="30" t="s">
        <v>405</v>
      </c>
      <c r="D301" s="44">
        <v>612.45699999999999</v>
      </c>
      <c r="E301" s="44">
        <v>612.45699999999999</v>
      </c>
      <c r="F301" s="27">
        <f t="shared" si="9"/>
        <v>0</v>
      </c>
      <c r="G301" s="27">
        <f t="shared" si="10"/>
        <v>0</v>
      </c>
      <c r="H301" s="29">
        <v>1</v>
      </c>
      <c r="I301" s="12"/>
      <c r="J301" s="12"/>
      <c r="K301" s="13"/>
      <c r="L301" s="13"/>
      <c r="M301" s="36"/>
    </row>
    <row r="302" spans="1:13" ht="30" customHeight="1">
      <c r="A302" s="16" t="s">
        <v>13</v>
      </c>
      <c r="B302" s="30" t="s">
        <v>388</v>
      </c>
      <c r="C302" s="30" t="s">
        <v>407</v>
      </c>
      <c r="D302" s="44">
        <v>2769.8714999999997</v>
      </c>
      <c r="E302" s="44">
        <v>2769.8714999999997</v>
      </c>
      <c r="F302" s="27">
        <f t="shared" si="9"/>
        <v>0</v>
      </c>
      <c r="G302" s="27">
        <f t="shared" si="10"/>
        <v>0</v>
      </c>
      <c r="H302" s="29">
        <v>1</v>
      </c>
      <c r="I302" s="12"/>
      <c r="J302" s="12"/>
      <c r="K302" s="13"/>
      <c r="L302" s="13"/>
      <c r="M302" s="36"/>
    </row>
    <row r="303" spans="1:13" ht="30" customHeight="1">
      <c r="A303" s="16" t="s">
        <v>13</v>
      </c>
      <c r="B303" s="30" t="s">
        <v>388</v>
      </c>
      <c r="C303" s="30" t="s">
        <v>408</v>
      </c>
      <c r="D303" s="44">
        <v>2780.1204999999995</v>
      </c>
      <c r="E303" s="44">
        <v>2780.1204999999995</v>
      </c>
      <c r="F303" s="27">
        <f t="shared" si="9"/>
        <v>0</v>
      </c>
      <c r="G303" s="27">
        <f t="shared" si="10"/>
        <v>0</v>
      </c>
      <c r="H303" s="29">
        <v>1</v>
      </c>
      <c r="I303" s="35"/>
      <c r="J303" s="12"/>
      <c r="K303" s="13"/>
      <c r="L303" s="13"/>
      <c r="M303" s="36"/>
    </row>
    <row r="304" spans="1:13" ht="30" customHeight="1">
      <c r="A304" s="16" t="s">
        <v>13</v>
      </c>
      <c r="B304" s="30" t="s">
        <v>388</v>
      </c>
      <c r="C304" s="30" t="s">
        <v>410</v>
      </c>
      <c r="D304" s="44">
        <v>2913.1299999999997</v>
      </c>
      <c r="E304" s="44">
        <v>2913.1299999999997</v>
      </c>
      <c r="F304" s="27">
        <f t="shared" si="9"/>
        <v>0</v>
      </c>
      <c r="G304" s="27">
        <f t="shared" si="10"/>
        <v>0</v>
      </c>
      <c r="H304" s="29">
        <v>1</v>
      </c>
      <c r="I304" s="12"/>
      <c r="J304" s="12"/>
      <c r="K304" s="13"/>
      <c r="L304" s="13"/>
      <c r="M304" s="36"/>
    </row>
    <row r="305" spans="1:13" ht="30" customHeight="1">
      <c r="A305" s="16" t="s">
        <v>13</v>
      </c>
      <c r="B305" s="30" t="s">
        <v>387</v>
      </c>
      <c r="C305" s="30" t="s">
        <v>411</v>
      </c>
      <c r="D305" s="44">
        <v>3562.0299999999997</v>
      </c>
      <c r="E305" s="44">
        <v>3562.0299999999997</v>
      </c>
      <c r="F305" s="27">
        <f t="shared" si="9"/>
        <v>0</v>
      </c>
      <c r="G305" s="27">
        <f t="shared" si="10"/>
        <v>0</v>
      </c>
      <c r="H305" s="29">
        <v>1</v>
      </c>
      <c r="I305" s="12"/>
      <c r="J305" s="12"/>
      <c r="K305" s="13"/>
      <c r="L305" s="13"/>
      <c r="M305" s="36"/>
    </row>
    <row r="306" spans="1:13" ht="30" customHeight="1">
      <c r="A306" s="16" t="s">
        <v>13</v>
      </c>
      <c r="B306" s="30" t="s">
        <v>387</v>
      </c>
      <c r="C306" s="30" t="s">
        <v>412</v>
      </c>
      <c r="D306" s="44">
        <v>4676.5300000000007</v>
      </c>
      <c r="E306" s="44">
        <v>4676.5300000000007</v>
      </c>
      <c r="F306" s="27">
        <f t="shared" si="9"/>
        <v>0</v>
      </c>
      <c r="G306" s="27">
        <f t="shared" si="10"/>
        <v>0</v>
      </c>
      <c r="H306" s="29">
        <v>1</v>
      </c>
      <c r="I306" s="12"/>
      <c r="J306" s="12"/>
      <c r="K306" s="13"/>
      <c r="L306" s="13"/>
      <c r="M306" s="36"/>
    </row>
    <row r="307" spans="1:13" ht="30" customHeight="1">
      <c r="A307" s="16" t="s">
        <v>13</v>
      </c>
      <c r="B307" s="30" t="s">
        <v>388</v>
      </c>
      <c r="C307" s="30" t="s">
        <v>413</v>
      </c>
      <c r="D307" s="44">
        <v>5419.0300000000007</v>
      </c>
      <c r="E307" s="44">
        <v>5419.0300000000007</v>
      </c>
      <c r="F307" s="27">
        <f t="shared" si="9"/>
        <v>0</v>
      </c>
      <c r="G307" s="27">
        <f t="shared" si="10"/>
        <v>0</v>
      </c>
      <c r="H307" s="29">
        <v>1</v>
      </c>
      <c r="I307" s="12"/>
      <c r="J307" s="12"/>
      <c r="K307" s="13"/>
      <c r="L307" s="13"/>
      <c r="M307" s="36"/>
    </row>
    <row r="308" spans="1:13" ht="30" customHeight="1">
      <c r="A308" s="16" t="s">
        <v>13</v>
      </c>
      <c r="B308" s="30" t="s">
        <v>388</v>
      </c>
      <c r="C308" s="30" t="s">
        <v>414</v>
      </c>
      <c r="D308" s="44">
        <v>2733.9999999999995</v>
      </c>
      <c r="E308" s="44">
        <v>2733.9999999999995</v>
      </c>
      <c r="F308" s="27">
        <f t="shared" si="9"/>
        <v>0</v>
      </c>
      <c r="G308" s="27">
        <f t="shared" si="10"/>
        <v>0</v>
      </c>
      <c r="H308" s="29">
        <v>1</v>
      </c>
      <c r="I308" s="12"/>
      <c r="J308" s="12"/>
      <c r="K308" s="13"/>
      <c r="L308" s="13"/>
      <c r="M308" s="36"/>
    </row>
    <row r="309" spans="1:13" ht="30" customHeight="1">
      <c r="A309" s="16" t="s">
        <v>13</v>
      </c>
      <c r="B309" s="30" t="s">
        <v>388</v>
      </c>
      <c r="C309" s="30" t="s">
        <v>415</v>
      </c>
      <c r="D309" s="44">
        <v>1673.2285000000002</v>
      </c>
      <c r="E309" s="44">
        <v>1673.2285000000002</v>
      </c>
      <c r="F309" s="27">
        <f t="shared" si="9"/>
        <v>0</v>
      </c>
      <c r="G309" s="27">
        <f t="shared" si="10"/>
        <v>0</v>
      </c>
      <c r="H309" s="29">
        <v>1</v>
      </c>
      <c r="I309" s="12"/>
      <c r="J309" s="12"/>
      <c r="K309" s="13"/>
      <c r="L309" s="13"/>
      <c r="M309" s="36"/>
    </row>
    <row r="310" spans="1:13" ht="30" customHeight="1">
      <c r="A310" s="16" t="s">
        <v>13</v>
      </c>
      <c r="B310" s="30" t="s">
        <v>388</v>
      </c>
      <c r="C310" s="30" t="s">
        <v>416</v>
      </c>
      <c r="D310" s="44">
        <v>1647.6059999999998</v>
      </c>
      <c r="E310" s="44">
        <v>1647.6059999999998</v>
      </c>
      <c r="F310" s="27">
        <f t="shared" si="9"/>
        <v>0</v>
      </c>
      <c r="G310" s="27">
        <f t="shared" si="10"/>
        <v>0</v>
      </c>
      <c r="H310" s="29">
        <v>1</v>
      </c>
      <c r="I310" s="12"/>
      <c r="J310" s="12"/>
      <c r="K310" s="13"/>
      <c r="L310" s="13"/>
      <c r="M310" s="36"/>
    </row>
    <row r="311" spans="1:13" ht="30" customHeight="1">
      <c r="A311" s="16" t="s">
        <v>13</v>
      </c>
      <c r="B311" s="30" t="s">
        <v>388</v>
      </c>
      <c r="C311" s="30" t="s">
        <v>417</v>
      </c>
      <c r="D311" s="44">
        <v>2744.2489999999998</v>
      </c>
      <c r="E311" s="44">
        <v>2744.2489999999998</v>
      </c>
      <c r="F311" s="27">
        <f t="shared" si="9"/>
        <v>0</v>
      </c>
      <c r="G311" s="27">
        <f t="shared" si="10"/>
        <v>0</v>
      </c>
      <c r="H311" s="29">
        <v>1</v>
      </c>
      <c r="I311" s="12"/>
      <c r="J311" s="12"/>
      <c r="K311" s="13"/>
      <c r="L311" s="13"/>
      <c r="M311" s="36"/>
    </row>
    <row r="312" spans="1:13" ht="30" customHeight="1">
      <c r="A312" s="16" t="s">
        <v>13</v>
      </c>
      <c r="B312" s="30" t="s">
        <v>388</v>
      </c>
      <c r="C312" s="30" t="s">
        <v>431</v>
      </c>
      <c r="D312" s="44">
        <v>2764.7469999999998</v>
      </c>
      <c r="E312" s="44">
        <v>2764.7469999999998</v>
      </c>
      <c r="F312" s="27">
        <f t="shared" si="9"/>
        <v>0</v>
      </c>
      <c r="G312" s="27">
        <f t="shared" si="10"/>
        <v>0</v>
      </c>
      <c r="H312" s="29">
        <v>1</v>
      </c>
      <c r="I312" s="12"/>
      <c r="J312" s="12"/>
      <c r="K312" s="13"/>
      <c r="L312" s="13"/>
      <c r="M312" s="36"/>
    </row>
    <row r="313" spans="1:13" ht="30" customHeight="1">
      <c r="A313" s="16" t="s">
        <v>13</v>
      </c>
      <c r="B313" s="30" t="s">
        <v>388</v>
      </c>
      <c r="C313" s="30" t="s">
        <v>418</v>
      </c>
      <c r="D313" s="44">
        <v>853.30849999999998</v>
      </c>
      <c r="E313" s="44">
        <v>853.30849999999998</v>
      </c>
      <c r="F313" s="27">
        <f t="shared" si="9"/>
        <v>0</v>
      </c>
      <c r="G313" s="27">
        <f t="shared" si="10"/>
        <v>0</v>
      </c>
      <c r="H313" s="29">
        <v>1</v>
      </c>
      <c r="I313" s="12"/>
      <c r="J313" s="12"/>
      <c r="K313" s="13"/>
      <c r="L313" s="13"/>
      <c r="M313" s="36"/>
    </row>
    <row r="314" spans="1:13" ht="30" customHeight="1">
      <c r="A314" s="16" t="s">
        <v>13</v>
      </c>
      <c r="B314" s="30" t="s">
        <v>387</v>
      </c>
      <c r="C314" s="30" t="s">
        <v>419</v>
      </c>
      <c r="D314" s="44">
        <v>2749.3734999999997</v>
      </c>
      <c r="E314" s="44">
        <v>2749.3734999999997</v>
      </c>
      <c r="F314" s="27">
        <f t="shared" si="9"/>
        <v>0</v>
      </c>
      <c r="G314" s="27">
        <f t="shared" si="10"/>
        <v>0</v>
      </c>
      <c r="H314" s="29">
        <v>1</v>
      </c>
      <c r="I314" s="12"/>
      <c r="J314" s="12"/>
      <c r="K314" s="13"/>
      <c r="L314" s="13"/>
      <c r="M314" s="36"/>
    </row>
    <row r="315" spans="1:13" ht="30" customHeight="1">
      <c r="A315" s="16" t="s">
        <v>13</v>
      </c>
      <c r="B315" s="30" t="s">
        <v>387</v>
      </c>
      <c r="C315" s="30" t="s">
        <v>420</v>
      </c>
      <c r="D315" s="44">
        <v>2815.9919999999997</v>
      </c>
      <c r="E315" s="44">
        <v>2815.9919999999997</v>
      </c>
      <c r="F315" s="27">
        <f t="shared" si="9"/>
        <v>0</v>
      </c>
      <c r="G315" s="27">
        <f t="shared" si="10"/>
        <v>0</v>
      </c>
      <c r="H315" s="29">
        <v>1</v>
      </c>
      <c r="I315" s="12"/>
      <c r="J315" s="12"/>
      <c r="K315" s="13"/>
      <c r="L315" s="13"/>
      <c r="M315" s="36"/>
    </row>
    <row r="316" spans="1:13" ht="30" customHeight="1">
      <c r="A316" s="16" t="s">
        <v>13</v>
      </c>
      <c r="B316" s="30" t="s">
        <v>387</v>
      </c>
      <c r="C316" s="30" t="s">
        <v>421</v>
      </c>
      <c r="D316" s="44">
        <v>2826.2409999999995</v>
      </c>
      <c r="E316" s="44">
        <v>2826.2409999999995</v>
      </c>
      <c r="F316" s="27">
        <f t="shared" si="9"/>
        <v>0</v>
      </c>
      <c r="G316" s="27">
        <f t="shared" si="10"/>
        <v>0</v>
      </c>
      <c r="H316" s="29">
        <v>1</v>
      </c>
      <c r="I316" s="12"/>
      <c r="J316" s="12"/>
      <c r="K316" s="13"/>
      <c r="L316" s="13"/>
      <c r="M316" s="36"/>
    </row>
    <row r="317" spans="1:13" ht="30" customHeight="1">
      <c r="A317" s="16" t="s">
        <v>13</v>
      </c>
      <c r="B317" s="30" t="s">
        <v>387</v>
      </c>
      <c r="C317" s="30" t="s">
        <v>422</v>
      </c>
      <c r="D317" s="44">
        <v>2892.8594999999996</v>
      </c>
      <c r="E317" s="44">
        <v>2892.8594999999996</v>
      </c>
      <c r="F317" s="27">
        <f t="shared" si="9"/>
        <v>0</v>
      </c>
      <c r="G317" s="27">
        <f t="shared" si="10"/>
        <v>0</v>
      </c>
      <c r="H317" s="29">
        <v>1</v>
      </c>
      <c r="I317" s="12"/>
      <c r="J317" s="12"/>
      <c r="K317" s="13"/>
      <c r="L317" s="13"/>
      <c r="M317" s="36"/>
    </row>
    <row r="318" spans="1:13" ht="30" customHeight="1">
      <c r="A318" s="16" t="s">
        <v>13</v>
      </c>
      <c r="B318" s="30" t="s">
        <v>387</v>
      </c>
      <c r="C318" s="30" t="s">
        <v>423</v>
      </c>
      <c r="D318" s="44">
        <v>3717.9299999999994</v>
      </c>
      <c r="E318" s="44">
        <v>3717.9299999999994</v>
      </c>
      <c r="F318" s="27">
        <f t="shared" si="9"/>
        <v>0</v>
      </c>
      <c r="G318" s="27">
        <f t="shared" si="10"/>
        <v>0</v>
      </c>
      <c r="H318" s="29">
        <v>1</v>
      </c>
      <c r="I318" s="12"/>
      <c r="J318" s="12"/>
      <c r="K318" s="13"/>
      <c r="L318" s="13"/>
      <c r="M318" s="36"/>
    </row>
    <row r="319" spans="1:13" ht="30" customHeight="1">
      <c r="A319" s="16" t="s">
        <v>13</v>
      </c>
      <c r="B319" s="30" t="s">
        <v>386</v>
      </c>
      <c r="C319" s="30" t="s">
        <v>424</v>
      </c>
      <c r="D319" s="44">
        <v>2591.3299999999995</v>
      </c>
      <c r="E319" s="44">
        <v>2591.3299999999995</v>
      </c>
      <c r="F319" s="27">
        <f t="shared" si="9"/>
        <v>0</v>
      </c>
      <c r="G319" s="27">
        <f t="shared" si="10"/>
        <v>0</v>
      </c>
      <c r="H319" s="29">
        <v>1</v>
      </c>
      <c r="I319" s="12"/>
      <c r="J319" s="12"/>
      <c r="K319" s="13"/>
      <c r="L319" s="13"/>
      <c r="M319" s="36"/>
    </row>
    <row r="320" spans="1:13" ht="30" customHeight="1">
      <c r="A320" s="16" t="s">
        <v>13</v>
      </c>
      <c r="B320" s="30"/>
      <c r="C320" s="30" t="s">
        <v>394</v>
      </c>
      <c r="D320" s="44">
        <v>4677.93</v>
      </c>
      <c r="E320" s="44">
        <v>4677.93</v>
      </c>
      <c r="F320" s="27">
        <f t="shared" si="9"/>
        <v>0</v>
      </c>
      <c r="G320" s="27">
        <f t="shared" si="10"/>
        <v>0</v>
      </c>
      <c r="H320" s="29">
        <v>1</v>
      </c>
      <c r="I320" s="12"/>
      <c r="J320" s="12"/>
      <c r="K320" s="13"/>
      <c r="L320" s="13"/>
      <c r="M320" s="36"/>
    </row>
    <row r="321" spans="1:13" ht="30" customHeight="1">
      <c r="A321" s="16" t="s">
        <v>13</v>
      </c>
      <c r="B321" s="30" t="s">
        <v>386</v>
      </c>
      <c r="C321" s="30" t="s">
        <v>395</v>
      </c>
      <c r="D321" s="44">
        <v>1949.9515000000001</v>
      </c>
      <c r="E321" s="44">
        <v>1949.9515000000001</v>
      </c>
      <c r="F321" s="27">
        <f t="shared" si="9"/>
        <v>0</v>
      </c>
      <c r="G321" s="27">
        <f t="shared" si="10"/>
        <v>0</v>
      </c>
      <c r="H321" s="29">
        <v>1</v>
      </c>
      <c r="I321" s="12"/>
      <c r="J321" s="12"/>
      <c r="K321" s="13"/>
      <c r="L321" s="13"/>
      <c r="M321" s="36"/>
    </row>
    <row r="322" spans="1:13" ht="30" customHeight="1">
      <c r="A322" s="16" t="s">
        <v>13</v>
      </c>
      <c r="B322" s="30" t="s">
        <v>384</v>
      </c>
      <c r="C322" s="30" t="s">
        <v>396</v>
      </c>
      <c r="D322" s="44">
        <v>2134.4334999999996</v>
      </c>
      <c r="E322" s="44">
        <v>2134.4334999999996</v>
      </c>
      <c r="F322" s="27">
        <f t="shared" si="9"/>
        <v>0</v>
      </c>
      <c r="G322" s="27">
        <f t="shared" si="10"/>
        <v>0</v>
      </c>
      <c r="H322" s="29">
        <v>1</v>
      </c>
      <c r="I322" s="12"/>
      <c r="J322" s="12"/>
      <c r="K322" s="13"/>
      <c r="L322" s="13"/>
      <c r="M322" s="36"/>
    </row>
    <row r="323" spans="1:13" ht="30" customHeight="1">
      <c r="A323" s="16" t="s">
        <v>13</v>
      </c>
      <c r="B323" s="30" t="s">
        <v>386</v>
      </c>
      <c r="C323" s="30" t="s">
        <v>397</v>
      </c>
      <c r="D323" s="44">
        <v>2708.3774999999996</v>
      </c>
      <c r="E323" s="44">
        <v>2708.3774999999996</v>
      </c>
      <c r="F323" s="27">
        <f t="shared" si="9"/>
        <v>0</v>
      </c>
      <c r="G323" s="27">
        <f t="shared" si="10"/>
        <v>0</v>
      </c>
      <c r="H323" s="29">
        <v>1</v>
      </c>
      <c r="I323" s="12"/>
      <c r="J323" s="12"/>
      <c r="K323" s="13"/>
      <c r="L323" s="13"/>
      <c r="M323" s="36"/>
    </row>
    <row r="324" spans="1:13" ht="30" customHeight="1">
      <c r="A324" s="16" t="s">
        <v>13</v>
      </c>
      <c r="B324" s="30" t="s">
        <v>387</v>
      </c>
      <c r="C324" s="30" t="s">
        <v>398</v>
      </c>
      <c r="D324" s="44">
        <v>4613.0300000000007</v>
      </c>
      <c r="E324" s="44">
        <v>4613.0300000000007</v>
      </c>
      <c r="F324" s="27">
        <f t="shared" si="9"/>
        <v>0</v>
      </c>
      <c r="G324" s="27">
        <f t="shared" si="10"/>
        <v>0</v>
      </c>
      <c r="H324" s="29">
        <v>1</v>
      </c>
      <c r="I324" s="12"/>
      <c r="J324" s="12"/>
      <c r="K324" s="13"/>
      <c r="L324" s="13"/>
      <c r="M324" s="36"/>
    </row>
    <row r="325" spans="1:13" ht="30" customHeight="1">
      <c r="A325" s="16" t="s">
        <v>13</v>
      </c>
      <c r="B325" s="30" t="s">
        <v>387</v>
      </c>
      <c r="C325" s="30" t="s">
        <v>399</v>
      </c>
      <c r="D325" s="44">
        <v>2774.9959999999996</v>
      </c>
      <c r="E325" s="44">
        <v>2774.9959999999996</v>
      </c>
      <c r="F325" s="27">
        <f t="shared" ref="F325:F362" si="11">+D325-E325</f>
        <v>0</v>
      </c>
      <c r="G325" s="27">
        <f t="shared" si="10"/>
        <v>0</v>
      </c>
      <c r="H325" s="29">
        <v>1</v>
      </c>
      <c r="I325" s="12"/>
      <c r="J325" s="12"/>
      <c r="K325" s="13"/>
      <c r="L325" s="13"/>
      <c r="M325" s="36"/>
    </row>
    <row r="326" spans="1:13" ht="30" customHeight="1">
      <c r="A326" s="16" t="s">
        <v>13</v>
      </c>
      <c r="B326" s="30" t="s">
        <v>387</v>
      </c>
      <c r="C326" s="30" t="s">
        <v>400</v>
      </c>
      <c r="D326" s="44">
        <v>1555.3649999999998</v>
      </c>
      <c r="E326" s="44">
        <v>1555.3649999999998</v>
      </c>
      <c r="F326" s="27">
        <f t="shared" si="11"/>
        <v>0</v>
      </c>
      <c r="G326" s="27">
        <f t="shared" si="10"/>
        <v>0</v>
      </c>
      <c r="H326" s="29">
        <v>1</v>
      </c>
      <c r="I326" s="12"/>
      <c r="J326" s="12"/>
      <c r="K326" s="13"/>
      <c r="L326" s="13"/>
      <c r="M326" s="36"/>
    </row>
    <row r="327" spans="1:13" ht="30" customHeight="1">
      <c r="A327" s="16" t="s">
        <v>13</v>
      </c>
      <c r="B327" s="30" t="s">
        <v>387</v>
      </c>
      <c r="C327" s="30" t="s">
        <v>401</v>
      </c>
      <c r="D327" s="44">
        <v>3801.93</v>
      </c>
      <c r="E327" s="44">
        <v>3801.93</v>
      </c>
      <c r="F327" s="27">
        <f t="shared" si="11"/>
        <v>0</v>
      </c>
      <c r="G327" s="27">
        <f t="shared" si="10"/>
        <v>0</v>
      </c>
      <c r="H327" s="29">
        <v>1</v>
      </c>
      <c r="I327" s="12"/>
      <c r="J327" s="12"/>
      <c r="K327" s="13"/>
      <c r="L327" s="13"/>
      <c r="M327" s="36"/>
    </row>
    <row r="328" spans="1:13" ht="30" customHeight="1">
      <c r="A328" s="16" t="s">
        <v>13</v>
      </c>
      <c r="B328" s="30" t="s">
        <v>387</v>
      </c>
      <c r="C328" s="30" t="s">
        <v>403</v>
      </c>
      <c r="D328" s="44">
        <v>1914.08</v>
      </c>
      <c r="E328" s="44">
        <v>1914.08</v>
      </c>
      <c r="F328" s="27">
        <f t="shared" si="11"/>
        <v>0</v>
      </c>
      <c r="G328" s="27">
        <f t="shared" si="10"/>
        <v>0</v>
      </c>
      <c r="H328" s="29">
        <v>1</v>
      </c>
      <c r="I328" s="12"/>
      <c r="J328" s="12"/>
      <c r="K328" s="13"/>
      <c r="L328" s="13"/>
      <c r="M328" s="36"/>
    </row>
    <row r="329" spans="1:13" ht="30" customHeight="1">
      <c r="A329" s="16" t="s">
        <v>13</v>
      </c>
      <c r="B329" s="30" t="s">
        <v>386</v>
      </c>
      <c r="C329" s="30" t="s">
        <v>425</v>
      </c>
      <c r="D329" s="44">
        <v>2240.0299999999997</v>
      </c>
      <c r="E329" s="44">
        <v>2240.0299999999997</v>
      </c>
      <c r="F329" s="27">
        <f t="shared" si="11"/>
        <v>0</v>
      </c>
      <c r="G329" s="27">
        <f t="shared" si="10"/>
        <v>0</v>
      </c>
      <c r="H329" s="29">
        <v>1</v>
      </c>
      <c r="I329" s="12"/>
      <c r="J329" s="12"/>
      <c r="K329" s="13"/>
      <c r="L329" s="13"/>
      <c r="M329" s="36"/>
    </row>
    <row r="330" spans="1:13" ht="30" customHeight="1">
      <c r="A330" s="16" t="s">
        <v>13</v>
      </c>
      <c r="B330" s="30" t="s">
        <v>386</v>
      </c>
      <c r="C330" s="30" t="s">
        <v>427</v>
      </c>
      <c r="D330" s="44">
        <v>2718.6264999999999</v>
      </c>
      <c r="E330" s="44">
        <v>2718.6264999999999</v>
      </c>
      <c r="F330" s="27">
        <f t="shared" si="11"/>
        <v>0</v>
      </c>
      <c r="G330" s="27">
        <f t="shared" si="10"/>
        <v>0</v>
      </c>
      <c r="H330" s="29">
        <v>1</v>
      </c>
      <c r="I330" s="12"/>
      <c r="J330" s="12"/>
      <c r="K330" s="13"/>
      <c r="L330" s="13"/>
      <c r="M330" s="36"/>
    </row>
    <row r="331" spans="1:13" ht="30" customHeight="1">
      <c r="A331" s="16" t="s">
        <v>13</v>
      </c>
      <c r="B331" s="30" t="s">
        <v>386</v>
      </c>
      <c r="C331" s="30" t="s">
        <v>428</v>
      </c>
      <c r="D331" s="44">
        <v>1580.9875000000002</v>
      </c>
      <c r="E331" s="44">
        <v>1580.9875000000002</v>
      </c>
      <c r="F331" s="27">
        <f t="shared" si="11"/>
        <v>0</v>
      </c>
      <c r="G331" s="27">
        <f t="shared" si="10"/>
        <v>0</v>
      </c>
      <c r="H331" s="29">
        <v>1</v>
      </c>
      <c r="I331" s="12"/>
      <c r="J331" s="12"/>
      <c r="K331" s="13"/>
      <c r="L331" s="13"/>
      <c r="M331" s="36"/>
    </row>
    <row r="332" spans="1:13" ht="30" customHeight="1">
      <c r="A332" s="16" t="s">
        <v>13</v>
      </c>
      <c r="B332" s="30" t="s">
        <v>384</v>
      </c>
      <c r="C332" s="30" t="s">
        <v>406</v>
      </c>
      <c r="D332" s="44">
        <v>2759.6224999999995</v>
      </c>
      <c r="E332" s="44">
        <v>2759.6224999999995</v>
      </c>
      <c r="F332" s="27">
        <f t="shared" si="11"/>
        <v>0</v>
      </c>
      <c r="G332" s="27">
        <f t="shared" si="10"/>
        <v>0</v>
      </c>
      <c r="H332" s="29">
        <v>1</v>
      </c>
      <c r="I332" s="12"/>
      <c r="J332" s="12"/>
      <c r="K332" s="13"/>
      <c r="L332" s="13"/>
      <c r="M332" s="36"/>
    </row>
    <row r="333" spans="1:13" ht="30" customHeight="1">
      <c r="A333" s="16" t="s">
        <v>13</v>
      </c>
      <c r="B333" s="30" t="s">
        <v>384</v>
      </c>
      <c r="C333" s="30" t="s">
        <v>409</v>
      </c>
      <c r="D333" s="44">
        <v>2805.7429999999995</v>
      </c>
      <c r="E333" s="44">
        <v>2805.7429999999995</v>
      </c>
      <c r="F333" s="27">
        <f t="shared" si="11"/>
        <v>0</v>
      </c>
      <c r="G333" s="27">
        <f t="shared" si="10"/>
        <v>0</v>
      </c>
      <c r="H333" s="29">
        <v>1</v>
      </c>
      <c r="I333" s="12"/>
      <c r="J333" s="12"/>
      <c r="K333" s="13"/>
      <c r="L333" s="13"/>
      <c r="M333" s="36"/>
    </row>
    <row r="334" spans="1:13" ht="30" customHeight="1">
      <c r="A334" s="16" t="s">
        <v>13</v>
      </c>
      <c r="B334" s="30" t="s">
        <v>384</v>
      </c>
      <c r="C334" s="30" t="s">
        <v>429</v>
      </c>
      <c r="D334" s="44">
        <v>402.35249999999996</v>
      </c>
      <c r="E334" s="44">
        <v>402.35249999999996</v>
      </c>
      <c r="F334" s="27">
        <f t="shared" si="11"/>
        <v>0</v>
      </c>
      <c r="G334" s="27">
        <f t="shared" si="10"/>
        <v>0</v>
      </c>
      <c r="H334" s="29">
        <v>1</v>
      </c>
      <c r="I334" s="12"/>
      <c r="J334" s="12"/>
      <c r="K334" s="13"/>
      <c r="L334" s="13"/>
      <c r="M334" s="36"/>
    </row>
    <row r="335" spans="1:13" ht="30" customHeight="1">
      <c r="A335" s="16" t="s">
        <v>13</v>
      </c>
      <c r="B335" s="30" t="s">
        <v>386</v>
      </c>
      <c r="C335" s="30" t="s">
        <v>430</v>
      </c>
      <c r="D335" s="44">
        <v>1719.3490000000002</v>
      </c>
      <c r="E335" s="44">
        <v>1719.3490000000002</v>
      </c>
      <c r="F335" s="27">
        <f t="shared" si="11"/>
        <v>0</v>
      </c>
      <c r="G335" s="27">
        <f t="shared" si="10"/>
        <v>0</v>
      </c>
      <c r="H335" s="29">
        <v>1</v>
      </c>
      <c r="I335" s="12"/>
      <c r="J335" s="12"/>
      <c r="K335" s="13"/>
      <c r="L335" s="13"/>
      <c r="M335" s="36"/>
    </row>
    <row r="336" spans="1:13" ht="30" customHeight="1">
      <c r="A336" s="16" t="s">
        <v>13</v>
      </c>
      <c r="B336" s="30" t="s">
        <v>386</v>
      </c>
      <c r="C336" s="30" t="s">
        <v>436</v>
      </c>
      <c r="D336" s="44">
        <v>489.46899999999994</v>
      </c>
      <c r="E336" s="44">
        <v>489.46899999999994</v>
      </c>
      <c r="F336" s="27">
        <f t="shared" si="11"/>
        <v>0</v>
      </c>
      <c r="G336" s="27">
        <f t="shared" si="10"/>
        <v>0</v>
      </c>
      <c r="H336" s="29">
        <v>1</v>
      </c>
      <c r="I336" s="12"/>
      <c r="J336" s="12"/>
      <c r="K336" s="13"/>
      <c r="L336" s="13"/>
      <c r="M336" s="36"/>
    </row>
    <row r="337" spans="1:13" ht="30" customHeight="1">
      <c r="A337" s="16" t="s">
        <v>13</v>
      </c>
      <c r="B337" s="30" t="s">
        <v>386</v>
      </c>
      <c r="C337" s="30" t="s">
        <v>432</v>
      </c>
      <c r="D337" s="44">
        <v>2795.4939999999997</v>
      </c>
      <c r="E337" s="44">
        <v>2795.4939999999997</v>
      </c>
      <c r="F337" s="27">
        <f t="shared" si="11"/>
        <v>0</v>
      </c>
      <c r="G337" s="27">
        <f t="shared" si="10"/>
        <v>0</v>
      </c>
      <c r="H337" s="29">
        <v>1</v>
      </c>
      <c r="I337" s="12"/>
      <c r="J337" s="12"/>
      <c r="K337" s="13"/>
      <c r="L337" s="13"/>
      <c r="M337" s="36"/>
    </row>
    <row r="338" spans="1:13" ht="30" customHeight="1">
      <c r="A338" s="16" t="s">
        <v>13</v>
      </c>
      <c r="B338" s="30" t="s">
        <v>384</v>
      </c>
      <c r="C338" s="30" t="s">
        <v>433</v>
      </c>
      <c r="D338" s="44">
        <v>2754.4979999999996</v>
      </c>
      <c r="E338" s="44">
        <v>2754.4979999999996</v>
      </c>
      <c r="F338" s="27">
        <f t="shared" si="11"/>
        <v>0</v>
      </c>
      <c r="G338" s="27">
        <f t="shared" si="10"/>
        <v>0</v>
      </c>
      <c r="H338" s="29">
        <v>1</v>
      </c>
      <c r="I338" s="12"/>
      <c r="J338" s="12"/>
      <c r="K338" s="13"/>
      <c r="L338" s="13"/>
      <c r="M338" s="36"/>
    </row>
    <row r="339" spans="1:13" ht="30" customHeight="1">
      <c r="A339" s="16" t="s">
        <v>13</v>
      </c>
      <c r="B339" s="30" t="s">
        <v>386</v>
      </c>
      <c r="C339" s="30" t="s">
        <v>434</v>
      </c>
      <c r="D339" s="44">
        <v>2851.8634999999995</v>
      </c>
      <c r="E339" s="44">
        <v>2851.8634999999995</v>
      </c>
      <c r="F339" s="27">
        <f t="shared" si="11"/>
        <v>0</v>
      </c>
      <c r="G339" s="27">
        <f t="shared" si="10"/>
        <v>0</v>
      </c>
      <c r="H339" s="29">
        <v>1</v>
      </c>
      <c r="I339" s="12"/>
      <c r="J339" s="12"/>
      <c r="K339" s="13"/>
      <c r="L339" s="13"/>
      <c r="M339" s="36"/>
    </row>
    <row r="340" spans="1:13" ht="30" customHeight="1">
      <c r="A340" s="16" t="s">
        <v>13</v>
      </c>
      <c r="B340" s="30" t="s">
        <v>384</v>
      </c>
      <c r="C340" s="30" t="s">
        <v>393</v>
      </c>
      <c r="D340" s="27">
        <v>1919.2044999999998</v>
      </c>
      <c r="E340" s="27">
        <v>1919.2044999999998</v>
      </c>
      <c r="F340" s="27">
        <f t="shared" si="11"/>
        <v>0</v>
      </c>
      <c r="G340" s="27">
        <f t="shared" si="10"/>
        <v>0</v>
      </c>
      <c r="H340" s="29">
        <v>1</v>
      </c>
      <c r="I340" s="12"/>
      <c r="J340" s="12"/>
      <c r="K340" s="13"/>
      <c r="L340" s="13"/>
      <c r="M340" s="36"/>
    </row>
    <row r="341" spans="1:13" ht="30" customHeight="1">
      <c r="A341" s="16" t="s">
        <v>13</v>
      </c>
      <c r="B341" s="30" t="s">
        <v>384</v>
      </c>
      <c r="C341" s="30" t="s">
        <v>435</v>
      </c>
      <c r="D341" s="27">
        <v>2836.49</v>
      </c>
      <c r="E341" s="27">
        <v>2836.49</v>
      </c>
      <c r="F341" s="27">
        <f t="shared" si="11"/>
        <v>0</v>
      </c>
      <c r="G341" s="27">
        <f t="shared" si="10"/>
        <v>0</v>
      </c>
      <c r="H341" s="29">
        <v>1</v>
      </c>
      <c r="I341" s="12"/>
      <c r="J341" s="12"/>
      <c r="K341" s="13"/>
      <c r="L341" s="13"/>
      <c r="M341" s="36"/>
    </row>
    <row r="342" spans="1:13" ht="30" customHeight="1">
      <c r="A342" s="16" t="s">
        <v>13</v>
      </c>
      <c r="B342" s="30" t="s">
        <v>384</v>
      </c>
      <c r="C342" s="30" t="s">
        <v>426</v>
      </c>
      <c r="D342" s="27">
        <v>1898.7064999999998</v>
      </c>
      <c r="E342" s="27">
        <v>1898.7064999999998</v>
      </c>
      <c r="F342" s="27">
        <f t="shared" si="11"/>
        <v>0</v>
      </c>
      <c r="G342" s="27">
        <f t="shared" si="10"/>
        <v>0</v>
      </c>
      <c r="H342" s="29">
        <v>1</v>
      </c>
      <c r="I342" s="12"/>
      <c r="J342" s="12"/>
      <c r="K342" s="13"/>
      <c r="L342" s="13"/>
      <c r="M342" s="36"/>
    </row>
    <row r="343" spans="1:13" ht="30" customHeight="1">
      <c r="A343" s="5" t="s">
        <v>45</v>
      </c>
      <c r="B343" s="30" t="s">
        <v>392</v>
      </c>
      <c r="C343" s="30" t="s">
        <v>437</v>
      </c>
      <c r="D343" s="27">
        <v>2149.8069999999998</v>
      </c>
      <c r="E343" s="27">
        <v>2149.8069999999998</v>
      </c>
      <c r="F343" s="27">
        <f t="shared" si="11"/>
        <v>0</v>
      </c>
      <c r="G343" s="27">
        <f t="shared" si="10"/>
        <v>0</v>
      </c>
      <c r="H343" s="29">
        <v>1</v>
      </c>
      <c r="I343" s="12"/>
      <c r="J343" s="12"/>
      <c r="K343" s="13"/>
      <c r="L343" s="13"/>
      <c r="M343" s="36"/>
    </row>
    <row r="344" spans="1:13" ht="30" customHeight="1">
      <c r="A344" s="5" t="s">
        <v>45</v>
      </c>
      <c r="B344" s="30" t="s">
        <v>392</v>
      </c>
      <c r="C344" s="30" t="s">
        <v>438</v>
      </c>
      <c r="D344" s="27">
        <v>2897.9839999999999</v>
      </c>
      <c r="E344" s="27">
        <v>2897.9839999999999</v>
      </c>
      <c r="F344" s="27">
        <f t="shared" si="11"/>
        <v>0</v>
      </c>
      <c r="G344" s="27">
        <f t="shared" si="10"/>
        <v>0</v>
      </c>
      <c r="H344" s="29">
        <v>1</v>
      </c>
      <c r="I344" s="12"/>
      <c r="J344" s="12"/>
      <c r="K344" s="13"/>
      <c r="L344" s="13"/>
      <c r="M344" s="36"/>
    </row>
    <row r="345" spans="1:13" ht="30" customHeight="1">
      <c r="A345" s="5" t="s">
        <v>45</v>
      </c>
      <c r="B345" s="30" t="s">
        <v>392</v>
      </c>
      <c r="C345" s="30" t="s">
        <v>440</v>
      </c>
      <c r="D345" s="27">
        <v>1457.9994999999999</v>
      </c>
      <c r="E345" s="27">
        <v>1457.9994999999999</v>
      </c>
      <c r="F345" s="27">
        <f t="shared" si="11"/>
        <v>0</v>
      </c>
      <c r="G345" s="27">
        <f t="shared" si="10"/>
        <v>0</v>
      </c>
      <c r="H345" s="29">
        <v>1</v>
      </c>
      <c r="I345" s="12"/>
      <c r="J345" s="12"/>
      <c r="K345" s="13"/>
      <c r="L345" s="13"/>
      <c r="M345" s="36"/>
    </row>
    <row r="346" spans="1:13" ht="30" customHeight="1">
      <c r="A346" s="5" t="s">
        <v>45</v>
      </c>
      <c r="B346" s="30" t="s">
        <v>392</v>
      </c>
      <c r="C346" s="30" t="s">
        <v>439</v>
      </c>
      <c r="D346" s="27">
        <v>1463.1239999999998</v>
      </c>
      <c r="E346" s="27">
        <v>1463.1239999999998</v>
      </c>
      <c r="F346" s="27">
        <f t="shared" si="11"/>
        <v>0</v>
      </c>
      <c r="G346" s="27">
        <f t="shared" si="10"/>
        <v>0</v>
      </c>
      <c r="H346" s="29">
        <v>1</v>
      </c>
      <c r="I346" s="12"/>
      <c r="J346" s="12"/>
      <c r="K346" s="13"/>
      <c r="L346" s="13"/>
      <c r="M346" s="36"/>
    </row>
    <row r="347" spans="1:13" ht="30" customHeight="1">
      <c r="A347" s="16" t="s">
        <v>30</v>
      </c>
      <c r="B347" s="30" t="s">
        <v>389</v>
      </c>
      <c r="C347" s="30" t="s">
        <v>441</v>
      </c>
      <c r="D347" s="27">
        <v>2800.6184999999996</v>
      </c>
      <c r="E347" s="27">
        <v>2800.6184999999996</v>
      </c>
      <c r="F347" s="27">
        <f t="shared" si="11"/>
        <v>0</v>
      </c>
      <c r="G347" s="27">
        <f t="shared" si="10"/>
        <v>0</v>
      </c>
      <c r="H347" s="29">
        <v>1</v>
      </c>
      <c r="I347" s="12"/>
      <c r="J347" s="12"/>
      <c r="K347" s="13"/>
      <c r="L347" s="13"/>
      <c r="M347" s="36"/>
    </row>
    <row r="348" spans="1:13" ht="30" customHeight="1">
      <c r="A348" s="16" t="s">
        <v>30</v>
      </c>
      <c r="B348" s="30" t="s">
        <v>391</v>
      </c>
      <c r="C348" s="30" t="s">
        <v>442</v>
      </c>
      <c r="D348" s="27">
        <v>2739.1244999999999</v>
      </c>
      <c r="E348" s="27">
        <v>2739.1244999999999</v>
      </c>
      <c r="F348" s="27">
        <f t="shared" si="11"/>
        <v>0</v>
      </c>
      <c r="G348" s="27">
        <f t="shared" si="10"/>
        <v>0</v>
      </c>
      <c r="H348" s="29">
        <v>1</v>
      </c>
      <c r="I348" s="12"/>
      <c r="J348" s="12"/>
      <c r="K348" s="13"/>
      <c r="L348" s="13"/>
      <c r="M348" s="36"/>
    </row>
    <row r="349" spans="1:13" ht="30" customHeight="1">
      <c r="A349" s="16" t="s">
        <v>30</v>
      </c>
      <c r="B349" s="30" t="s">
        <v>389</v>
      </c>
      <c r="C349" s="30" t="s">
        <v>443</v>
      </c>
      <c r="D349" s="27">
        <v>2790.3694999999998</v>
      </c>
      <c r="E349" s="27">
        <v>2790.3694999999998</v>
      </c>
      <c r="F349" s="27">
        <f t="shared" si="11"/>
        <v>0</v>
      </c>
      <c r="G349" s="27">
        <f t="shared" si="10"/>
        <v>0</v>
      </c>
      <c r="H349" s="29">
        <v>1</v>
      </c>
      <c r="I349" s="12"/>
      <c r="J349" s="12"/>
      <c r="K349" s="13"/>
      <c r="L349" s="13"/>
      <c r="M349" s="36"/>
    </row>
    <row r="350" spans="1:13" ht="30" customHeight="1">
      <c r="A350" s="16" t="s">
        <v>30</v>
      </c>
      <c r="B350" s="30" t="s">
        <v>389</v>
      </c>
      <c r="C350" s="30" t="s">
        <v>444</v>
      </c>
      <c r="D350" s="27">
        <v>1345.2604999999999</v>
      </c>
      <c r="E350" s="27">
        <v>1345.2604999999999</v>
      </c>
      <c r="F350" s="27">
        <f t="shared" si="11"/>
        <v>0</v>
      </c>
      <c r="G350" s="27">
        <f t="shared" si="10"/>
        <v>0</v>
      </c>
      <c r="H350" s="29">
        <v>1</v>
      </c>
      <c r="I350" s="12"/>
      <c r="J350" s="12"/>
      <c r="K350" s="13"/>
      <c r="L350" s="13"/>
      <c r="M350" s="36"/>
    </row>
    <row r="351" spans="1:13" ht="30" customHeight="1">
      <c r="A351" s="16" t="s">
        <v>30</v>
      </c>
      <c r="B351" s="30" t="s">
        <v>391</v>
      </c>
      <c r="C351" s="30" t="s">
        <v>445</v>
      </c>
      <c r="D351" s="27">
        <v>2810.8674999999998</v>
      </c>
      <c r="E351" s="27">
        <v>2810.8674999999998</v>
      </c>
      <c r="F351" s="27">
        <f t="shared" si="11"/>
        <v>0</v>
      </c>
      <c r="G351" s="27">
        <f t="shared" si="10"/>
        <v>0</v>
      </c>
      <c r="H351" s="29">
        <v>1</v>
      </c>
      <c r="I351" s="12"/>
      <c r="J351" s="12"/>
      <c r="K351" s="13"/>
      <c r="L351" s="13"/>
      <c r="M351" s="36"/>
    </row>
    <row r="352" spans="1:13" ht="30" customHeight="1">
      <c r="A352" s="16" t="s">
        <v>30</v>
      </c>
      <c r="B352" s="30" t="s">
        <v>391</v>
      </c>
      <c r="C352" s="30" t="s">
        <v>446</v>
      </c>
      <c r="D352" s="27">
        <v>1206.8989999999999</v>
      </c>
      <c r="E352" s="27">
        <v>1206.8989999999999</v>
      </c>
      <c r="F352" s="27">
        <f t="shared" si="11"/>
        <v>0</v>
      </c>
      <c r="G352" s="27">
        <f t="shared" si="10"/>
        <v>0</v>
      </c>
      <c r="H352" s="29">
        <v>1</v>
      </c>
      <c r="I352" s="12"/>
      <c r="J352" s="12"/>
      <c r="K352" s="13"/>
      <c r="L352" s="13"/>
      <c r="M352" s="36"/>
    </row>
    <row r="353" spans="1:13" ht="30" customHeight="1">
      <c r="A353" s="16" t="s">
        <v>30</v>
      </c>
      <c r="B353" s="30" t="s">
        <v>389</v>
      </c>
      <c r="C353" s="30" t="s">
        <v>447</v>
      </c>
      <c r="D353" s="27">
        <v>2872.3614999999995</v>
      </c>
      <c r="E353" s="27">
        <v>2872.3614999999995</v>
      </c>
      <c r="F353" s="27">
        <f t="shared" si="11"/>
        <v>0</v>
      </c>
      <c r="G353" s="27">
        <f t="shared" si="10"/>
        <v>0</v>
      </c>
      <c r="H353" s="29">
        <v>1</v>
      </c>
      <c r="I353" s="12"/>
      <c r="J353" s="12"/>
      <c r="K353" s="13"/>
      <c r="L353" s="13"/>
      <c r="M353" s="36"/>
    </row>
    <row r="354" spans="1:13" ht="30" customHeight="1">
      <c r="A354" s="16" t="s">
        <v>30</v>
      </c>
      <c r="B354" s="30" t="s">
        <v>391</v>
      </c>
      <c r="C354" s="30" t="s">
        <v>448</v>
      </c>
      <c r="D354" s="27">
        <v>2093.4374999999995</v>
      </c>
      <c r="E354" s="27">
        <v>2093.4374999999995</v>
      </c>
      <c r="F354" s="27">
        <f t="shared" si="11"/>
        <v>0</v>
      </c>
      <c r="G354" s="27">
        <f t="shared" si="10"/>
        <v>0</v>
      </c>
      <c r="H354" s="29">
        <v>1</v>
      </c>
      <c r="I354" s="12"/>
      <c r="J354" s="12"/>
      <c r="K354" s="13"/>
      <c r="L354" s="13"/>
      <c r="M354" s="36"/>
    </row>
    <row r="355" spans="1:13" ht="30" customHeight="1">
      <c r="A355" s="16" t="s">
        <v>30</v>
      </c>
      <c r="B355" s="30" t="s">
        <v>391</v>
      </c>
      <c r="C355" s="30" t="s">
        <v>449</v>
      </c>
      <c r="D355" s="27">
        <v>2908.2329999999997</v>
      </c>
      <c r="E355" s="27">
        <v>2908.2329999999997</v>
      </c>
      <c r="F355" s="27">
        <f t="shared" si="11"/>
        <v>0</v>
      </c>
      <c r="G355" s="27">
        <f t="shared" si="10"/>
        <v>0</v>
      </c>
      <c r="H355" s="29">
        <v>1</v>
      </c>
      <c r="I355" s="12"/>
      <c r="J355" s="12"/>
      <c r="K355" s="13"/>
      <c r="L355" s="13"/>
      <c r="M355" s="36"/>
    </row>
    <row r="356" spans="1:13" ht="30" customHeight="1">
      <c r="A356" s="16" t="s">
        <v>30</v>
      </c>
      <c r="B356" s="30" t="s">
        <v>389</v>
      </c>
      <c r="C356" s="30" t="s">
        <v>450</v>
      </c>
      <c r="D356" s="27">
        <v>1027.5414999999998</v>
      </c>
      <c r="E356" s="27">
        <v>1027.5414999999998</v>
      </c>
      <c r="F356" s="27">
        <f t="shared" si="11"/>
        <v>0</v>
      </c>
      <c r="G356" s="27">
        <f t="shared" si="10"/>
        <v>0</v>
      </c>
      <c r="H356" s="29">
        <v>1</v>
      </c>
      <c r="I356" s="12"/>
      <c r="J356" s="12"/>
      <c r="K356" s="13"/>
      <c r="L356" s="13"/>
      <c r="M356" s="36"/>
    </row>
    <row r="357" spans="1:13" ht="30" customHeight="1">
      <c r="A357" s="16" t="s">
        <v>30</v>
      </c>
      <c r="B357" s="30" t="s">
        <v>390</v>
      </c>
      <c r="C357" s="30" t="s">
        <v>451</v>
      </c>
      <c r="D357" s="27">
        <v>1109.5335</v>
      </c>
      <c r="E357" s="27">
        <v>1109.5335</v>
      </c>
      <c r="F357" s="27">
        <f t="shared" si="11"/>
        <v>0</v>
      </c>
      <c r="G357" s="27">
        <f t="shared" si="10"/>
        <v>0</v>
      </c>
      <c r="H357" s="29">
        <v>1</v>
      </c>
      <c r="I357" s="12"/>
      <c r="J357" s="12"/>
      <c r="K357" s="13"/>
      <c r="L357" s="13"/>
      <c r="M357" s="36"/>
    </row>
    <row r="358" spans="1:13" ht="30" customHeight="1">
      <c r="A358" s="16" t="s">
        <v>30</v>
      </c>
      <c r="B358" s="30" t="s">
        <v>391</v>
      </c>
      <c r="C358" s="30" t="s">
        <v>452</v>
      </c>
      <c r="D358" s="27">
        <v>2862.1124999999997</v>
      </c>
      <c r="E358" s="27">
        <v>2862.1124999999997</v>
      </c>
      <c r="F358" s="27">
        <f t="shared" si="11"/>
        <v>0</v>
      </c>
      <c r="G358" s="27">
        <f t="shared" ref="G358:G362" si="12">+F358*100/D358</f>
        <v>0</v>
      </c>
      <c r="H358" s="29">
        <v>1</v>
      </c>
      <c r="I358" s="12"/>
      <c r="J358" s="12"/>
      <c r="K358" s="13"/>
      <c r="L358" s="13"/>
      <c r="M358" s="36"/>
    </row>
    <row r="359" spans="1:13" ht="30" customHeight="1">
      <c r="A359" s="16" t="s">
        <v>30</v>
      </c>
      <c r="B359" s="30" t="s">
        <v>390</v>
      </c>
      <c r="C359" s="30" t="s">
        <v>453</v>
      </c>
      <c r="D359" s="27">
        <v>2913.3574999999996</v>
      </c>
      <c r="E359" s="27">
        <v>2913.3574999999996</v>
      </c>
      <c r="F359" s="27">
        <f t="shared" si="11"/>
        <v>0</v>
      </c>
      <c r="G359" s="27">
        <f t="shared" si="12"/>
        <v>0</v>
      </c>
      <c r="H359" s="29">
        <v>1</v>
      </c>
      <c r="I359" s="12"/>
      <c r="J359" s="12"/>
      <c r="K359" s="13"/>
      <c r="L359" s="13"/>
      <c r="M359" s="36"/>
    </row>
    <row r="360" spans="1:13" ht="30" customHeight="1">
      <c r="A360" s="16" t="s">
        <v>30</v>
      </c>
      <c r="B360" s="30" t="s">
        <v>389</v>
      </c>
      <c r="C360" s="30" t="s">
        <v>454</v>
      </c>
      <c r="D360" s="27">
        <v>2785.2449999999999</v>
      </c>
      <c r="E360" s="27">
        <v>2785.2449999999999</v>
      </c>
      <c r="F360" s="27">
        <f t="shared" si="11"/>
        <v>0</v>
      </c>
      <c r="G360" s="27">
        <f t="shared" si="12"/>
        <v>0</v>
      </c>
      <c r="H360" s="29">
        <v>1</v>
      </c>
      <c r="I360" s="12"/>
      <c r="J360" s="12"/>
      <c r="K360" s="13"/>
      <c r="L360" s="13"/>
      <c r="M360" s="36"/>
    </row>
    <row r="361" spans="1:13" ht="30" customHeight="1">
      <c r="A361" s="16" t="s">
        <v>30</v>
      </c>
      <c r="B361" s="30" t="s">
        <v>391</v>
      </c>
      <c r="C361" s="30" t="s">
        <v>456</v>
      </c>
      <c r="D361" s="27">
        <v>2887.7349999999997</v>
      </c>
      <c r="E361" s="27">
        <v>2887.7349999999997</v>
      </c>
      <c r="F361" s="27">
        <f t="shared" si="11"/>
        <v>0</v>
      </c>
      <c r="G361" s="27">
        <f t="shared" si="12"/>
        <v>0</v>
      </c>
      <c r="H361" s="29">
        <v>1</v>
      </c>
      <c r="I361" s="12"/>
      <c r="J361" s="12"/>
      <c r="K361" s="13"/>
      <c r="L361" s="13"/>
      <c r="M361" s="36"/>
    </row>
    <row r="362" spans="1:13" ht="30" customHeight="1">
      <c r="A362" s="16" t="s">
        <v>30</v>
      </c>
      <c r="B362" s="30" t="s">
        <v>391</v>
      </c>
      <c r="C362" s="30" t="s">
        <v>455</v>
      </c>
      <c r="D362" s="27">
        <v>2877.4859999999999</v>
      </c>
      <c r="E362" s="27">
        <v>2877.4859999999999</v>
      </c>
      <c r="F362" s="27">
        <f t="shared" si="11"/>
        <v>0</v>
      </c>
      <c r="G362" s="27">
        <f t="shared" si="12"/>
        <v>0</v>
      </c>
      <c r="H362" s="29">
        <v>1</v>
      </c>
      <c r="I362" s="12"/>
      <c r="J362" s="12"/>
      <c r="K362" s="13"/>
      <c r="L362" s="13"/>
      <c r="M362" s="36"/>
    </row>
    <row r="363" spans="1:13" ht="30" customHeight="1">
      <c r="A363" s="2"/>
      <c r="B363" s="2"/>
      <c r="C363" s="2"/>
      <c r="D363" s="31"/>
      <c r="E363" s="2"/>
      <c r="F363" s="2"/>
      <c r="G363" s="2"/>
      <c r="H363" s="2"/>
      <c r="I363" s="2"/>
      <c r="J363" s="2"/>
      <c r="K363" s="11"/>
      <c r="L363" s="11"/>
      <c r="M363" s="9"/>
    </row>
    <row r="364" spans="1:13" ht="3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11"/>
      <c r="L364" s="11"/>
      <c r="M364" s="9"/>
    </row>
    <row r="365" spans="1:13" ht="3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11"/>
      <c r="L365" s="11"/>
      <c r="M365" s="9"/>
    </row>
    <row r="366" spans="1:13" ht="3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11"/>
      <c r="L366" s="11"/>
      <c r="M366" s="9"/>
    </row>
    <row r="367" spans="1:13" ht="3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11"/>
      <c r="L367" s="11"/>
      <c r="M367" s="9"/>
    </row>
    <row r="368" spans="1:13" ht="3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11"/>
      <c r="L368" s="11"/>
      <c r="M368" s="9"/>
    </row>
    <row r="369" spans="1:13" ht="3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11"/>
      <c r="L369" s="11"/>
      <c r="M369" s="9"/>
    </row>
    <row r="370" spans="1:13" ht="3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11"/>
      <c r="L370" s="11"/>
      <c r="M370" s="9"/>
    </row>
    <row r="371" spans="1:13" ht="3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11"/>
      <c r="L371" s="11"/>
      <c r="M371" s="9"/>
    </row>
    <row r="372" spans="1:13" ht="3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11"/>
      <c r="L372" s="11"/>
      <c r="M372" s="9"/>
    </row>
    <row r="373" spans="1:13" ht="3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11"/>
      <c r="L373" s="11"/>
      <c r="M373" s="9"/>
    </row>
    <row r="374" spans="1:13" ht="3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11"/>
      <c r="L374" s="11"/>
      <c r="M374" s="9"/>
    </row>
    <row r="375" spans="1:13" ht="3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11"/>
      <c r="L375" s="11"/>
      <c r="M375" s="9"/>
    </row>
    <row r="376" spans="1:13" ht="3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11"/>
      <c r="L376" s="11"/>
      <c r="M376" s="9"/>
    </row>
    <row r="377" spans="1:13" ht="3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11"/>
      <c r="L377" s="11"/>
      <c r="M377" s="9"/>
    </row>
    <row r="378" spans="1:13" ht="3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11"/>
      <c r="L378" s="11"/>
      <c r="M378" s="9"/>
    </row>
    <row r="379" spans="1:13" ht="3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11"/>
      <c r="L379" s="11"/>
      <c r="M379" s="9"/>
    </row>
    <row r="380" spans="1:13" ht="3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11"/>
      <c r="L380" s="11"/>
      <c r="M380" s="9"/>
    </row>
    <row r="381" spans="1:13" ht="3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11"/>
      <c r="L381" s="11"/>
      <c r="M381" s="9"/>
    </row>
    <row r="382" spans="1:13" ht="3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11"/>
      <c r="L382" s="11"/>
      <c r="M382" s="9"/>
    </row>
    <row r="383" spans="1:13" ht="3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11"/>
      <c r="L383" s="11"/>
      <c r="M383" s="9"/>
    </row>
    <row r="384" spans="1:13" ht="3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11"/>
      <c r="L384" s="11"/>
      <c r="M384" s="9"/>
    </row>
    <row r="385" spans="1:13" ht="3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11"/>
      <c r="L385" s="11"/>
      <c r="M385" s="9"/>
    </row>
    <row r="386" spans="1:13" ht="3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11"/>
      <c r="L386" s="11"/>
      <c r="M386" s="9"/>
    </row>
    <row r="387" spans="1:13" ht="3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11"/>
      <c r="L387" s="11"/>
      <c r="M387" s="9"/>
    </row>
    <row r="388" spans="1:13" ht="3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11"/>
      <c r="L388" s="11"/>
      <c r="M388" s="9"/>
    </row>
    <row r="389" spans="1:13" ht="3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11"/>
      <c r="L389" s="11"/>
      <c r="M389" s="9"/>
    </row>
    <row r="390" spans="1:13" ht="3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11"/>
      <c r="L390" s="11"/>
      <c r="M390" s="9"/>
    </row>
    <row r="391" spans="1:13" ht="3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11"/>
      <c r="L391" s="11"/>
      <c r="M391" s="9"/>
    </row>
    <row r="392" spans="1:13" ht="3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11"/>
      <c r="L392" s="11"/>
      <c r="M392" s="9"/>
    </row>
    <row r="393" spans="1:13" ht="3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11"/>
      <c r="L393" s="11"/>
      <c r="M393" s="9"/>
    </row>
    <row r="394" spans="1:13" ht="3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11"/>
      <c r="L394" s="11"/>
      <c r="M394" s="9"/>
    </row>
    <row r="395" spans="1:13" ht="3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11"/>
      <c r="L395" s="11"/>
      <c r="M395" s="9"/>
    </row>
    <row r="396" spans="1:13" ht="3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11"/>
      <c r="L396" s="11"/>
      <c r="M396" s="9"/>
    </row>
    <row r="397" spans="1:13" ht="3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11"/>
      <c r="L397" s="11"/>
      <c r="M397" s="9"/>
    </row>
    <row r="398" spans="1:13" ht="3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11"/>
      <c r="L398" s="11"/>
      <c r="M398" s="9"/>
    </row>
    <row r="399" spans="1:13" ht="3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11"/>
      <c r="L399" s="11"/>
      <c r="M399" s="9"/>
    </row>
    <row r="400" spans="1:13" ht="3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11"/>
      <c r="L400" s="11"/>
      <c r="M400" s="9"/>
    </row>
    <row r="401" spans="1:13" ht="3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11"/>
      <c r="L401" s="11"/>
      <c r="M401" s="9"/>
    </row>
    <row r="402" spans="1:13" ht="3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11"/>
      <c r="L402" s="11"/>
      <c r="M402" s="9"/>
    </row>
    <row r="403" spans="1:13" ht="3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11"/>
      <c r="L403" s="11"/>
      <c r="M403" s="9"/>
    </row>
    <row r="404" spans="1:13" ht="3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11"/>
      <c r="L404" s="11"/>
      <c r="M404" s="9"/>
    </row>
    <row r="405" spans="1:13" ht="3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11"/>
      <c r="L405" s="11"/>
      <c r="M405" s="9"/>
    </row>
    <row r="406" spans="1:13" ht="3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11"/>
      <c r="L406" s="11"/>
      <c r="M406" s="9"/>
    </row>
    <row r="407" spans="1:13" ht="3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11"/>
      <c r="L407" s="11"/>
      <c r="M407" s="9"/>
    </row>
    <row r="408" spans="1:13" ht="3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11"/>
      <c r="L408" s="11"/>
      <c r="M408" s="9"/>
    </row>
    <row r="409" spans="1:13" ht="3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11"/>
      <c r="L409" s="11"/>
      <c r="M409" s="9"/>
    </row>
    <row r="410" spans="1:13" ht="3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11"/>
      <c r="L410" s="11"/>
      <c r="M410" s="9"/>
    </row>
    <row r="411" spans="1:13" ht="3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11"/>
      <c r="L411" s="11"/>
      <c r="M411" s="9"/>
    </row>
    <row r="412" spans="1:13" ht="3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11"/>
      <c r="L412" s="11"/>
      <c r="M412" s="9"/>
    </row>
    <row r="413" spans="1:13" ht="3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11"/>
      <c r="L413" s="11"/>
      <c r="M413" s="9"/>
    </row>
    <row r="414" spans="1:13" ht="3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11"/>
      <c r="L414" s="11"/>
      <c r="M414" s="9"/>
    </row>
    <row r="415" spans="1:13" ht="3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11"/>
      <c r="L415" s="11"/>
      <c r="M415" s="9"/>
    </row>
    <row r="416" spans="1:13" ht="3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11"/>
      <c r="L416" s="11"/>
      <c r="M416" s="9"/>
    </row>
    <row r="417" spans="1:13" ht="3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11"/>
      <c r="L417" s="11"/>
      <c r="M417" s="9"/>
    </row>
    <row r="418" spans="1:13" ht="3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11"/>
      <c r="L418" s="11"/>
      <c r="M418" s="9"/>
    </row>
    <row r="419" spans="1:13" ht="3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11"/>
      <c r="L419" s="11"/>
      <c r="M419" s="9"/>
    </row>
    <row r="420" spans="1:13" ht="3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11"/>
      <c r="L420" s="11"/>
      <c r="M420" s="9"/>
    </row>
    <row r="421" spans="1:13" ht="3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11"/>
      <c r="L421" s="11"/>
      <c r="M421" s="9"/>
    </row>
    <row r="422" spans="1:13" ht="3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11"/>
      <c r="L422" s="11"/>
      <c r="M422" s="9"/>
    </row>
    <row r="423" spans="1:13" ht="3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11"/>
      <c r="L423" s="11"/>
      <c r="M423" s="9"/>
    </row>
    <row r="424" spans="1:13" ht="3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11"/>
      <c r="L424" s="11"/>
      <c r="M424" s="9"/>
    </row>
    <row r="425" spans="1:13" ht="3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11"/>
      <c r="L425" s="11"/>
      <c r="M425" s="9"/>
    </row>
    <row r="426" spans="1:13" ht="3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11"/>
      <c r="L426" s="11"/>
      <c r="M426" s="9"/>
    </row>
    <row r="427" spans="1:13" ht="3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11"/>
      <c r="L427" s="11"/>
      <c r="M427" s="9"/>
    </row>
    <row r="428" spans="1:13" ht="3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11"/>
      <c r="L428" s="11"/>
      <c r="M428" s="9"/>
    </row>
    <row r="429" spans="1:13" ht="3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11"/>
      <c r="L429" s="11"/>
      <c r="M429" s="9"/>
    </row>
    <row r="430" spans="1:13" ht="3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11"/>
      <c r="L430" s="11"/>
      <c r="M430" s="9"/>
    </row>
    <row r="431" spans="1:13" ht="3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11"/>
      <c r="L431" s="11"/>
      <c r="M431" s="9"/>
    </row>
    <row r="432" spans="1:13" ht="3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11"/>
      <c r="L432" s="11"/>
      <c r="M432" s="9"/>
    </row>
    <row r="433" spans="1:13" ht="3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11"/>
      <c r="L433" s="11"/>
      <c r="M433" s="9"/>
    </row>
    <row r="434" spans="1:13" ht="3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11"/>
      <c r="L434" s="11"/>
      <c r="M434" s="9"/>
    </row>
    <row r="435" spans="1:13" ht="3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11"/>
      <c r="L435" s="11"/>
      <c r="M435" s="9"/>
    </row>
    <row r="436" spans="1:13" ht="3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11"/>
      <c r="L436" s="11"/>
      <c r="M436" s="9"/>
    </row>
    <row r="437" spans="1:13" ht="3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11"/>
      <c r="L437" s="11"/>
      <c r="M437" s="9"/>
    </row>
    <row r="438" spans="1:13" ht="3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11"/>
      <c r="L438" s="11"/>
      <c r="M438" s="9"/>
    </row>
    <row r="439" spans="1:13" ht="3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11"/>
      <c r="L439" s="11"/>
      <c r="M439" s="9"/>
    </row>
    <row r="440" spans="1:13" ht="3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11"/>
      <c r="L440" s="11"/>
      <c r="M440" s="9"/>
    </row>
    <row r="441" spans="1:13" ht="3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11"/>
      <c r="L441" s="11"/>
      <c r="M441" s="9"/>
    </row>
    <row r="442" spans="1:13" ht="3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11"/>
      <c r="L442" s="11"/>
      <c r="M442" s="9"/>
    </row>
    <row r="443" spans="1:13" ht="3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11"/>
      <c r="L443" s="11"/>
      <c r="M443" s="9"/>
    </row>
    <row r="444" spans="1:13" ht="3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11"/>
      <c r="L444" s="11"/>
      <c r="M444" s="9"/>
    </row>
    <row r="445" spans="1:13" ht="3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11"/>
      <c r="L445" s="11"/>
      <c r="M445" s="9"/>
    </row>
    <row r="446" spans="1:13" ht="3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11"/>
      <c r="L446" s="11"/>
      <c r="M446" s="9"/>
    </row>
    <row r="447" spans="1:13" ht="3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11"/>
      <c r="L447" s="11"/>
      <c r="M447" s="9"/>
    </row>
    <row r="448" spans="1:13" ht="3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11"/>
      <c r="L448" s="11"/>
      <c r="M448" s="9"/>
    </row>
    <row r="449" spans="1:13" ht="3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11"/>
      <c r="L449" s="11"/>
      <c r="M449" s="9"/>
    </row>
    <row r="450" spans="1:13" ht="3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11"/>
      <c r="L450" s="11"/>
      <c r="M450" s="9"/>
    </row>
    <row r="451" spans="1:13" ht="3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11"/>
      <c r="L451" s="11"/>
      <c r="M451" s="9"/>
    </row>
    <row r="452" spans="1:13" ht="3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11"/>
      <c r="L452" s="11"/>
      <c r="M452" s="9"/>
    </row>
    <row r="453" spans="1:13" ht="3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11"/>
      <c r="L453" s="11"/>
      <c r="M453" s="9"/>
    </row>
    <row r="454" spans="1:13" ht="3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11"/>
      <c r="L454" s="11"/>
      <c r="M454" s="9"/>
    </row>
    <row r="455" spans="1:13" ht="3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11"/>
      <c r="L455" s="11"/>
      <c r="M455" s="9"/>
    </row>
    <row r="456" spans="1:13" ht="3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11"/>
      <c r="L456" s="11"/>
      <c r="M456" s="9"/>
    </row>
    <row r="457" spans="1:13" ht="3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11"/>
      <c r="L457" s="11"/>
      <c r="M457" s="9"/>
    </row>
    <row r="458" spans="1:13" ht="3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11"/>
      <c r="L458" s="11"/>
      <c r="M458" s="9"/>
    </row>
    <row r="459" spans="1:13" ht="3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11"/>
      <c r="L459" s="11"/>
      <c r="M459" s="9"/>
    </row>
    <row r="460" spans="1:13" ht="3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11"/>
      <c r="L460" s="11"/>
      <c r="M460" s="9"/>
    </row>
    <row r="461" spans="1:13" ht="3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11"/>
      <c r="L461" s="11"/>
      <c r="M461" s="9"/>
    </row>
    <row r="462" spans="1:13" ht="3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11"/>
      <c r="L462" s="11"/>
      <c r="M462" s="9"/>
    </row>
    <row r="463" spans="1:13" ht="3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11"/>
      <c r="L463" s="11"/>
      <c r="M463" s="9"/>
    </row>
    <row r="464" spans="1:13" ht="3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11"/>
      <c r="L464" s="11"/>
      <c r="M464" s="9"/>
    </row>
    <row r="465" spans="1:13" ht="3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11"/>
      <c r="L465" s="11"/>
      <c r="M465" s="9"/>
    </row>
    <row r="466" spans="1:13" ht="3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11"/>
      <c r="L466" s="11"/>
      <c r="M466" s="9"/>
    </row>
    <row r="467" spans="1:13" ht="3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11"/>
      <c r="L467" s="11"/>
      <c r="M467" s="9"/>
    </row>
    <row r="468" spans="1:13" ht="3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11"/>
      <c r="L468" s="11"/>
      <c r="M468" s="9"/>
    </row>
    <row r="469" spans="1:13" ht="3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11"/>
      <c r="L469" s="11"/>
      <c r="M469" s="9"/>
    </row>
    <row r="470" spans="1:13" ht="3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11"/>
      <c r="L470" s="11"/>
      <c r="M470" s="9"/>
    </row>
    <row r="471" spans="1:13" ht="3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11"/>
      <c r="L471" s="11"/>
      <c r="M471" s="9"/>
    </row>
    <row r="472" spans="1:13" ht="3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11"/>
      <c r="L472" s="11"/>
      <c r="M472" s="9"/>
    </row>
    <row r="473" spans="1:13" ht="3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11"/>
      <c r="L473" s="11"/>
      <c r="M473" s="9"/>
    </row>
    <row r="474" spans="1:13" ht="3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11"/>
      <c r="L474" s="11"/>
      <c r="M474" s="9"/>
    </row>
    <row r="475" spans="1:13" ht="3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11"/>
      <c r="L475" s="11"/>
      <c r="M475" s="9"/>
    </row>
    <row r="476" spans="1:13" ht="3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11"/>
      <c r="L476" s="11"/>
      <c r="M476" s="9"/>
    </row>
    <row r="477" spans="1:13" ht="3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11"/>
      <c r="L477" s="11"/>
      <c r="M477" s="9"/>
    </row>
    <row r="478" spans="1:13" ht="3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11"/>
      <c r="L478" s="11"/>
      <c r="M478" s="9"/>
    </row>
    <row r="479" spans="1:13" ht="3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11"/>
      <c r="L479" s="11"/>
      <c r="M479" s="9"/>
    </row>
    <row r="480" spans="1:13" ht="3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11"/>
      <c r="L480" s="11"/>
      <c r="M480" s="9"/>
    </row>
    <row r="481" spans="1:13" ht="3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11"/>
      <c r="L481" s="11"/>
      <c r="M481" s="9"/>
    </row>
    <row r="482" spans="1:13" ht="3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11"/>
      <c r="L482" s="11"/>
      <c r="M482" s="9"/>
    </row>
    <row r="483" spans="1:13" ht="3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11"/>
      <c r="L483" s="11"/>
      <c r="M483" s="9"/>
    </row>
    <row r="484" spans="1:13" ht="3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11"/>
      <c r="L484" s="11"/>
      <c r="M484" s="9"/>
    </row>
    <row r="485" spans="1:13" ht="3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11"/>
      <c r="L485" s="11"/>
      <c r="M485" s="9"/>
    </row>
    <row r="486" spans="1:13" ht="3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11"/>
      <c r="L486" s="11"/>
      <c r="M486" s="9"/>
    </row>
    <row r="487" spans="1:13" ht="3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11"/>
      <c r="L487" s="11"/>
      <c r="M487" s="9"/>
    </row>
    <row r="488" spans="1:13" ht="3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11"/>
      <c r="L488" s="11"/>
      <c r="M488" s="9"/>
    </row>
    <row r="489" spans="1:13" ht="3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11"/>
      <c r="L489" s="11"/>
      <c r="M489" s="9"/>
    </row>
    <row r="490" spans="1:13" ht="3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11"/>
      <c r="L490" s="11"/>
      <c r="M490" s="9"/>
    </row>
    <row r="491" spans="1:13" ht="3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11"/>
      <c r="L491" s="11"/>
      <c r="M491" s="9"/>
    </row>
    <row r="492" spans="1:13" ht="3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11"/>
      <c r="L492" s="11"/>
      <c r="M492" s="9"/>
    </row>
    <row r="493" spans="1:13" ht="3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11"/>
      <c r="L493" s="11"/>
      <c r="M493" s="9"/>
    </row>
    <row r="494" spans="1:13" ht="3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11"/>
      <c r="L494" s="11"/>
      <c r="M494" s="9"/>
    </row>
    <row r="495" spans="1:13" ht="3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11"/>
      <c r="L495" s="11"/>
      <c r="M495" s="9"/>
    </row>
    <row r="496" spans="1:13" ht="3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11"/>
      <c r="L496" s="11"/>
      <c r="M496" s="9"/>
    </row>
    <row r="497" spans="1:13" ht="3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11"/>
      <c r="L497" s="11"/>
      <c r="M497" s="9"/>
    </row>
    <row r="498" spans="1:13" ht="3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11"/>
      <c r="L498" s="11"/>
      <c r="M498" s="9"/>
    </row>
    <row r="499" spans="1:13" ht="3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11"/>
      <c r="L499" s="11"/>
      <c r="M499" s="9"/>
    </row>
    <row r="500" spans="1:13" ht="3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11"/>
      <c r="L500" s="11"/>
      <c r="M500" s="9"/>
    </row>
    <row r="501" spans="1:13" ht="3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11"/>
      <c r="L501" s="11"/>
      <c r="M501" s="9"/>
    </row>
    <row r="502" spans="1:13" ht="3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11"/>
      <c r="L502" s="11"/>
      <c r="M502" s="9"/>
    </row>
    <row r="503" spans="1:13" ht="3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11"/>
      <c r="L503" s="11"/>
      <c r="M503" s="9"/>
    </row>
    <row r="504" spans="1:13" ht="3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11"/>
      <c r="L504" s="11"/>
      <c r="M504" s="9"/>
    </row>
    <row r="505" spans="1:13" ht="3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11"/>
      <c r="L505" s="11"/>
      <c r="M505" s="9"/>
    </row>
    <row r="506" spans="1:13" ht="3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11"/>
      <c r="L506" s="11"/>
      <c r="M506" s="9"/>
    </row>
    <row r="507" spans="1:13" ht="3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11"/>
      <c r="L507" s="11"/>
      <c r="M507" s="9"/>
    </row>
    <row r="508" spans="1:13" ht="3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11"/>
      <c r="L508" s="11"/>
      <c r="M508" s="9"/>
    </row>
    <row r="509" spans="1:13" ht="3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11"/>
      <c r="L509" s="11"/>
      <c r="M509" s="9"/>
    </row>
    <row r="510" spans="1:13" ht="3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11"/>
      <c r="L510" s="11"/>
      <c r="M510" s="9"/>
    </row>
    <row r="511" spans="1:13" ht="3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11"/>
      <c r="L511" s="11"/>
      <c r="M511" s="9"/>
    </row>
    <row r="512" spans="1:13" ht="3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11"/>
      <c r="L512" s="11"/>
      <c r="M512" s="9"/>
    </row>
    <row r="513" spans="1:13" ht="3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11"/>
      <c r="L513" s="11"/>
      <c r="M513" s="9"/>
    </row>
    <row r="514" spans="1:13" ht="3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11"/>
      <c r="L514" s="11"/>
      <c r="M514" s="9"/>
    </row>
    <row r="515" spans="1:13" ht="3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11"/>
      <c r="L515" s="11"/>
      <c r="M515" s="9"/>
    </row>
    <row r="516" spans="1:13" ht="3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11"/>
      <c r="L516" s="11"/>
      <c r="M516" s="9"/>
    </row>
    <row r="517" spans="1:13" ht="3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11"/>
      <c r="L517" s="11"/>
      <c r="M517" s="9"/>
    </row>
    <row r="518" spans="1:13" ht="3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11"/>
      <c r="L518" s="11"/>
      <c r="M518" s="9"/>
    </row>
    <row r="519" spans="1:13" ht="3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11"/>
      <c r="L519" s="11"/>
      <c r="M519" s="9"/>
    </row>
    <row r="520" spans="1:13" ht="3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11"/>
      <c r="L520" s="11"/>
      <c r="M520" s="9"/>
    </row>
    <row r="521" spans="1:13" ht="3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11"/>
      <c r="L521" s="11"/>
      <c r="M521" s="9"/>
    </row>
    <row r="522" spans="1:13" ht="3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11"/>
      <c r="L522" s="11"/>
      <c r="M522" s="9"/>
    </row>
    <row r="523" spans="1:13" ht="3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11"/>
      <c r="L523" s="11"/>
      <c r="M523" s="9"/>
    </row>
    <row r="524" spans="1:13" ht="3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11"/>
      <c r="L524" s="11"/>
      <c r="M524" s="9"/>
    </row>
    <row r="525" spans="1:13" ht="3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11"/>
      <c r="L525" s="11"/>
      <c r="M525" s="9"/>
    </row>
    <row r="526" spans="1:13" ht="3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11"/>
      <c r="L526" s="11"/>
      <c r="M526" s="9"/>
    </row>
    <row r="527" spans="1:13" ht="3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11"/>
      <c r="L527" s="11"/>
      <c r="M527" s="9"/>
    </row>
    <row r="528" spans="1:13" ht="3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11"/>
      <c r="L528" s="11"/>
      <c r="M528" s="9"/>
    </row>
    <row r="529" spans="1:13" ht="3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11"/>
      <c r="L529" s="11"/>
      <c r="M529" s="9"/>
    </row>
    <row r="530" spans="1:13" ht="3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11"/>
      <c r="L530" s="11"/>
      <c r="M530" s="9"/>
    </row>
    <row r="531" spans="1:13" ht="3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11"/>
      <c r="L531" s="11"/>
      <c r="M531" s="9"/>
    </row>
    <row r="532" spans="1:13" ht="3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11"/>
      <c r="L532" s="11"/>
      <c r="M532" s="9"/>
    </row>
    <row r="533" spans="1:13" ht="3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11"/>
      <c r="L533" s="11"/>
      <c r="M533" s="9"/>
    </row>
    <row r="534" spans="1:13" ht="3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11"/>
      <c r="L534" s="11"/>
      <c r="M534" s="9"/>
    </row>
    <row r="535" spans="1:13" ht="3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11"/>
      <c r="L535" s="11"/>
      <c r="M535" s="9"/>
    </row>
    <row r="536" spans="1:13" ht="3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11"/>
      <c r="L536" s="11"/>
      <c r="M536" s="9"/>
    </row>
    <row r="537" spans="1:13" ht="3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11"/>
      <c r="L537" s="11"/>
      <c r="M537" s="9"/>
    </row>
    <row r="538" spans="1:13" ht="3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11"/>
      <c r="L538" s="11"/>
      <c r="M538" s="9"/>
    </row>
    <row r="539" spans="1:13" ht="3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11"/>
      <c r="L539" s="11"/>
      <c r="M539" s="9"/>
    </row>
    <row r="540" spans="1:13" ht="3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11"/>
      <c r="L540" s="11"/>
      <c r="M540" s="9"/>
    </row>
    <row r="541" spans="1:13" ht="3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11"/>
      <c r="L541" s="11"/>
      <c r="M541" s="9"/>
    </row>
    <row r="542" spans="1:13" ht="3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11"/>
      <c r="L542" s="11"/>
      <c r="M542" s="9"/>
    </row>
    <row r="543" spans="1:13" ht="3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11"/>
      <c r="L543" s="11"/>
      <c r="M543" s="9"/>
    </row>
    <row r="544" spans="1:13" ht="3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11"/>
      <c r="L544" s="11"/>
      <c r="M544" s="9"/>
    </row>
    <row r="545" spans="1:13" ht="3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11"/>
      <c r="L545" s="11"/>
      <c r="M545" s="9"/>
    </row>
    <row r="546" spans="1:13" ht="3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11"/>
      <c r="L546" s="11"/>
      <c r="M546" s="9"/>
    </row>
    <row r="547" spans="1:13" ht="3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11"/>
      <c r="L547" s="11"/>
      <c r="M547" s="9"/>
    </row>
    <row r="548" spans="1:13" ht="3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11"/>
      <c r="L548" s="11"/>
      <c r="M548" s="9"/>
    </row>
    <row r="549" spans="1:13" ht="3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11"/>
      <c r="L549" s="11"/>
      <c r="M549" s="9"/>
    </row>
    <row r="550" spans="1:13" ht="3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11"/>
      <c r="L550" s="11"/>
      <c r="M550" s="9"/>
    </row>
    <row r="551" spans="1:13" ht="3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11"/>
      <c r="L551" s="11"/>
      <c r="M551" s="9"/>
    </row>
    <row r="552" spans="1:13" ht="3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11"/>
      <c r="L552" s="11"/>
      <c r="M552" s="9"/>
    </row>
    <row r="553" spans="1:13" ht="3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11"/>
      <c r="L553" s="11"/>
      <c r="M553" s="9"/>
    </row>
    <row r="554" spans="1:13" ht="3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11"/>
      <c r="L554" s="11"/>
      <c r="M554" s="9"/>
    </row>
    <row r="555" spans="1:13" ht="3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11"/>
      <c r="L555" s="11"/>
      <c r="M555" s="9"/>
    </row>
    <row r="556" spans="1:13" ht="3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11"/>
      <c r="L556" s="11"/>
      <c r="M556" s="9"/>
    </row>
    <row r="557" spans="1:13" ht="3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11"/>
      <c r="L557" s="11"/>
      <c r="M557" s="9"/>
    </row>
    <row r="558" spans="1:13" ht="3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11"/>
      <c r="L558" s="11"/>
      <c r="M558" s="9"/>
    </row>
    <row r="559" spans="1:13" ht="3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11"/>
      <c r="L559" s="11"/>
      <c r="M559" s="9"/>
    </row>
    <row r="560" spans="1:13" ht="3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11"/>
      <c r="L560" s="11"/>
      <c r="M560" s="9"/>
    </row>
    <row r="561" spans="1:13" ht="3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11"/>
      <c r="L561" s="11"/>
      <c r="M561" s="9"/>
    </row>
    <row r="562" spans="1:13" ht="3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11"/>
      <c r="L562" s="11"/>
      <c r="M562" s="9"/>
    </row>
    <row r="563" spans="1:13" ht="3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11"/>
      <c r="L563" s="11"/>
      <c r="M563" s="9"/>
    </row>
    <row r="564" spans="1:13" ht="3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11"/>
      <c r="L564" s="11"/>
      <c r="M564" s="9"/>
    </row>
    <row r="565" spans="1:13" ht="3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11"/>
      <c r="L565" s="11"/>
      <c r="M565" s="9"/>
    </row>
    <row r="566" spans="1:13" ht="3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11"/>
      <c r="L566" s="11"/>
      <c r="M566" s="9"/>
    </row>
    <row r="567" spans="1:13" ht="3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11"/>
      <c r="L567" s="11"/>
      <c r="M567" s="9"/>
    </row>
    <row r="568" spans="1:13" ht="3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11"/>
      <c r="L568" s="11"/>
      <c r="M568" s="9"/>
    </row>
    <row r="569" spans="1:13" ht="3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11"/>
      <c r="L569" s="11"/>
      <c r="M569" s="9"/>
    </row>
    <row r="570" spans="1:13" ht="3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11"/>
      <c r="L570" s="11"/>
      <c r="M570" s="9"/>
    </row>
    <row r="571" spans="1:13" ht="3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11"/>
      <c r="L571" s="11"/>
      <c r="M571" s="9"/>
    </row>
    <row r="572" spans="1:13" ht="3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11"/>
      <c r="L572" s="11"/>
      <c r="M572" s="9"/>
    </row>
    <row r="573" spans="1:13" ht="3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11"/>
      <c r="L573" s="11"/>
      <c r="M573" s="9"/>
    </row>
    <row r="574" spans="1:13" ht="3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11"/>
      <c r="L574" s="11"/>
      <c r="M574" s="9"/>
    </row>
    <row r="575" spans="1:13" ht="3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11"/>
      <c r="L575" s="11"/>
      <c r="M575" s="9"/>
    </row>
    <row r="576" spans="1:13" ht="3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11"/>
      <c r="L576" s="11"/>
      <c r="M576" s="9"/>
    </row>
    <row r="577" spans="1:13" ht="3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11"/>
      <c r="L577" s="11"/>
      <c r="M577" s="9"/>
    </row>
    <row r="578" spans="1:13" ht="3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11"/>
      <c r="L578" s="11"/>
      <c r="M578" s="9"/>
    </row>
    <row r="579" spans="1:13" ht="3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11"/>
      <c r="L579" s="11"/>
      <c r="M579" s="9"/>
    </row>
    <row r="580" spans="1:13" ht="3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11"/>
      <c r="L580" s="11"/>
      <c r="M580" s="9"/>
    </row>
    <row r="581" spans="1:13" ht="3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11"/>
      <c r="L581" s="11"/>
      <c r="M581" s="9"/>
    </row>
    <row r="582" spans="1:13" ht="3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11"/>
      <c r="L582" s="11"/>
      <c r="M582" s="9"/>
    </row>
    <row r="583" spans="1:13" ht="3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11"/>
      <c r="L583" s="11"/>
      <c r="M583" s="9"/>
    </row>
    <row r="584" spans="1:13" ht="3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11"/>
      <c r="L584" s="11"/>
      <c r="M584" s="9"/>
    </row>
    <row r="585" spans="1:13" ht="3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11"/>
      <c r="L585" s="11"/>
      <c r="M585" s="9"/>
    </row>
  </sheetData>
  <autoFilter ref="A2:M301" xr:uid="{48C3EA1C-1E31-4450-8B8A-792657D07DD1}"/>
  <mergeCells count="1">
    <mergeCell ref="A1:M1"/>
  </mergeCells>
  <conditionalFormatting sqref="C1:C298 C363:C1048576">
    <cfRule type="duplicateValues" dxfId="11" priority="2"/>
  </conditionalFormatting>
  <conditionalFormatting sqref="C299:C362">
    <cfRule type="duplicateValues" dxfId="4" priority="1"/>
  </conditionalFormatting>
  <pageMargins left="0.7" right="0.7" top="0.75" bottom="0.75" header="0.3" footer="0.3"/>
  <pageSetup paperSize="9" orientation="portrait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8C5BA-1F23-4D2D-ACC8-6FA88D8A50CB}">
  <sheetPr>
    <outlinePr summaryBelow="0" summaryRight="0"/>
  </sheetPr>
  <dimension ref="A1:N585"/>
  <sheetViews>
    <sheetView zoomScale="55" zoomScaleNormal="55" workbookViewId="0">
      <pane xSplit="1" ySplit="2" topLeftCell="B288" activePane="bottomRight" state="frozen"/>
      <selection pane="topRight" activeCell="B1" sqref="B1"/>
      <selection pane="bottomLeft" activeCell="A3" sqref="A3"/>
      <selection pane="bottomRight" activeCell="F355" sqref="F355"/>
    </sheetView>
  </sheetViews>
  <sheetFormatPr defaultColWidth="12.5703125" defaultRowHeight="15.75" customHeight="1"/>
  <cols>
    <col min="1" max="10" width="31.5703125" style="32" customWidth="1"/>
    <col min="11" max="12" width="31.5703125" style="33" customWidth="1"/>
    <col min="13" max="13" width="31.5703125" style="34" customWidth="1"/>
    <col min="14" max="16384" width="12.5703125" style="32"/>
  </cols>
  <sheetData>
    <row r="1" spans="1:14" ht="30" customHeight="1">
      <c r="A1" s="37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9"/>
      <c r="L1" s="39"/>
      <c r="M1" s="40"/>
    </row>
    <row r="2" spans="1:14" ht="3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/>
      <c r="H2" s="1" t="s">
        <v>7</v>
      </c>
      <c r="I2" s="1" t="s">
        <v>8</v>
      </c>
      <c r="J2" s="1" t="s">
        <v>9</v>
      </c>
      <c r="K2" s="10" t="s">
        <v>10</v>
      </c>
      <c r="L2" s="10" t="s">
        <v>11</v>
      </c>
      <c r="M2" s="8" t="s">
        <v>12</v>
      </c>
    </row>
    <row r="3" spans="1:14" ht="30" customHeight="1">
      <c r="A3" s="7" t="s">
        <v>13</v>
      </c>
      <c r="B3" s="30" t="s">
        <v>384</v>
      </c>
      <c r="C3" s="30" t="s">
        <v>89</v>
      </c>
      <c r="D3" s="27">
        <v>15140.288577624704</v>
      </c>
      <c r="E3" s="28">
        <v>12489.047086015496</v>
      </c>
      <c r="F3" s="27">
        <f>+D3-E3</f>
        <v>2651.2414916092075</v>
      </c>
      <c r="G3" s="27">
        <f t="shared" ref="G3:G66" si="0">+F3*100/D3</f>
        <v>17.511168813039557</v>
      </c>
      <c r="H3" s="29">
        <v>60</v>
      </c>
      <c r="I3" s="29">
        <v>4</v>
      </c>
      <c r="J3" s="18" t="s">
        <v>14</v>
      </c>
      <c r="K3" s="30">
        <v>40.865291666700003</v>
      </c>
      <c r="L3" s="30">
        <v>71.961494999999999</v>
      </c>
      <c r="M3" s="15">
        <v>160</v>
      </c>
      <c r="N3" s="32">
        <v>3</v>
      </c>
    </row>
    <row r="4" spans="1:14" ht="30" customHeight="1">
      <c r="A4" s="7" t="s">
        <v>13</v>
      </c>
      <c r="B4" s="30" t="s">
        <v>385</v>
      </c>
      <c r="C4" s="30" t="s">
        <v>123</v>
      </c>
      <c r="D4" s="27">
        <v>16894.759287624704</v>
      </c>
      <c r="E4" s="28">
        <v>14024.017086015499</v>
      </c>
      <c r="F4" s="27">
        <f>+D4-E4</f>
        <v>2870.7422016092041</v>
      </c>
      <c r="G4" s="27">
        <f t="shared" si="0"/>
        <v>16.991909459828783</v>
      </c>
      <c r="H4" s="29">
        <v>34</v>
      </c>
      <c r="I4" s="29">
        <v>5</v>
      </c>
      <c r="J4" s="4" t="s">
        <v>16</v>
      </c>
      <c r="K4" s="30">
        <v>40.859666666700001</v>
      </c>
      <c r="L4" s="30">
        <v>72.121076666700006</v>
      </c>
      <c r="M4" s="15">
        <v>63</v>
      </c>
    </row>
    <row r="5" spans="1:14" ht="30" customHeight="1">
      <c r="A5" s="7" t="s">
        <v>13</v>
      </c>
      <c r="B5" s="30" t="s">
        <v>386</v>
      </c>
      <c r="C5" s="30" t="s">
        <v>124</v>
      </c>
      <c r="D5" s="27">
        <v>18573.791997624703</v>
      </c>
      <c r="E5" s="28">
        <v>15492.987086015497</v>
      </c>
      <c r="F5" s="27">
        <f t="shared" ref="F5:F68" si="1">+D5-E5</f>
        <v>3080.8049116092061</v>
      </c>
      <c r="G5" s="27">
        <f t="shared" si="0"/>
        <v>16.586838659565007</v>
      </c>
      <c r="H5" s="29">
        <v>18</v>
      </c>
      <c r="I5" s="29">
        <v>5</v>
      </c>
      <c r="J5" s="4" t="s">
        <v>15</v>
      </c>
      <c r="K5" s="30">
        <v>40.875443333299998</v>
      </c>
      <c r="L5" s="30">
        <v>71.966825</v>
      </c>
      <c r="M5" s="15">
        <v>250</v>
      </c>
    </row>
    <row r="6" spans="1:14" ht="30" customHeight="1">
      <c r="A6" s="7" t="s">
        <v>13</v>
      </c>
      <c r="B6" s="30" t="s">
        <v>387</v>
      </c>
      <c r="C6" s="30" t="s">
        <v>125</v>
      </c>
      <c r="D6" s="27">
        <v>18107.402277624704</v>
      </c>
      <c r="E6" s="28">
        <v>15084.9470860155</v>
      </c>
      <c r="F6" s="27">
        <f t="shared" si="1"/>
        <v>3022.4551916092041</v>
      </c>
      <c r="G6" s="27">
        <f t="shared" si="0"/>
        <v>16.691821086584287</v>
      </c>
      <c r="H6" s="29">
        <v>68</v>
      </c>
      <c r="I6" s="29">
        <v>4</v>
      </c>
      <c r="J6" s="4" t="s">
        <v>15</v>
      </c>
      <c r="K6" s="30">
        <v>40.879336666500002</v>
      </c>
      <c r="L6" s="30">
        <v>71.986581666700005</v>
      </c>
      <c r="M6" s="15">
        <v>160</v>
      </c>
    </row>
    <row r="7" spans="1:14" ht="30" customHeight="1">
      <c r="A7" s="7" t="s">
        <v>13</v>
      </c>
      <c r="B7" s="30" t="s">
        <v>388</v>
      </c>
      <c r="C7" s="30" t="s">
        <v>126</v>
      </c>
      <c r="D7" s="27">
        <v>14269.040637624703</v>
      </c>
      <c r="E7" s="28">
        <v>11726.80041934883</v>
      </c>
      <c r="F7" s="27">
        <f t="shared" si="1"/>
        <v>2542.2402182758724</v>
      </c>
      <c r="G7" s="27">
        <f t="shared" si="0"/>
        <v>17.816476123646858</v>
      </c>
      <c r="H7" s="29">
        <v>12</v>
      </c>
      <c r="I7" s="29">
        <v>4</v>
      </c>
      <c r="J7" s="4" t="s">
        <v>15</v>
      </c>
      <c r="K7" s="30">
        <v>40.874026666600002</v>
      </c>
      <c r="L7" s="30">
        <v>72.094549999700007</v>
      </c>
      <c r="M7" s="15">
        <v>400</v>
      </c>
    </row>
    <row r="8" spans="1:14" ht="30" customHeight="1">
      <c r="A8" s="7" t="s">
        <v>13</v>
      </c>
      <c r="B8" s="30" t="s">
        <v>385</v>
      </c>
      <c r="C8" s="30" t="s">
        <v>127</v>
      </c>
      <c r="D8" s="27">
        <v>17792.913447624702</v>
      </c>
      <c r="E8" s="28">
        <v>14809.803752682166</v>
      </c>
      <c r="F8" s="27">
        <f t="shared" si="1"/>
        <v>2983.1096949425355</v>
      </c>
      <c r="G8" s="27">
        <f t="shared" si="0"/>
        <v>16.765718013093419</v>
      </c>
      <c r="H8" s="29">
        <v>61</v>
      </c>
      <c r="I8" s="29">
        <v>3</v>
      </c>
      <c r="J8" s="4" t="s">
        <v>17</v>
      </c>
      <c r="K8" s="30">
        <v>40.859666666700001</v>
      </c>
      <c r="L8" s="30">
        <v>72.121076666700006</v>
      </c>
      <c r="M8" s="15">
        <v>100</v>
      </c>
    </row>
    <row r="9" spans="1:14" ht="30" customHeight="1">
      <c r="A9" s="7" t="s">
        <v>13</v>
      </c>
      <c r="B9" s="30" t="s">
        <v>385</v>
      </c>
      <c r="C9" s="30" t="s">
        <v>128</v>
      </c>
      <c r="D9" s="27">
        <v>20738.820687624706</v>
      </c>
      <c r="E9" s="28">
        <v>17387.150419348836</v>
      </c>
      <c r="F9" s="27">
        <f t="shared" si="1"/>
        <v>3351.6702682758696</v>
      </c>
      <c r="G9" s="27">
        <f t="shared" si="0"/>
        <v>16.161334912721831</v>
      </c>
      <c r="H9" s="29">
        <v>83</v>
      </c>
      <c r="I9" s="29">
        <v>9</v>
      </c>
      <c r="J9" s="4" t="s">
        <v>17</v>
      </c>
      <c r="K9" s="30">
        <v>40.861923333299998</v>
      </c>
      <c r="L9" s="30">
        <v>72.000451666700002</v>
      </c>
      <c r="M9" s="15">
        <v>250</v>
      </c>
    </row>
    <row r="10" spans="1:14" ht="30" customHeight="1">
      <c r="A10" s="7" t="s">
        <v>13</v>
      </c>
      <c r="B10" s="30" t="s">
        <v>388</v>
      </c>
      <c r="C10" s="30" t="s">
        <v>129</v>
      </c>
      <c r="D10" s="27">
        <v>19413.260727624704</v>
      </c>
      <c r="E10" s="28">
        <v>16227.430419348833</v>
      </c>
      <c r="F10" s="27">
        <f t="shared" si="1"/>
        <v>3185.8303082758703</v>
      </c>
      <c r="G10" s="27">
        <f t="shared" si="0"/>
        <v>16.41058837551434</v>
      </c>
      <c r="H10" s="29">
        <v>100</v>
      </c>
      <c r="I10" s="29">
        <v>0</v>
      </c>
      <c r="J10" s="4" t="s">
        <v>17</v>
      </c>
      <c r="K10" s="30">
        <v>40.876303333300001</v>
      </c>
      <c r="L10" s="30">
        <v>71.989218333300002</v>
      </c>
      <c r="M10" s="15">
        <v>160</v>
      </c>
    </row>
    <row r="11" spans="1:14" ht="30" customHeight="1">
      <c r="A11" s="7" t="s">
        <v>13</v>
      </c>
      <c r="B11" s="30" t="s">
        <v>387</v>
      </c>
      <c r="C11" s="30" t="s">
        <v>130</v>
      </c>
      <c r="D11" s="27">
        <v>19794.656967624705</v>
      </c>
      <c r="E11" s="28">
        <v>16561.110419348835</v>
      </c>
      <c r="F11" s="27">
        <f t="shared" si="1"/>
        <v>3233.54654827587</v>
      </c>
      <c r="G11" s="27">
        <f t="shared" si="0"/>
        <v>16.335451296602514</v>
      </c>
      <c r="H11" s="29">
        <v>69</v>
      </c>
      <c r="I11" s="29">
        <v>0</v>
      </c>
      <c r="J11" s="4" t="s">
        <v>14</v>
      </c>
      <c r="K11" s="30">
        <v>40.880254999999998</v>
      </c>
      <c r="L11" s="30">
        <v>71.986491666700005</v>
      </c>
      <c r="M11" s="15">
        <v>400</v>
      </c>
    </row>
    <row r="12" spans="1:14" ht="30" customHeight="1">
      <c r="A12" s="7" t="s">
        <v>13</v>
      </c>
      <c r="B12" s="30" t="s">
        <v>388</v>
      </c>
      <c r="C12" s="30" t="s">
        <v>131</v>
      </c>
      <c r="D12" s="27">
        <v>17219.618937624702</v>
      </c>
      <c r="E12" s="28">
        <v>14308.233752682167</v>
      </c>
      <c r="F12" s="27">
        <f t="shared" si="1"/>
        <v>2911.3851849425355</v>
      </c>
      <c r="G12" s="27">
        <f t="shared" si="0"/>
        <v>16.907372895350122</v>
      </c>
      <c r="H12" s="29">
        <v>64</v>
      </c>
      <c r="I12" s="29">
        <v>2</v>
      </c>
      <c r="J12" s="4" t="s">
        <v>16</v>
      </c>
      <c r="K12" s="30">
        <v>40.881878333300001</v>
      </c>
      <c r="L12" s="30">
        <v>71.992743333299998</v>
      </c>
      <c r="M12" s="15">
        <v>60</v>
      </c>
    </row>
    <row r="13" spans="1:14" ht="30" customHeight="1">
      <c r="A13" s="7" t="s">
        <v>13</v>
      </c>
      <c r="B13" s="30" t="s">
        <v>388</v>
      </c>
      <c r="C13" s="30" t="s">
        <v>132</v>
      </c>
      <c r="D13" s="27">
        <v>21818.288937624711</v>
      </c>
      <c r="E13" s="28">
        <v>18331.567086015501</v>
      </c>
      <c r="F13" s="27">
        <f t="shared" si="1"/>
        <v>3486.7218516092107</v>
      </c>
      <c r="G13" s="27">
        <f t="shared" si="0"/>
        <v>15.980730026892747</v>
      </c>
      <c r="H13" s="29">
        <v>25</v>
      </c>
      <c r="I13" s="29">
        <v>2</v>
      </c>
      <c r="J13" s="4" t="s">
        <v>18</v>
      </c>
      <c r="K13" s="30">
        <v>40.8861933333</v>
      </c>
      <c r="L13" s="30">
        <v>71.991990000000001</v>
      </c>
      <c r="M13" s="15">
        <v>100</v>
      </c>
    </row>
    <row r="14" spans="1:14" ht="30" customHeight="1">
      <c r="A14" s="7" t="s">
        <v>13</v>
      </c>
      <c r="B14" s="30" t="s">
        <v>388</v>
      </c>
      <c r="C14" s="30" t="s">
        <v>133</v>
      </c>
      <c r="D14" s="27">
        <v>21874.49405762471</v>
      </c>
      <c r="E14" s="28">
        <v>18380.740419348833</v>
      </c>
      <c r="F14" s="27">
        <f t="shared" si="1"/>
        <v>3493.7536382758772</v>
      </c>
      <c r="G14" s="27">
        <f t="shared" si="0"/>
        <v>15.971814612361616</v>
      </c>
      <c r="H14" s="29">
        <v>108</v>
      </c>
      <c r="I14" s="29">
        <v>2</v>
      </c>
      <c r="J14" s="4" t="s">
        <v>18</v>
      </c>
      <c r="K14" s="30">
        <v>40.871985000000002</v>
      </c>
      <c r="L14" s="30">
        <v>72.001351666700003</v>
      </c>
      <c r="M14" s="15">
        <v>100</v>
      </c>
    </row>
    <row r="15" spans="1:14" ht="30" customHeight="1">
      <c r="A15" s="7" t="s">
        <v>13</v>
      </c>
      <c r="B15" s="30" t="s">
        <v>384</v>
      </c>
      <c r="C15" s="30" t="s">
        <v>109</v>
      </c>
      <c r="D15" s="27">
        <v>19977.175017624704</v>
      </c>
      <c r="E15" s="28">
        <v>16720.79375268217</v>
      </c>
      <c r="F15" s="27">
        <f t="shared" si="1"/>
        <v>3256.3812649425345</v>
      </c>
      <c r="G15" s="27">
        <f t="shared" si="0"/>
        <v>16.300509266548538</v>
      </c>
      <c r="H15" s="29">
        <v>70</v>
      </c>
      <c r="I15" s="29">
        <v>0</v>
      </c>
      <c r="J15" s="4" t="s">
        <v>14</v>
      </c>
      <c r="K15" s="30">
        <v>40.863475000000001</v>
      </c>
      <c r="L15" s="30">
        <v>71.947638333300006</v>
      </c>
      <c r="M15" s="15">
        <v>400</v>
      </c>
    </row>
    <row r="16" spans="1:14" ht="30" customHeight="1">
      <c r="A16" s="7" t="s">
        <v>13</v>
      </c>
      <c r="B16" s="30" t="s">
        <v>386</v>
      </c>
      <c r="C16" s="30" t="s">
        <v>134</v>
      </c>
      <c r="D16" s="27">
        <v>20545.005987624703</v>
      </c>
      <c r="E16" s="28">
        <v>17217.583752682163</v>
      </c>
      <c r="F16" s="27">
        <f t="shared" si="1"/>
        <v>3327.4222349425399</v>
      </c>
      <c r="G16" s="27">
        <f t="shared" si="0"/>
        <v>16.195771551231548</v>
      </c>
      <c r="H16" s="29">
        <v>44</v>
      </c>
      <c r="I16" s="29">
        <v>0</v>
      </c>
      <c r="J16" s="4" t="s">
        <v>17</v>
      </c>
      <c r="K16" s="30">
        <v>40.867853333299998</v>
      </c>
      <c r="L16" s="30">
        <v>71.9555883333</v>
      </c>
      <c r="M16" s="15">
        <v>160</v>
      </c>
    </row>
    <row r="17" spans="1:13" ht="30" customHeight="1">
      <c r="A17" s="7" t="s">
        <v>13</v>
      </c>
      <c r="B17" s="30" t="s">
        <v>386</v>
      </c>
      <c r="C17" s="30" t="s">
        <v>135</v>
      </c>
      <c r="D17" s="27">
        <v>23765.012247624705</v>
      </c>
      <c r="E17" s="28">
        <v>20034.737086015499</v>
      </c>
      <c r="F17" s="27">
        <f t="shared" si="1"/>
        <v>3730.2751616092064</v>
      </c>
      <c r="G17" s="27">
        <f t="shared" si="0"/>
        <v>15.696500059586732</v>
      </c>
      <c r="H17" s="29">
        <v>80</v>
      </c>
      <c r="I17" s="29">
        <v>2</v>
      </c>
      <c r="J17" s="4" t="s">
        <v>19</v>
      </c>
      <c r="K17" s="30">
        <v>40.871698333300003</v>
      </c>
      <c r="L17" s="30">
        <v>71.957906666699998</v>
      </c>
      <c r="M17" s="15">
        <v>160</v>
      </c>
    </row>
    <row r="18" spans="1:13" ht="30" customHeight="1">
      <c r="A18" s="7" t="s">
        <v>13</v>
      </c>
      <c r="B18" s="30" t="s">
        <v>388</v>
      </c>
      <c r="C18" s="30" t="s">
        <v>136</v>
      </c>
      <c r="D18" s="27">
        <v>20530.040307624709</v>
      </c>
      <c r="E18" s="28">
        <v>17204.490419348833</v>
      </c>
      <c r="F18" s="27">
        <f t="shared" si="1"/>
        <v>3325.5498882758766</v>
      </c>
      <c r="G18" s="27">
        <f t="shared" si="0"/>
        <v>16.19845766713274</v>
      </c>
      <c r="H18" s="29">
        <v>83</v>
      </c>
      <c r="I18" s="29">
        <v>4</v>
      </c>
      <c r="J18" s="4" t="s">
        <v>16</v>
      </c>
      <c r="K18" s="30">
        <v>40.881491666700001</v>
      </c>
      <c r="L18" s="30">
        <v>72.005658333300005</v>
      </c>
      <c r="M18" s="15">
        <v>400</v>
      </c>
    </row>
    <row r="19" spans="1:13" ht="30" customHeight="1">
      <c r="A19" s="7" t="s">
        <v>13</v>
      </c>
      <c r="B19" s="30" t="s">
        <v>388</v>
      </c>
      <c r="C19" s="30" t="s">
        <v>137</v>
      </c>
      <c r="D19" s="27">
        <v>18177.251007624702</v>
      </c>
      <c r="E19" s="28">
        <v>15146.057086015497</v>
      </c>
      <c r="F19" s="27">
        <f t="shared" si="1"/>
        <v>3031.1939216092051</v>
      </c>
      <c r="G19" s="27">
        <f t="shared" si="0"/>
        <v>16.675755428242301</v>
      </c>
      <c r="H19" s="29">
        <v>105</v>
      </c>
      <c r="I19" s="29">
        <v>0</v>
      </c>
      <c r="J19" s="4" t="s">
        <v>16</v>
      </c>
      <c r="K19" s="30">
        <v>40.882366666700001</v>
      </c>
      <c r="L19" s="30">
        <v>72.011693333300002</v>
      </c>
      <c r="M19" s="15">
        <v>63</v>
      </c>
    </row>
    <row r="20" spans="1:13" ht="30" customHeight="1">
      <c r="A20" s="7" t="s">
        <v>13</v>
      </c>
      <c r="B20" s="30" t="s">
        <v>387</v>
      </c>
      <c r="C20" s="30" t="s">
        <v>138</v>
      </c>
      <c r="D20" s="27">
        <v>28586.910147624709</v>
      </c>
      <c r="E20" s="28">
        <v>24253.370419348837</v>
      </c>
      <c r="F20" s="27">
        <f t="shared" si="1"/>
        <v>4333.5397282758713</v>
      </c>
      <c r="G20" s="27">
        <f t="shared" si="0"/>
        <v>15.159174971681738</v>
      </c>
      <c r="H20" s="29">
        <v>7</v>
      </c>
      <c r="I20" s="29">
        <v>2</v>
      </c>
      <c r="J20" s="4" t="s">
        <v>16</v>
      </c>
      <c r="K20" s="30">
        <v>40.867094999999999</v>
      </c>
      <c r="L20" s="30">
        <v>71.968564999999998</v>
      </c>
      <c r="M20" s="15">
        <v>160</v>
      </c>
    </row>
    <row r="21" spans="1:13" ht="30" customHeight="1">
      <c r="A21" s="7" t="s">
        <v>13</v>
      </c>
      <c r="B21" s="30" t="s">
        <v>388</v>
      </c>
      <c r="C21" s="30" t="s">
        <v>139</v>
      </c>
      <c r="D21" s="27">
        <v>14127.773457624708</v>
      </c>
      <c r="E21" s="28">
        <v>11603.207086015496</v>
      </c>
      <c r="F21" s="27">
        <f t="shared" si="1"/>
        <v>2524.5663716092113</v>
      </c>
      <c r="G21" s="27">
        <f t="shared" si="0"/>
        <v>17.86952755989099</v>
      </c>
      <c r="H21" s="29">
        <v>37</v>
      </c>
      <c r="I21" s="29">
        <v>2</v>
      </c>
      <c r="J21" s="4" t="s">
        <v>16</v>
      </c>
      <c r="K21" s="30">
        <v>40.865857601199998</v>
      </c>
      <c r="L21" s="30">
        <v>71.963380873199995</v>
      </c>
      <c r="M21" s="15">
        <v>160</v>
      </c>
    </row>
    <row r="22" spans="1:13" ht="30" customHeight="1">
      <c r="A22" s="7" t="s">
        <v>13</v>
      </c>
      <c r="B22" s="30" t="s">
        <v>387</v>
      </c>
      <c r="C22" s="30" t="s">
        <v>140</v>
      </c>
      <c r="D22" s="27">
        <v>16096.472847624702</v>
      </c>
      <c r="E22" s="28">
        <v>13325.603752682164</v>
      </c>
      <c r="F22" s="27">
        <f t="shared" si="1"/>
        <v>2770.8690949425381</v>
      </c>
      <c r="G22" s="27">
        <f t="shared" si="0"/>
        <v>17.214138284657967</v>
      </c>
      <c r="H22" s="29">
        <v>36</v>
      </c>
      <c r="I22" s="29">
        <v>0</v>
      </c>
      <c r="J22" s="4" t="s">
        <v>16</v>
      </c>
      <c r="K22" s="30">
        <v>40.868364999999997</v>
      </c>
      <c r="L22" s="30">
        <v>71.977401666700004</v>
      </c>
      <c r="M22" s="15">
        <v>160</v>
      </c>
    </row>
    <row r="23" spans="1:13" ht="30" customHeight="1">
      <c r="A23" s="7" t="s">
        <v>13</v>
      </c>
      <c r="B23" s="30" t="s">
        <v>385</v>
      </c>
      <c r="C23" s="30" t="s">
        <v>141</v>
      </c>
      <c r="D23" s="27">
        <v>24609.765447624712</v>
      </c>
      <c r="E23" s="28">
        <v>20773.803752682172</v>
      </c>
      <c r="F23" s="27">
        <f t="shared" si="1"/>
        <v>3835.9616949425399</v>
      </c>
      <c r="G23" s="27">
        <f t="shared" si="0"/>
        <v>15.587152600484373</v>
      </c>
      <c r="H23" s="29">
        <v>146</v>
      </c>
      <c r="I23" s="29">
        <v>4</v>
      </c>
      <c r="J23" s="3" t="s">
        <v>16</v>
      </c>
      <c r="K23" s="30">
        <v>40.866354999999999</v>
      </c>
      <c r="L23" s="30">
        <v>71.987798333300006</v>
      </c>
      <c r="M23" s="15">
        <v>63</v>
      </c>
    </row>
    <row r="24" spans="1:13" ht="30" customHeight="1">
      <c r="A24" s="7" t="s">
        <v>13</v>
      </c>
      <c r="B24" s="30" t="s">
        <v>385</v>
      </c>
      <c r="C24" s="30" t="s">
        <v>142</v>
      </c>
      <c r="D24" s="27">
        <v>30007.594377624708</v>
      </c>
      <c r="E24" s="28">
        <v>25496.313752682167</v>
      </c>
      <c r="F24" s="27">
        <f t="shared" si="1"/>
        <v>4511.2806249425412</v>
      </c>
      <c r="G24" s="27">
        <f t="shared" si="0"/>
        <v>15.033796338924112</v>
      </c>
      <c r="H24" s="29">
        <v>201</v>
      </c>
      <c r="I24" s="29">
        <v>0</v>
      </c>
      <c r="J24" s="3" t="s">
        <v>16</v>
      </c>
      <c r="K24" s="30">
        <v>40.8589916667</v>
      </c>
      <c r="L24" s="30">
        <v>72.007035000000002</v>
      </c>
      <c r="M24" s="15">
        <v>63</v>
      </c>
    </row>
    <row r="25" spans="1:13" ht="30" customHeight="1">
      <c r="A25" s="7" t="s">
        <v>13</v>
      </c>
      <c r="B25" s="30" t="s">
        <v>387</v>
      </c>
      <c r="C25" s="30" t="s">
        <v>143</v>
      </c>
      <c r="D25" s="27">
        <v>32175.568197624707</v>
      </c>
      <c r="E25" s="28">
        <v>27393.053752682172</v>
      </c>
      <c r="F25" s="27">
        <f t="shared" si="1"/>
        <v>4782.5144449425352</v>
      </c>
      <c r="G25" s="27">
        <f t="shared" si="0"/>
        <v>14.863807270062736</v>
      </c>
      <c r="H25" s="29">
        <v>48</v>
      </c>
      <c r="I25" s="29">
        <v>0</v>
      </c>
      <c r="J25" s="3" t="s">
        <v>14</v>
      </c>
      <c r="K25" s="30">
        <v>40.8780866667</v>
      </c>
      <c r="L25" s="30">
        <v>71.986896666700005</v>
      </c>
      <c r="M25" s="15">
        <v>250</v>
      </c>
    </row>
    <row r="26" spans="1:13" ht="30" customHeight="1">
      <c r="A26" s="7" t="s">
        <v>13</v>
      </c>
      <c r="B26" s="30" t="s">
        <v>388</v>
      </c>
      <c r="C26" s="30" t="s">
        <v>144</v>
      </c>
      <c r="D26" s="27">
        <v>20231.290587624706</v>
      </c>
      <c r="E26" s="28">
        <v>16943.117086015503</v>
      </c>
      <c r="F26" s="27">
        <f t="shared" si="1"/>
        <v>3288.1735016092025</v>
      </c>
      <c r="G26" s="27">
        <f t="shared" si="0"/>
        <v>16.252910249930114</v>
      </c>
      <c r="H26" s="29">
        <v>177</v>
      </c>
      <c r="I26" s="29">
        <v>2</v>
      </c>
      <c r="J26" s="3" t="s">
        <v>14</v>
      </c>
      <c r="K26" s="30">
        <v>40.888159999999999</v>
      </c>
      <c r="L26" s="30">
        <v>72.008324999999999</v>
      </c>
      <c r="M26" s="15">
        <v>100</v>
      </c>
    </row>
    <row r="27" spans="1:13" ht="30" customHeight="1">
      <c r="A27" s="7" t="s">
        <v>13</v>
      </c>
      <c r="B27" s="30" t="s">
        <v>388</v>
      </c>
      <c r="C27" s="30" t="s">
        <v>145</v>
      </c>
      <c r="D27" s="27">
        <v>21464.339937624703</v>
      </c>
      <c r="E27" s="28">
        <v>18021.900419348836</v>
      </c>
      <c r="F27" s="27">
        <f t="shared" si="1"/>
        <v>3442.4395182758672</v>
      </c>
      <c r="G27" s="27">
        <f t="shared" si="0"/>
        <v>16.037947257076549</v>
      </c>
      <c r="H27" s="29">
        <v>95</v>
      </c>
      <c r="I27" s="29">
        <v>10</v>
      </c>
      <c r="J27" s="17" t="s">
        <v>14</v>
      </c>
      <c r="K27" s="30">
        <v>40.879911666700004</v>
      </c>
      <c r="L27" s="30">
        <v>72.022811666699994</v>
      </c>
      <c r="M27" s="15">
        <v>100</v>
      </c>
    </row>
    <row r="28" spans="1:13" ht="30" customHeight="1">
      <c r="A28" s="7" t="s">
        <v>13</v>
      </c>
      <c r="B28" s="30" t="s">
        <v>389</v>
      </c>
      <c r="C28" s="30" t="s">
        <v>146</v>
      </c>
      <c r="D28" s="27">
        <v>21561.63590762471</v>
      </c>
      <c r="E28" s="28">
        <v>18107.023752682166</v>
      </c>
      <c r="F28" s="27">
        <f t="shared" si="1"/>
        <v>3454.6121549425443</v>
      </c>
      <c r="G28" s="27">
        <f t="shared" si="0"/>
        <v>16.022031768567761</v>
      </c>
      <c r="H28" s="29">
        <v>133</v>
      </c>
      <c r="I28" s="29">
        <v>2</v>
      </c>
      <c r="J28" s="3" t="s">
        <v>14</v>
      </c>
      <c r="K28" s="30">
        <v>40.880920000000003</v>
      </c>
      <c r="L28" s="30">
        <v>72.040239999999997</v>
      </c>
      <c r="M28" s="20">
        <v>100</v>
      </c>
    </row>
    <row r="29" spans="1:13" ht="30" customHeight="1">
      <c r="A29" s="7" t="s">
        <v>13</v>
      </c>
      <c r="B29" s="30" t="s">
        <v>389</v>
      </c>
      <c r="C29" s="30" t="s">
        <v>147</v>
      </c>
      <c r="D29" s="27">
        <v>19331.901987624708</v>
      </c>
      <c r="E29" s="28">
        <v>16156.250419348833</v>
      </c>
      <c r="F29" s="27">
        <f t="shared" si="1"/>
        <v>3175.6515682758745</v>
      </c>
      <c r="G29" s="27">
        <f t="shared" si="0"/>
        <v>16.427000148814969</v>
      </c>
      <c r="H29" s="29">
        <v>126</v>
      </c>
      <c r="I29" s="29">
        <v>0</v>
      </c>
      <c r="J29" s="3"/>
      <c r="K29" s="30">
        <v>40.881768333300002</v>
      </c>
      <c r="L29" s="30">
        <v>72.055153333299998</v>
      </c>
      <c r="M29" s="20">
        <v>63</v>
      </c>
    </row>
    <row r="30" spans="1:13" ht="30" customHeight="1">
      <c r="A30" s="7" t="s">
        <v>13</v>
      </c>
      <c r="B30" s="30" t="s">
        <v>389</v>
      </c>
      <c r="C30" s="30" t="s">
        <v>148</v>
      </c>
      <c r="D30" s="27">
        <v>22719.776847624707</v>
      </c>
      <c r="E30" s="28">
        <v>19120.270419348832</v>
      </c>
      <c r="F30" s="27">
        <f t="shared" si="1"/>
        <v>3599.5064282758758</v>
      </c>
      <c r="G30" s="27">
        <f t="shared" si="0"/>
        <v>15.843053619834274</v>
      </c>
      <c r="H30" s="29">
        <v>163</v>
      </c>
      <c r="I30" s="29">
        <v>0</v>
      </c>
      <c r="J30" s="3" t="s">
        <v>20</v>
      </c>
      <c r="K30" s="30">
        <v>40.882671666699999</v>
      </c>
      <c r="L30" s="30">
        <v>72.072426666699997</v>
      </c>
      <c r="M30" s="21">
        <v>100</v>
      </c>
    </row>
    <row r="31" spans="1:13" ht="30" customHeight="1">
      <c r="A31" s="7" t="s">
        <v>13</v>
      </c>
      <c r="B31" s="30" t="s">
        <v>389</v>
      </c>
      <c r="C31" s="30" t="s">
        <v>149</v>
      </c>
      <c r="D31" s="27">
        <v>14403.686037624704</v>
      </c>
      <c r="E31" s="28">
        <v>11844.60041934883</v>
      </c>
      <c r="F31" s="27">
        <f t="shared" si="1"/>
        <v>2559.0856182758744</v>
      </c>
      <c r="G31" s="27">
        <f t="shared" si="0"/>
        <v>17.766880030508428</v>
      </c>
      <c r="H31" s="29">
        <v>19</v>
      </c>
      <c r="I31" s="29">
        <v>0</v>
      </c>
      <c r="J31" s="3" t="s">
        <v>21</v>
      </c>
      <c r="K31" s="30">
        <v>40.877465000000001</v>
      </c>
      <c r="L31" s="30">
        <v>72.08811</v>
      </c>
      <c r="M31" s="15">
        <v>100</v>
      </c>
    </row>
    <row r="32" spans="1:13" ht="30" customHeight="1">
      <c r="A32" s="7" t="s">
        <v>13</v>
      </c>
      <c r="B32" s="30" t="s">
        <v>389</v>
      </c>
      <c r="C32" s="30" t="s">
        <v>150</v>
      </c>
      <c r="D32" s="27">
        <v>20439.541377624704</v>
      </c>
      <c r="E32" s="28">
        <v>17125.313752682167</v>
      </c>
      <c r="F32" s="27">
        <f t="shared" si="1"/>
        <v>3314.2276249425377</v>
      </c>
      <c r="G32" s="27">
        <f t="shared" si="0"/>
        <v>16.214784684800431</v>
      </c>
      <c r="H32" s="29">
        <v>84</v>
      </c>
      <c r="I32" s="29">
        <v>2</v>
      </c>
      <c r="J32" s="3" t="s">
        <v>15</v>
      </c>
      <c r="K32" s="30">
        <v>40.879755000000003</v>
      </c>
      <c r="L32" s="30">
        <v>72.084291666699997</v>
      </c>
      <c r="M32" s="15">
        <v>100</v>
      </c>
    </row>
    <row r="33" spans="1:13" ht="30" customHeight="1">
      <c r="A33" s="7" t="s">
        <v>13</v>
      </c>
      <c r="B33" s="30" t="s">
        <v>390</v>
      </c>
      <c r="C33" s="30" t="s">
        <v>151</v>
      </c>
      <c r="D33" s="27">
        <v>21056.04890762471</v>
      </c>
      <c r="E33" s="28">
        <v>17664.690419348837</v>
      </c>
      <c r="F33" s="27">
        <f t="shared" si="1"/>
        <v>3391.3584882758732</v>
      </c>
      <c r="G33" s="27">
        <f t="shared" si="0"/>
        <v>16.10633838833748</v>
      </c>
      <c r="H33" s="29">
        <v>110</v>
      </c>
      <c r="I33" s="29">
        <v>4</v>
      </c>
      <c r="J33" s="3" t="s">
        <v>22</v>
      </c>
      <c r="K33" s="30">
        <v>40.874026666699997</v>
      </c>
      <c r="L33" s="30">
        <v>72.094549999999998</v>
      </c>
      <c r="M33" s="15">
        <v>160</v>
      </c>
    </row>
    <row r="34" spans="1:13" ht="30" customHeight="1">
      <c r="A34" s="7" t="s">
        <v>13</v>
      </c>
      <c r="B34" s="30" t="s">
        <v>390</v>
      </c>
      <c r="C34" s="30" t="s">
        <v>152</v>
      </c>
      <c r="D34" s="27">
        <v>16418.4330876247</v>
      </c>
      <c r="E34" s="28">
        <v>13607.283752682164</v>
      </c>
      <c r="F34" s="27">
        <f t="shared" si="1"/>
        <v>2811.1493349425364</v>
      </c>
      <c r="G34" s="27">
        <f t="shared" si="0"/>
        <v>17.121909989458278</v>
      </c>
      <c r="H34" s="29">
        <v>101</v>
      </c>
      <c r="I34" s="29">
        <v>0</v>
      </c>
      <c r="J34" s="3" t="s">
        <v>23</v>
      </c>
      <c r="K34" s="30">
        <v>40.863348333300003</v>
      </c>
      <c r="L34" s="30">
        <v>72.082953333299997</v>
      </c>
      <c r="M34" s="15">
        <v>160</v>
      </c>
    </row>
    <row r="35" spans="1:13" ht="30" customHeight="1">
      <c r="A35" s="7" t="s">
        <v>13</v>
      </c>
      <c r="B35" s="30" t="s">
        <v>391</v>
      </c>
      <c r="C35" s="30" t="s">
        <v>153</v>
      </c>
      <c r="D35" s="27">
        <v>15136.760517624707</v>
      </c>
      <c r="E35" s="28">
        <v>12485.96041934883</v>
      </c>
      <c r="F35" s="27">
        <f t="shared" si="1"/>
        <v>2650.8000982758767</v>
      </c>
      <c r="G35" s="27">
        <f t="shared" si="0"/>
        <v>17.51233426194052</v>
      </c>
      <c r="H35" s="29">
        <v>87</v>
      </c>
      <c r="I35" s="29">
        <v>3</v>
      </c>
      <c r="J35" s="3" t="s">
        <v>23</v>
      </c>
      <c r="K35" s="30">
        <v>40.848415000000003</v>
      </c>
      <c r="L35" s="30">
        <v>72.071595000000002</v>
      </c>
      <c r="M35" s="15">
        <v>63</v>
      </c>
    </row>
    <row r="36" spans="1:13" ht="30" customHeight="1">
      <c r="A36" s="7" t="s">
        <v>13</v>
      </c>
      <c r="B36" s="30" t="s">
        <v>390</v>
      </c>
      <c r="C36" s="30" t="s">
        <v>154</v>
      </c>
      <c r="D36" s="27">
        <v>27603.21005762471</v>
      </c>
      <c r="E36" s="28">
        <v>23392.740419348833</v>
      </c>
      <c r="F36" s="27">
        <f t="shared" si="1"/>
        <v>4210.4696382758775</v>
      </c>
      <c r="G36" s="27">
        <f t="shared" si="0"/>
        <v>15.253550690249661</v>
      </c>
      <c r="H36" s="29">
        <v>215</v>
      </c>
      <c r="I36" s="29">
        <v>6</v>
      </c>
      <c r="J36" s="3" t="s">
        <v>18</v>
      </c>
      <c r="K36" s="30">
        <v>40.8672316667</v>
      </c>
      <c r="L36" s="30">
        <v>72.104288333300005</v>
      </c>
      <c r="M36" s="15">
        <v>100</v>
      </c>
    </row>
    <row r="37" spans="1:13" ht="30" customHeight="1">
      <c r="A37" s="7" t="s">
        <v>13</v>
      </c>
      <c r="B37" s="30" t="s">
        <v>390</v>
      </c>
      <c r="C37" s="30" t="s">
        <v>155</v>
      </c>
      <c r="D37" s="27">
        <v>22390.813827624712</v>
      </c>
      <c r="E37" s="28">
        <v>18832.463752682168</v>
      </c>
      <c r="F37" s="27">
        <f t="shared" si="1"/>
        <v>3558.3500749425439</v>
      </c>
      <c r="G37" s="27">
        <f t="shared" si="0"/>
        <v>15.892008670772039</v>
      </c>
      <c r="H37" s="29">
        <v>98</v>
      </c>
      <c r="I37" s="29">
        <v>2</v>
      </c>
      <c r="J37" s="3" t="s">
        <v>14</v>
      </c>
      <c r="K37" s="30">
        <v>40.875253333300002</v>
      </c>
      <c r="L37" s="30">
        <v>72.108715000000004</v>
      </c>
      <c r="M37" s="15">
        <v>100</v>
      </c>
    </row>
    <row r="38" spans="1:13" ht="30" customHeight="1">
      <c r="A38" s="7" t="s">
        <v>13</v>
      </c>
      <c r="B38" s="30" t="s">
        <v>390</v>
      </c>
      <c r="C38" s="30" t="s">
        <v>156</v>
      </c>
      <c r="D38" s="27">
        <v>15049.008597624705</v>
      </c>
      <c r="E38" s="28">
        <v>12409.187086015496</v>
      </c>
      <c r="F38" s="27">
        <f t="shared" si="1"/>
        <v>2639.8215116092088</v>
      </c>
      <c r="G38" s="27">
        <f t="shared" si="0"/>
        <v>17.541497796910495</v>
      </c>
      <c r="H38" s="29">
        <v>106</v>
      </c>
      <c r="I38" s="29">
        <v>0</v>
      </c>
      <c r="J38" s="3" t="s">
        <v>23</v>
      </c>
      <c r="K38" s="30">
        <v>40.867996666700002</v>
      </c>
      <c r="L38" s="30">
        <v>72.122466666700006</v>
      </c>
      <c r="M38" s="15">
        <v>40</v>
      </c>
    </row>
    <row r="39" spans="1:13" ht="30" customHeight="1">
      <c r="A39" s="7" t="s">
        <v>13</v>
      </c>
      <c r="B39" s="30" t="s">
        <v>390</v>
      </c>
      <c r="C39" s="30" t="s">
        <v>157</v>
      </c>
      <c r="D39" s="27">
        <v>16528.572567624706</v>
      </c>
      <c r="E39" s="28">
        <v>13703.643752682165</v>
      </c>
      <c r="F39" s="27">
        <f t="shared" si="1"/>
        <v>2824.9288149425411</v>
      </c>
      <c r="G39" s="27">
        <f t="shared" si="0"/>
        <v>17.091184392267863</v>
      </c>
      <c r="H39" s="29">
        <v>138</v>
      </c>
      <c r="I39" s="29">
        <v>2</v>
      </c>
      <c r="J39" s="3" t="s">
        <v>24</v>
      </c>
      <c r="K39" s="30">
        <v>40.856453333300003</v>
      </c>
      <c r="L39" s="30">
        <v>72.136276666699999</v>
      </c>
      <c r="M39" s="15">
        <v>100</v>
      </c>
    </row>
    <row r="40" spans="1:13" ht="30" customHeight="1">
      <c r="A40" s="7" t="s">
        <v>13</v>
      </c>
      <c r="B40" s="30" t="s">
        <v>390</v>
      </c>
      <c r="C40" s="30" t="s">
        <v>158</v>
      </c>
      <c r="D40" s="27">
        <v>21550.362117624711</v>
      </c>
      <c r="E40" s="28">
        <v>18097.160419348831</v>
      </c>
      <c r="F40" s="27">
        <f t="shared" si="1"/>
        <v>3453.2016982758796</v>
      </c>
      <c r="G40" s="27">
        <f t="shared" si="0"/>
        <v>16.023868552314113</v>
      </c>
      <c r="H40" s="29">
        <v>170</v>
      </c>
      <c r="I40" s="29">
        <v>2</v>
      </c>
      <c r="J40" s="3" t="s">
        <v>24</v>
      </c>
      <c r="K40" s="30">
        <v>40.848101666700003</v>
      </c>
      <c r="L40" s="30">
        <v>72.161588333300003</v>
      </c>
      <c r="M40" s="15">
        <v>100</v>
      </c>
    </row>
    <row r="41" spans="1:13" ht="30" customHeight="1">
      <c r="A41" s="7" t="s">
        <v>13</v>
      </c>
      <c r="B41" s="30" t="s">
        <v>392</v>
      </c>
      <c r="C41" s="30" t="s">
        <v>159</v>
      </c>
      <c r="D41" s="27">
        <v>15017.499897624706</v>
      </c>
      <c r="E41" s="28">
        <v>12381.62041934883</v>
      </c>
      <c r="F41" s="27">
        <f t="shared" si="1"/>
        <v>2635.879478275876</v>
      </c>
      <c r="G41" s="27">
        <f t="shared" si="0"/>
        <v>17.552052580288606</v>
      </c>
      <c r="H41" s="29">
        <v>86</v>
      </c>
      <c r="I41" s="29">
        <v>3</v>
      </c>
      <c r="J41" s="3" t="s">
        <v>21</v>
      </c>
      <c r="K41" s="30">
        <v>40.823746666700004</v>
      </c>
      <c r="L41" s="30">
        <v>72.162056666699996</v>
      </c>
      <c r="M41" s="15">
        <v>160</v>
      </c>
    </row>
    <row r="42" spans="1:13" ht="30" customHeight="1">
      <c r="A42" s="7" t="s">
        <v>13</v>
      </c>
      <c r="B42" s="30" t="s">
        <v>391</v>
      </c>
      <c r="C42" s="30" t="s">
        <v>160</v>
      </c>
      <c r="D42" s="27">
        <v>19060.188027624707</v>
      </c>
      <c r="E42" s="28">
        <v>15918.530419348832</v>
      </c>
      <c r="F42" s="27">
        <f t="shared" si="1"/>
        <v>3141.6576082758747</v>
      </c>
      <c r="G42" s="27">
        <f t="shared" si="0"/>
        <v>16.48282589721855</v>
      </c>
      <c r="H42" s="29">
        <v>98</v>
      </c>
      <c r="I42" s="29">
        <v>2</v>
      </c>
      <c r="J42" s="3" t="s">
        <v>19</v>
      </c>
      <c r="K42" s="30">
        <v>40.8202666667</v>
      </c>
      <c r="L42" s="30">
        <v>72.1321616667</v>
      </c>
      <c r="M42" s="20">
        <v>160</v>
      </c>
    </row>
    <row r="43" spans="1:13" ht="30" customHeight="1">
      <c r="A43" s="7" t="s">
        <v>13</v>
      </c>
      <c r="B43" s="30" t="s">
        <v>391</v>
      </c>
      <c r="C43" s="30" t="s">
        <v>161</v>
      </c>
      <c r="D43" s="27">
        <v>21221.086677624706</v>
      </c>
      <c r="E43" s="28">
        <v>17809.080419348829</v>
      </c>
      <c r="F43" s="27">
        <f t="shared" si="1"/>
        <v>3412.0062582758765</v>
      </c>
      <c r="G43" s="27">
        <f t="shared" si="0"/>
        <v>16.078376711374826</v>
      </c>
      <c r="H43" s="29">
        <v>130</v>
      </c>
      <c r="I43" s="29">
        <v>2</v>
      </c>
      <c r="J43" s="3" t="s">
        <v>21</v>
      </c>
      <c r="K43" s="30">
        <v>40.829568333300003</v>
      </c>
      <c r="L43" s="30">
        <v>72.120596666699996</v>
      </c>
      <c r="M43" s="20">
        <v>160</v>
      </c>
    </row>
    <row r="44" spans="1:13" ht="30" customHeight="1">
      <c r="A44" s="7" t="s">
        <v>13</v>
      </c>
      <c r="B44" s="30" t="s">
        <v>391</v>
      </c>
      <c r="C44" s="30" t="s">
        <v>162</v>
      </c>
      <c r="D44" s="27">
        <v>22817.267127624706</v>
      </c>
      <c r="E44" s="28">
        <v>19205.563752682167</v>
      </c>
      <c r="F44" s="27">
        <f t="shared" si="1"/>
        <v>3611.7033749425391</v>
      </c>
      <c r="G44" s="27">
        <f t="shared" si="0"/>
        <v>15.828816635844504</v>
      </c>
      <c r="H44" s="29">
        <v>165</v>
      </c>
      <c r="I44" s="29">
        <v>2</v>
      </c>
      <c r="J44" s="3" t="s">
        <v>21</v>
      </c>
      <c r="K44" s="30">
        <v>40.815874208499999</v>
      </c>
      <c r="L44" s="30">
        <v>72.111179034499997</v>
      </c>
      <c r="M44" s="20">
        <v>100</v>
      </c>
    </row>
    <row r="45" spans="1:13" ht="30" customHeight="1">
      <c r="A45" s="7" t="s">
        <v>13</v>
      </c>
      <c r="B45" s="30" t="s">
        <v>388</v>
      </c>
      <c r="C45" s="30" t="s">
        <v>163</v>
      </c>
      <c r="D45" s="27">
        <v>57694.73864762469</v>
      </c>
      <c r="E45" s="28">
        <v>49719.537086015494</v>
      </c>
      <c r="F45" s="27">
        <f t="shared" si="1"/>
        <v>7975.2015616091958</v>
      </c>
      <c r="G45" s="27">
        <f t="shared" si="0"/>
        <v>13.82310024891245</v>
      </c>
      <c r="H45" s="29">
        <v>144</v>
      </c>
      <c r="I45" s="29">
        <v>0</v>
      </c>
      <c r="J45" s="3" t="s">
        <v>21</v>
      </c>
      <c r="K45" s="30">
        <v>40.875643333299998</v>
      </c>
      <c r="L45" s="30">
        <v>72.000879999999995</v>
      </c>
      <c r="M45" s="20">
        <v>160</v>
      </c>
    </row>
    <row r="46" spans="1:13" ht="30" customHeight="1">
      <c r="A46" s="7" t="s">
        <v>13</v>
      </c>
      <c r="B46" s="30" t="s">
        <v>388</v>
      </c>
      <c r="C46" s="30" t="s">
        <v>164</v>
      </c>
      <c r="D46" s="27">
        <v>17555.900967624704</v>
      </c>
      <c r="E46" s="28">
        <v>14602.443752682166</v>
      </c>
      <c r="F46" s="27">
        <f t="shared" si="1"/>
        <v>2953.4572149425385</v>
      </c>
      <c r="G46" s="27">
        <f t="shared" si="0"/>
        <v>16.823159462958273</v>
      </c>
      <c r="H46" s="29">
        <v>83</v>
      </c>
      <c r="I46" s="29">
        <v>3</v>
      </c>
      <c r="J46" s="3" t="s">
        <v>20</v>
      </c>
      <c r="K46" s="30">
        <v>40.88138</v>
      </c>
      <c r="L46" s="30">
        <v>72.003778333300005</v>
      </c>
      <c r="M46" s="20">
        <v>63</v>
      </c>
    </row>
    <row r="47" spans="1:13" ht="30" customHeight="1">
      <c r="A47" s="7" t="s">
        <v>13</v>
      </c>
      <c r="B47" s="30" t="s">
        <v>389</v>
      </c>
      <c r="C47" s="30" t="s">
        <v>165</v>
      </c>
      <c r="D47" s="27">
        <v>20403.9826476247</v>
      </c>
      <c r="E47" s="28">
        <v>17094.203752682166</v>
      </c>
      <c r="F47" s="27">
        <f t="shared" si="1"/>
        <v>3309.778894942534</v>
      </c>
      <c r="G47" s="27">
        <f t="shared" si="0"/>
        <v>16.221239510453302</v>
      </c>
      <c r="H47" s="29">
        <v>117</v>
      </c>
      <c r="I47" s="29">
        <v>0</v>
      </c>
      <c r="J47" s="3" t="s">
        <v>20</v>
      </c>
      <c r="K47" s="30">
        <v>40.871155000000002</v>
      </c>
      <c r="L47" s="30">
        <v>72.043671666700007</v>
      </c>
      <c r="M47" s="20">
        <v>400</v>
      </c>
    </row>
    <row r="48" spans="1:13" ht="30" customHeight="1">
      <c r="A48" s="7" t="s">
        <v>13</v>
      </c>
      <c r="B48" s="30" t="s">
        <v>392</v>
      </c>
      <c r="C48" s="30" t="s">
        <v>166</v>
      </c>
      <c r="D48" s="27">
        <v>14997.577407624702</v>
      </c>
      <c r="E48" s="28">
        <v>12364.19041934883</v>
      </c>
      <c r="F48" s="27">
        <f t="shared" si="1"/>
        <v>2633.3869882758718</v>
      </c>
      <c r="G48" s="27">
        <f t="shared" si="0"/>
        <v>17.558749101285315</v>
      </c>
      <c r="H48" s="29">
        <v>72</v>
      </c>
      <c r="I48" s="29">
        <v>0</v>
      </c>
      <c r="J48" s="3" t="s">
        <v>20</v>
      </c>
      <c r="K48" s="30">
        <v>40.820733333200003</v>
      </c>
      <c r="L48" s="30">
        <v>72.163296666700006</v>
      </c>
      <c r="M48" s="20">
        <v>160</v>
      </c>
    </row>
    <row r="49" spans="1:13" ht="30" customHeight="1">
      <c r="A49" s="7" t="s">
        <v>13</v>
      </c>
      <c r="B49" s="30" t="s">
        <v>392</v>
      </c>
      <c r="C49" s="30" t="s">
        <v>167</v>
      </c>
      <c r="D49" s="27">
        <v>18823.628937624704</v>
      </c>
      <c r="E49" s="28">
        <v>15711.567086015499</v>
      </c>
      <c r="F49" s="27">
        <f t="shared" si="1"/>
        <v>3112.0618516092054</v>
      </c>
      <c r="G49" s="27">
        <f t="shared" si="0"/>
        <v>16.532741172924474</v>
      </c>
      <c r="H49" s="29">
        <v>97</v>
      </c>
      <c r="I49" s="29">
        <v>2</v>
      </c>
      <c r="J49" s="3" t="s">
        <v>25</v>
      </c>
      <c r="K49" s="30">
        <v>40.834948405699997</v>
      </c>
      <c r="L49" s="30">
        <v>72.194619056400001</v>
      </c>
      <c r="M49" s="20">
        <v>250</v>
      </c>
    </row>
    <row r="50" spans="1:13" ht="30" customHeight="1">
      <c r="A50" s="7" t="s">
        <v>13</v>
      </c>
      <c r="B50" s="30" t="s">
        <v>386</v>
      </c>
      <c r="C50" s="30" t="s">
        <v>168</v>
      </c>
      <c r="D50" s="27">
        <v>24581.619072624708</v>
      </c>
      <c r="E50" s="28">
        <v>20749.178752682172</v>
      </c>
      <c r="F50" s="27">
        <f t="shared" si="1"/>
        <v>3832.440319942536</v>
      </c>
      <c r="G50" s="27">
        <f t="shared" si="0"/>
        <v>15.590674921045087</v>
      </c>
      <c r="H50" s="29">
        <v>158</v>
      </c>
      <c r="I50" s="29">
        <v>0</v>
      </c>
      <c r="J50" s="3" t="s">
        <v>25</v>
      </c>
      <c r="K50" s="30">
        <v>40.878189999999996</v>
      </c>
      <c r="L50" s="30">
        <v>71.958991666700001</v>
      </c>
      <c r="M50" s="20">
        <v>160</v>
      </c>
    </row>
    <row r="51" spans="1:13" ht="30" customHeight="1">
      <c r="A51" s="7" t="s">
        <v>13</v>
      </c>
      <c r="B51" s="30" t="s">
        <v>386</v>
      </c>
      <c r="C51" s="30" t="s">
        <v>169</v>
      </c>
      <c r="D51" s="27">
        <v>20593.23296762471</v>
      </c>
      <c r="E51" s="28">
        <v>17259.7770860155</v>
      </c>
      <c r="F51" s="27">
        <f t="shared" si="1"/>
        <v>3333.4558816092103</v>
      </c>
      <c r="G51" s="27">
        <f t="shared" si="0"/>
        <v>16.187142091044393</v>
      </c>
      <c r="H51" s="29">
        <v>113</v>
      </c>
      <c r="I51" s="29">
        <v>2</v>
      </c>
      <c r="J51" s="3" t="s">
        <v>22</v>
      </c>
      <c r="K51" s="30">
        <v>40.870921666699999</v>
      </c>
      <c r="L51" s="30">
        <v>71.95438</v>
      </c>
      <c r="M51" s="20">
        <v>250</v>
      </c>
    </row>
    <row r="52" spans="1:13" ht="30" customHeight="1">
      <c r="A52" s="7" t="s">
        <v>13</v>
      </c>
      <c r="B52" s="30" t="s">
        <v>390</v>
      </c>
      <c r="C52" s="30" t="s">
        <v>170</v>
      </c>
      <c r="D52" s="27">
        <v>17217.431997624702</v>
      </c>
      <c r="E52" s="28">
        <v>14306.320419348833</v>
      </c>
      <c r="F52" s="27">
        <f t="shared" si="1"/>
        <v>2911.1115782758698</v>
      </c>
      <c r="G52" s="27">
        <f t="shared" si="0"/>
        <v>16.907931326097199</v>
      </c>
      <c r="H52" s="29">
        <v>75</v>
      </c>
      <c r="I52" s="29">
        <v>0</v>
      </c>
      <c r="J52" s="3" t="s">
        <v>22</v>
      </c>
      <c r="K52" s="30">
        <v>40.872001666700001</v>
      </c>
      <c r="L52" s="30">
        <v>72.092106666700005</v>
      </c>
      <c r="M52" s="20">
        <v>160</v>
      </c>
    </row>
    <row r="53" spans="1:13" ht="30" customHeight="1">
      <c r="A53" s="7" t="s">
        <v>13</v>
      </c>
      <c r="B53" s="30" t="s">
        <v>386</v>
      </c>
      <c r="C53" s="30" t="s">
        <v>171</v>
      </c>
      <c r="D53" s="27">
        <v>19389.962577624701</v>
      </c>
      <c r="E53" s="28">
        <v>16207.047086015498</v>
      </c>
      <c r="F53" s="27">
        <f t="shared" si="1"/>
        <v>3182.9154916092029</v>
      </c>
      <c r="G53" s="27">
        <f t="shared" si="0"/>
        <v>16.415274030916233</v>
      </c>
      <c r="H53" s="29">
        <v>118</v>
      </c>
      <c r="I53" s="29">
        <v>0</v>
      </c>
      <c r="J53" s="3" t="s">
        <v>22</v>
      </c>
      <c r="K53" s="30">
        <v>40.872906666699997</v>
      </c>
      <c r="L53" s="30">
        <v>71.953943333300003</v>
      </c>
      <c r="M53" s="20">
        <v>40</v>
      </c>
    </row>
    <row r="54" spans="1:13" ht="30" customHeight="1">
      <c r="A54" s="7" t="s">
        <v>13</v>
      </c>
      <c r="B54" s="30" t="s">
        <v>384</v>
      </c>
      <c r="C54" s="30" t="s">
        <v>101</v>
      </c>
      <c r="D54" s="27">
        <v>17968.059147624703</v>
      </c>
      <c r="E54" s="28">
        <v>14963.0370860155</v>
      </c>
      <c r="F54" s="27">
        <f t="shared" si="1"/>
        <v>3005.0220616092029</v>
      </c>
      <c r="G54" s="27">
        <f t="shared" si="0"/>
        <v>16.724244042832268</v>
      </c>
      <c r="H54" s="29">
        <v>76</v>
      </c>
      <c r="I54" s="29">
        <v>2</v>
      </c>
      <c r="J54" s="3" t="s">
        <v>17</v>
      </c>
      <c r="K54" s="30">
        <v>40.877846666700002</v>
      </c>
      <c r="L54" s="30">
        <v>71.933464999999998</v>
      </c>
      <c r="M54" s="20">
        <v>63</v>
      </c>
    </row>
    <row r="55" spans="1:13" ht="30" customHeight="1">
      <c r="A55" s="7" t="s">
        <v>13</v>
      </c>
      <c r="B55" s="30" t="s">
        <v>386</v>
      </c>
      <c r="C55" s="30" t="s">
        <v>172</v>
      </c>
      <c r="D55" s="27">
        <v>19778.502567624706</v>
      </c>
      <c r="E55" s="28">
        <v>16546.977086015497</v>
      </c>
      <c r="F55" s="27">
        <f t="shared" si="1"/>
        <v>3231.5254816092092</v>
      </c>
      <c r="G55" s="27">
        <f t="shared" si="0"/>
        <v>16.338575028924943</v>
      </c>
      <c r="H55" s="29">
        <v>106</v>
      </c>
      <c r="I55" s="29">
        <v>2</v>
      </c>
      <c r="J55" s="3" t="s">
        <v>17</v>
      </c>
      <c r="K55" s="30">
        <v>40.873988333299998</v>
      </c>
      <c r="L55" s="30">
        <v>71.962540000000004</v>
      </c>
      <c r="M55" s="20">
        <v>100</v>
      </c>
    </row>
    <row r="56" spans="1:13" ht="30" customHeight="1">
      <c r="A56" s="7" t="s">
        <v>13</v>
      </c>
      <c r="B56" s="30" t="s">
        <v>386</v>
      </c>
      <c r="C56" s="30" t="s">
        <v>173</v>
      </c>
      <c r="D56" s="27">
        <v>15096.382137624705</v>
      </c>
      <c r="E56" s="28">
        <v>12450.633752682163</v>
      </c>
      <c r="F56" s="27">
        <f t="shared" si="1"/>
        <v>2645.7483849425425</v>
      </c>
      <c r="G56" s="27">
        <f t="shared" si="0"/>
        <v>17.525711530238397</v>
      </c>
      <c r="H56" s="29">
        <v>36</v>
      </c>
      <c r="I56" s="29">
        <v>0</v>
      </c>
      <c r="J56" s="3" t="s">
        <v>27</v>
      </c>
      <c r="K56" s="30">
        <v>40.870921666500003</v>
      </c>
      <c r="L56" s="30">
        <v>71.95438</v>
      </c>
      <c r="M56" s="20">
        <v>160</v>
      </c>
    </row>
    <row r="57" spans="1:13" ht="30" customHeight="1">
      <c r="A57" s="7" t="s">
        <v>13</v>
      </c>
      <c r="B57" s="30" t="s">
        <v>386</v>
      </c>
      <c r="C57" s="30" t="s">
        <v>174</v>
      </c>
      <c r="D57" s="27">
        <v>22321.067967624709</v>
      </c>
      <c r="E57" s="28">
        <v>18771.443752682164</v>
      </c>
      <c r="F57" s="27">
        <f t="shared" si="1"/>
        <v>3549.6242149425452</v>
      </c>
      <c r="G57" s="27">
        <f t="shared" si="0"/>
        <v>15.902573389817411</v>
      </c>
      <c r="H57" s="29">
        <v>72</v>
      </c>
      <c r="I57" s="29">
        <v>0</v>
      </c>
      <c r="J57" s="3" t="s">
        <v>28</v>
      </c>
      <c r="K57" s="30">
        <v>40.875286666699999</v>
      </c>
      <c r="L57" s="30">
        <v>71.9537066667</v>
      </c>
      <c r="M57" s="20">
        <v>100</v>
      </c>
    </row>
    <row r="58" spans="1:13" ht="30" customHeight="1">
      <c r="A58" s="7" t="s">
        <v>13</v>
      </c>
      <c r="B58" s="30" t="s">
        <v>384</v>
      </c>
      <c r="C58" s="30" t="s">
        <v>107</v>
      </c>
      <c r="D58" s="27">
        <v>18981.610587624706</v>
      </c>
      <c r="E58" s="28">
        <v>15849.783752682166</v>
      </c>
      <c r="F58" s="27">
        <f t="shared" si="1"/>
        <v>3131.8268349425398</v>
      </c>
      <c r="G58" s="27">
        <f t="shared" si="0"/>
        <v>16.499268175822618</v>
      </c>
      <c r="H58" s="29">
        <v>88</v>
      </c>
      <c r="I58" s="29">
        <v>0</v>
      </c>
      <c r="J58" s="3" t="s">
        <v>25</v>
      </c>
      <c r="K58" s="30">
        <v>40.870680129199997</v>
      </c>
      <c r="L58" s="30">
        <v>71.958324657800006</v>
      </c>
      <c r="M58" s="20">
        <v>100</v>
      </c>
    </row>
    <row r="59" spans="1:13" ht="30" customHeight="1">
      <c r="A59" s="7" t="s">
        <v>13</v>
      </c>
      <c r="B59" s="30" t="s">
        <v>384</v>
      </c>
      <c r="C59" s="30" t="s">
        <v>113</v>
      </c>
      <c r="D59" s="27">
        <v>24825.781017624708</v>
      </c>
      <c r="E59" s="28">
        <v>20962.79375268217</v>
      </c>
      <c r="F59" s="27">
        <f t="shared" si="1"/>
        <v>3862.9872649425379</v>
      </c>
      <c r="G59" s="27">
        <f t="shared" si="0"/>
        <v>15.56038564184573</v>
      </c>
      <c r="H59" s="29">
        <v>130</v>
      </c>
      <c r="I59" s="29">
        <v>2</v>
      </c>
      <c r="J59" s="3" t="s">
        <v>21</v>
      </c>
      <c r="K59" s="30">
        <v>40.867751666700002</v>
      </c>
      <c r="L59" s="30">
        <v>71.964714999999998</v>
      </c>
      <c r="M59" s="20">
        <v>100</v>
      </c>
    </row>
    <row r="60" spans="1:13" ht="30" customHeight="1">
      <c r="A60" s="7" t="s">
        <v>13</v>
      </c>
      <c r="B60" s="30" t="s">
        <v>384</v>
      </c>
      <c r="C60" s="30" t="s">
        <v>108</v>
      </c>
      <c r="D60" s="27">
        <v>22440.797217624706</v>
      </c>
      <c r="E60" s="28">
        <v>18876.193752682164</v>
      </c>
      <c r="F60" s="27">
        <f t="shared" si="1"/>
        <v>3564.6034649425419</v>
      </c>
      <c r="G60" s="27">
        <f t="shared" si="0"/>
        <v>15.884477856887141</v>
      </c>
      <c r="H60" s="29">
        <v>75</v>
      </c>
      <c r="I60" s="29">
        <v>0</v>
      </c>
      <c r="J60" s="3" t="s">
        <v>21</v>
      </c>
      <c r="K60" s="30">
        <v>40.874960000000002</v>
      </c>
      <c r="L60" s="30">
        <v>71.946984999999998</v>
      </c>
      <c r="M60" s="20">
        <v>63</v>
      </c>
    </row>
    <row r="61" spans="1:13" ht="30" customHeight="1">
      <c r="A61" s="7" t="s">
        <v>13</v>
      </c>
      <c r="B61" s="30" t="s">
        <v>384</v>
      </c>
      <c r="C61" s="30" t="s">
        <v>93</v>
      </c>
      <c r="D61" s="27">
        <v>14261.820687624704</v>
      </c>
      <c r="E61" s="28">
        <v>11720.483752682165</v>
      </c>
      <c r="F61" s="27">
        <f t="shared" si="1"/>
        <v>2541.3369349425393</v>
      </c>
      <c r="G61" s="27">
        <f t="shared" si="0"/>
        <v>17.819162017285166</v>
      </c>
      <c r="H61" s="29">
        <v>24</v>
      </c>
      <c r="I61" s="29">
        <v>2</v>
      </c>
      <c r="J61" s="3" t="s">
        <v>25</v>
      </c>
      <c r="K61" s="30">
        <v>40.879668882099999</v>
      </c>
      <c r="L61" s="30">
        <v>71.946328058800006</v>
      </c>
      <c r="M61" s="14">
        <v>100</v>
      </c>
    </row>
    <row r="62" spans="1:13" ht="30" customHeight="1">
      <c r="A62" s="7" t="s">
        <v>13</v>
      </c>
      <c r="B62" s="30" t="s">
        <v>384</v>
      </c>
      <c r="C62" s="30" t="s">
        <v>92</v>
      </c>
      <c r="D62" s="27">
        <v>19318.128837624707</v>
      </c>
      <c r="E62" s="28">
        <v>16144.20041934883</v>
      </c>
      <c r="F62" s="27">
        <f t="shared" si="1"/>
        <v>3173.9284182758765</v>
      </c>
      <c r="G62" s="27">
        <f t="shared" si="0"/>
        <v>16.429792165451424</v>
      </c>
      <c r="H62" s="29">
        <v>55</v>
      </c>
      <c r="I62" s="29">
        <v>4</v>
      </c>
      <c r="J62" s="3" t="s">
        <v>17</v>
      </c>
      <c r="K62" s="30">
        <v>40.889975940799999</v>
      </c>
      <c r="L62" s="30">
        <v>71.955590816200001</v>
      </c>
      <c r="M62" s="14">
        <v>100</v>
      </c>
    </row>
    <row r="63" spans="1:13" ht="30" customHeight="1">
      <c r="A63" s="7" t="s">
        <v>13</v>
      </c>
      <c r="B63" s="30" t="s">
        <v>387</v>
      </c>
      <c r="C63" s="30" t="s">
        <v>175</v>
      </c>
      <c r="D63" s="27">
        <v>37657.293327624706</v>
      </c>
      <c r="E63" s="28">
        <v>32188.963752682161</v>
      </c>
      <c r="F63" s="27">
        <f t="shared" si="1"/>
        <v>5468.3295749425452</v>
      </c>
      <c r="G63" s="27">
        <f t="shared" si="0"/>
        <v>14.521302758982619</v>
      </c>
      <c r="H63" s="29">
        <v>33</v>
      </c>
      <c r="I63" s="29">
        <v>2</v>
      </c>
      <c r="J63" s="3" t="s">
        <v>28</v>
      </c>
      <c r="K63" s="30">
        <v>40.879336666500002</v>
      </c>
      <c r="L63" s="30">
        <v>71.986581666700005</v>
      </c>
      <c r="M63" s="14">
        <v>100</v>
      </c>
    </row>
    <row r="64" spans="1:13" ht="30" customHeight="1">
      <c r="A64" s="7" t="s">
        <v>13</v>
      </c>
      <c r="B64" s="30" t="s">
        <v>387</v>
      </c>
      <c r="C64" s="30" t="s">
        <v>176</v>
      </c>
      <c r="D64" s="27">
        <v>37733.630487624709</v>
      </c>
      <c r="E64" s="28">
        <v>32255.750419348828</v>
      </c>
      <c r="F64" s="27">
        <f t="shared" si="1"/>
        <v>5477.8800682758811</v>
      </c>
      <c r="G64" s="27">
        <f t="shared" si="0"/>
        <v>14.517235679382695</v>
      </c>
      <c r="H64" s="29">
        <v>151</v>
      </c>
      <c r="I64" s="29">
        <v>0</v>
      </c>
      <c r="J64" s="4" t="s">
        <v>29</v>
      </c>
      <c r="K64" s="30">
        <v>40.884120000000003</v>
      </c>
      <c r="L64" s="30">
        <v>71.971571666700001</v>
      </c>
      <c r="M64" s="14">
        <v>160</v>
      </c>
    </row>
    <row r="65" spans="1:13" ht="30" customHeight="1">
      <c r="A65" s="7" t="s">
        <v>13</v>
      </c>
      <c r="B65" s="30" t="s">
        <v>384</v>
      </c>
      <c r="C65" s="30" t="s">
        <v>111</v>
      </c>
      <c r="D65" s="27">
        <v>21313.70777762471</v>
      </c>
      <c r="E65" s="28">
        <v>17890.113752682169</v>
      </c>
      <c r="F65" s="27">
        <f t="shared" si="1"/>
        <v>3423.5940249425403</v>
      </c>
      <c r="G65" s="27">
        <f t="shared" si="0"/>
        <v>16.062873999504934</v>
      </c>
      <c r="H65" s="29">
        <v>66</v>
      </c>
      <c r="I65" s="29">
        <v>0</v>
      </c>
      <c r="J65" s="4" t="s">
        <v>29</v>
      </c>
      <c r="K65" s="30">
        <v>40.883293333300003</v>
      </c>
      <c r="L65" s="30">
        <v>71.964291666700007</v>
      </c>
      <c r="M65" s="14">
        <v>100</v>
      </c>
    </row>
    <row r="66" spans="1:13" ht="30" customHeight="1">
      <c r="A66" s="7" t="s">
        <v>13</v>
      </c>
      <c r="B66" s="30" t="s">
        <v>388</v>
      </c>
      <c r="C66" s="30" t="s">
        <v>177</v>
      </c>
      <c r="D66" s="27">
        <v>30379.934247624711</v>
      </c>
      <c r="E66" s="28">
        <v>25822.070419348835</v>
      </c>
      <c r="F66" s="27">
        <f t="shared" si="1"/>
        <v>4557.8638282758766</v>
      </c>
      <c r="G66" s="27">
        <f t="shared" si="0"/>
        <v>15.002875882235454</v>
      </c>
      <c r="H66" s="29">
        <v>93</v>
      </c>
      <c r="I66" s="29">
        <v>2</v>
      </c>
      <c r="J66" s="4" t="s">
        <v>29</v>
      </c>
      <c r="K66" s="30">
        <v>40.876348333300001</v>
      </c>
      <c r="L66" s="30">
        <v>71.981988333299995</v>
      </c>
      <c r="M66" s="14">
        <v>100</v>
      </c>
    </row>
    <row r="67" spans="1:13" ht="30" customHeight="1">
      <c r="A67" s="7" t="s">
        <v>13</v>
      </c>
      <c r="B67" s="30" t="s">
        <v>384</v>
      </c>
      <c r="C67" s="30" t="s">
        <v>110</v>
      </c>
      <c r="D67" s="27">
        <v>19334.450877624706</v>
      </c>
      <c r="E67" s="28">
        <v>16158.480419348833</v>
      </c>
      <c r="F67" s="27">
        <f t="shared" si="1"/>
        <v>3175.9704582758732</v>
      </c>
      <c r="G67" s="27">
        <f t="shared" ref="G67:G130" si="2">+F67*100/D67</f>
        <v>16.426483888152973</v>
      </c>
      <c r="H67" s="29">
        <v>79</v>
      </c>
      <c r="I67" s="29">
        <v>2</v>
      </c>
      <c r="J67" s="4" t="s">
        <v>29</v>
      </c>
      <c r="K67" s="30">
        <v>40.883031666699999</v>
      </c>
      <c r="L67" s="30">
        <v>71.961638333300002</v>
      </c>
      <c r="M67" s="14">
        <v>250</v>
      </c>
    </row>
    <row r="68" spans="1:13" ht="30" customHeight="1">
      <c r="A68" s="7" t="s">
        <v>13</v>
      </c>
      <c r="B68" s="30" t="s">
        <v>384</v>
      </c>
      <c r="C68" s="30" t="s">
        <v>119</v>
      </c>
      <c r="D68" s="27">
        <v>25844.902677624712</v>
      </c>
      <c r="E68" s="28">
        <v>21854.413752682165</v>
      </c>
      <c r="F68" s="27">
        <f t="shared" si="1"/>
        <v>3990.4889249425469</v>
      </c>
      <c r="G68" s="27">
        <f t="shared" si="2"/>
        <v>15.440139104866208</v>
      </c>
      <c r="H68" s="29">
        <v>82</v>
      </c>
      <c r="I68" s="29">
        <v>4</v>
      </c>
      <c r="J68" s="4" t="s">
        <v>28</v>
      </c>
      <c r="K68" s="30">
        <v>40.893335</v>
      </c>
      <c r="L68" s="30">
        <v>71.929253333299997</v>
      </c>
      <c r="M68" s="14">
        <v>160</v>
      </c>
    </row>
    <row r="69" spans="1:13" ht="30" customHeight="1">
      <c r="A69" s="7" t="s">
        <v>13</v>
      </c>
      <c r="B69" s="30" t="s">
        <v>384</v>
      </c>
      <c r="C69" s="30" t="s">
        <v>115</v>
      </c>
      <c r="D69" s="27">
        <v>22931.273757624709</v>
      </c>
      <c r="E69" s="28">
        <v>19305.307086015498</v>
      </c>
      <c r="F69" s="27">
        <f t="shared" ref="F69:F132" si="3">+D69-E69</f>
        <v>3625.9666716092106</v>
      </c>
      <c r="G69" s="27">
        <f t="shared" si="2"/>
        <v>15.812321242746346</v>
      </c>
      <c r="H69" s="29">
        <v>66</v>
      </c>
      <c r="I69" s="29">
        <v>0</v>
      </c>
      <c r="J69" s="4" t="s">
        <v>28</v>
      </c>
      <c r="K69" s="30">
        <v>40.891123333300001</v>
      </c>
      <c r="L69" s="30">
        <v>71.940986666699999</v>
      </c>
      <c r="M69" s="14">
        <v>100</v>
      </c>
    </row>
    <row r="70" spans="1:13" ht="30" customHeight="1">
      <c r="A70" s="7" t="s">
        <v>13</v>
      </c>
      <c r="B70" s="30" t="s">
        <v>384</v>
      </c>
      <c r="C70" s="30" t="s">
        <v>105</v>
      </c>
      <c r="D70" s="27">
        <v>18638.882037624706</v>
      </c>
      <c r="E70" s="28">
        <v>15549.933752682164</v>
      </c>
      <c r="F70" s="27">
        <f t="shared" si="3"/>
        <v>3088.9482849425422</v>
      </c>
      <c r="G70" s="27">
        <f t="shared" si="2"/>
        <v>16.572604937931086</v>
      </c>
      <c r="H70" s="29">
        <v>32</v>
      </c>
      <c r="I70" s="29">
        <v>2</v>
      </c>
      <c r="J70" s="6" t="s">
        <v>28</v>
      </c>
      <c r="K70" s="30">
        <v>40.880083115799998</v>
      </c>
      <c r="L70" s="30">
        <v>71.942641781600003</v>
      </c>
      <c r="M70" s="14">
        <v>250</v>
      </c>
    </row>
    <row r="71" spans="1:13" ht="30" customHeight="1">
      <c r="A71" s="7" t="s">
        <v>13</v>
      </c>
      <c r="B71" s="30" t="s">
        <v>384</v>
      </c>
      <c r="C71" s="30" t="s">
        <v>98</v>
      </c>
      <c r="D71" s="27">
        <v>20785.588437624705</v>
      </c>
      <c r="E71" s="28">
        <v>17428.067086015501</v>
      </c>
      <c r="F71" s="27">
        <f t="shared" si="3"/>
        <v>3357.5213516092044</v>
      </c>
      <c r="G71" s="27">
        <f t="shared" si="2"/>
        <v>16.153121484555328</v>
      </c>
      <c r="H71" s="29">
        <v>142</v>
      </c>
      <c r="I71" s="29">
        <v>2</v>
      </c>
      <c r="J71" s="6" t="s">
        <v>29</v>
      </c>
      <c r="K71" s="30">
        <v>40.874026666600002</v>
      </c>
      <c r="L71" s="30">
        <v>72.094549999700007</v>
      </c>
      <c r="M71" s="19">
        <v>100</v>
      </c>
    </row>
    <row r="72" spans="1:13" ht="30" customHeight="1">
      <c r="A72" s="5" t="s">
        <v>30</v>
      </c>
      <c r="B72" s="30" t="s">
        <v>386</v>
      </c>
      <c r="C72" s="30" t="s">
        <v>178</v>
      </c>
      <c r="D72" s="27">
        <v>20396.255967624707</v>
      </c>
      <c r="E72" s="28">
        <v>17087.443752682164</v>
      </c>
      <c r="F72" s="27">
        <f t="shared" si="3"/>
        <v>3308.8122149425435</v>
      </c>
      <c r="G72" s="27">
        <f t="shared" si="2"/>
        <v>16.222645078560852</v>
      </c>
      <c r="H72" s="29">
        <v>71</v>
      </c>
      <c r="I72" s="29">
        <v>2</v>
      </c>
      <c r="J72" s="6" t="s">
        <v>31</v>
      </c>
      <c r="K72" s="30">
        <v>40.875187246099998</v>
      </c>
      <c r="L72" s="30">
        <v>71.961364354899999</v>
      </c>
      <c r="M72" s="20">
        <v>60</v>
      </c>
    </row>
    <row r="73" spans="1:13" ht="30" customHeight="1">
      <c r="A73" s="5" t="s">
        <v>30</v>
      </c>
      <c r="B73" s="30" t="s">
        <v>384</v>
      </c>
      <c r="C73" s="30" t="s">
        <v>117</v>
      </c>
      <c r="D73" s="27">
        <v>18618.898587624706</v>
      </c>
      <c r="E73" s="28">
        <v>15532.450419348834</v>
      </c>
      <c r="F73" s="27">
        <f t="shared" si="3"/>
        <v>3086.4481682758724</v>
      </c>
      <c r="G73" s="27">
        <f t="shared" si="2"/>
        <v>16.576964280407655</v>
      </c>
      <c r="H73" s="29">
        <v>34</v>
      </c>
      <c r="I73" s="29">
        <v>0</v>
      </c>
      <c r="J73" s="3" t="s">
        <v>32</v>
      </c>
      <c r="K73" s="30">
        <v>40.876370000000001</v>
      </c>
      <c r="L73" s="30">
        <v>71.934290000000004</v>
      </c>
      <c r="M73" s="20">
        <v>100</v>
      </c>
    </row>
    <row r="74" spans="1:13" ht="30" customHeight="1">
      <c r="A74" s="5" t="s">
        <v>30</v>
      </c>
      <c r="B74" s="30" t="s">
        <v>387</v>
      </c>
      <c r="C74" s="30" t="s">
        <v>179</v>
      </c>
      <c r="D74" s="27">
        <v>15512.834187624705</v>
      </c>
      <c r="E74" s="28">
        <v>12814.983752682165</v>
      </c>
      <c r="F74" s="27">
        <f t="shared" si="3"/>
        <v>2697.8504349425402</v>
      </c>
      <c r="G74" s="27">
        <f t="shared" si="2"/>
        <v>17.391086646789137</v>
      </c>
      <c r="H74" s="29">
        <v>116</v>
      </c>
      <c r="I74" s="29">
        <v>2</v>
      </c>
      <c r="J74" s="3" t="s">
        <v>32</v>
      </c>
      <c r="K74" s="30">
        <v>40.871744999999997</v>
      </c>
      <c r="L74" s="30">
        <v>71.974869999999996</v>
      </c>
      <c r="M74" s="20">
        <v>160</v>
      </c>
    </row>
    <row r="75" spans="1:13" ht="30" customHeight="1">
      <c r="A75" s="5" t="s">
        <v>30</v>
      </c>
      <c r="B75" s="30" t="s">
        <v>387</v>
      </c>
      <c r="C75" s="30" t="s">
        <v>180</v>
      </c>
      <c r="D75" s="27">
        <v>15741.914247624705</v>
      </c>
      <c r="E75" s="28">
        <v>13015.403752682163</v>
      </c>
      <c r="F75" s="27">
        <f t="shared" si="3"/>
        <v>2726.5104949425422</v>
      </c>
      <c r="G75" s="27">
        <f t="shared" si="2"/>
        <v>17.320069542075831</v>
      </c>
      <c r="H75" s="29">
        <v>18</v>
      </c>
      <c r="I75" s="29">
        <v>0</v>
      </c>
      <c r="J75" s="3" t="s">
        <v>32</v>
      </c>
      <c r="K75" s="30">
        <v>40.876070782500001</v>
      </c>
      <c r="L75" s="30">
        <v>71.971403360400004</v>
      </c>
      <c r="M75" s="20">
        <v>250</v>
      </c>
    </row>
    <row r="76" spans="1:13" ht="30" customHeight="1">
      <c r="A76" s="5" t="s">
        <v>30</v>
      </c>
      <c r="B76" s="30" t="s">
        <v>387</v>
      </c>
      <c r="C76" s="30" t="s">
        <v>181</v>
      </c>
      <c r="D76" s="27">
        <v>21502.135137624711</v>
      </c>
      <c r="E76" s="28">
        <v>18054.967086015502</v>
      </c>
      <c r="F76" s="27">
        <f t="shared" si="3"/>
        <v>3447.1680516092092</v>
      </c>
      <c r="G76" s="27">
        <f t="shared" si="2"/>
        <v>16.03174768247694</v>
      </c>
      <c r="H76" s="29">
        <v>67</v>
      </c>
      <c r="I76" s="29">
        <v>0</v>
      </c>
      <c r="J76" s="3" t="s">
        <v>34</v>
      </c>
      <c r="K76" s="30">
        <v>40.882694999999998</v>
      </c>
      <c r="L76" s="30">
        <v>71.966549999999998</v>
      </c>
      <c r="M76" s="20">
        <v>250</v>
      </c>
    </row>
    <row r="77" spans="1:13" ht="30" customHeight="1">
      <c r="A77" s="5" t="s">
        <v>30</v>
      </c>
      <c r="B77" s="30" t="s">
        <v>384</v>
      </c>
      <c r="C77" s="30" t="s">
        <v>104</v>
      </c>
      <c r="D77" s="27">
        <v>19508.705037624703</v>
      </c>
      <c r="E77" s="28">
        <v>16310.933752682164</v>
      </c>
      <c r="F77" s="27">
        <f t="shared" si="3"/>
        <v>3197.7712849425388</v>
      </c>
      <c r="G77" s="27">
        <f t="shared" si="2"/>
        <v>16.391509732579802</v>
      </c>
      <c r="H77" s="29">
        <v>102</v>
      </c>
      <c r="I77" s="29">
        <v>0</v>
      </c>
      <c r="J77" s="3" t="s">
        <v>34</v>
      </c>
      <c r="K77" s="30">
        <v>40.881264999999999</v>
      </c>
      <c r="L77" s="30">
        <v>71.952876666700007</v>
      </c>
      <c r="M77" s="20">
        <v>160</v>
      </c>
    </row>
    <row r="78" spans="1:13" ht="30" customHeight="1">
      <c r="A78" s="5" t="s">
        <v>30</v>
      </c>
      <c r="B78" s="30" t="s">
        <v>387</v>
      </c>
      <c r="C78" s="30" t="s">
        <v>182</v>
      </c>
      <c r="D78" s="27">
        <v>25647.14843762471</v>
      </c>
      <c r="E78" s="28">
        <v>21681.400419348836</v>
      </c>
      <c r="F78" s="27">
        <f t="shared" si="3"/>
        <v>3965.7480182758736</v>
      </c>
      <c r="G78" s="27">
        <f t="shared" si="2"/>
        <v>15.462724941608199</v>
      </c>
      <c r="H78" s="29">
        <v>100</v>
      </c>
      <c r="I78" s="29">
        <v>0</v>
      </c>
      <c r="J78" s="3" t="s">
        <v>35</v>
      </c>
      <c r="K78" s="30">
        <v>40.879336666500002</v>
      </c>
      <c r="L78" s="30">
        <v>71.986581666700005</v>
      </c>
      <c r="M78" s="20">
        <v>100</v>
      </c>
    </row>
    <row r="79" spans="1:13" ht="30" customHeight="1">
      <c r="A79" s="5" t="s">
        <v>30</v>
      </c>
      <c r="B79" s="30" t="s">
        <v>387</v>
      </c>
      <c r="C79" s="30" t="s">
        <v>183</v>
      </c>
      <c r="D79" s="27">
        <v>37038.755067624712</v>
      </c>
      <c r="E79" s="28">
        <v>31647.810419348833</v>
      </c>
      <c r="F79" s="27">
        <f t="shared" si="3"/>
        <v>5390.9446482758794</v>
      </c>
      <c r="G79" s="27">
        <f t="shared" si="2"/>
        <v>14.554875395874367</v>
      </c>
      <c r="H79" s="29">
        <v>111</v>
      </c>
      <c r="I79" s="29">
        <v>4</v>
      </c>
      <c r="J79" s="3" t="s">
        <v>36</v>
      </c>
      <c r="K79" s="30">
        <v>40.874789999999997</v>
      </c>
      <c r="L79" s="30">
        <v>71.973321666700002</v>
      </c>
      <c r="M79" s="20">
        <v>160</v>
      </c>
    </row>
    <row r="80" spans="1:13" ht="30" customHeight="1">
      <c r="A80" s="5" t="s">
        <v>30</v>
      </c>
      <c r="B80" s="30" t="s">
        <v>387</v>
      </c>
      <c r="C80" s="30" t="s">
        <v>184</v>
      </c>
      <c r="D80" s="27">
        <v>17092.730697624702</v>
      </c>
      <c r="E80" s="28">
        <v>14197.220419348831</v>
      </c>
      <c r="F80" s="27">
        <f t="shared" si="3"/>
        <v>2895.5102782758713</v>
      </c>
      <c r="G80" s="27">
        <f t="shared" si="2"/>
        <v>16.940009934622367</v>
      </c>
      <c r="H80" s="29">
        <v>61</v>
      </c>
      <c r="I80" s="29">
        <v>2</v>
      </c>
      <c r="J80" s="3" t="s">
        <v>37</v>
      </c>
      <c r="K80" s="30">
        <v>40.870626666699998</v>
      </c>
      <c r="L80" s="30">
        <v>72.030681666700005</v>
      </c>
      <c r="M80" s="20">
        <v>160</v>
      </c>
    </row>
    <row r="81" spans="1:13" ht="30" customHeight="1">
      <c r="A81" s="5" t="s">
        <v>30</v>
      </c>
      <c r="B81" s="30" t="s">
        <v>387</v>
      </c>
      <c r="C81" s="30" t="s">
        <v>185</v>
      </c>
      <c r="D81" s="27">
        <v>18369.324537624703</v>
      </c>
      <c r="E81" s="28">
        <v>15314.100419348832</v>
      </c>
      <c r="F81" s="27">
        <f t="shared" si="3"/>
        <v>3055.2241182758717</v>
      </c>
      <c r="G81" s="27">
        <f t="shared" si="2"/>
        <v>16.632207199660787</v>
      </c>
      <c r="H81" s="29">
        <v>99</v>
      </c>
      <c r="I81" s="29">
        <v>2</v>
      </c>
      <c r="J81" s="3" t="s">
        <v>38</v>
      </c>
      <c r="K81" s="30">
        <v>40.885669999999998</v>
      </c>
      <c r="L81" s="30">
        <v>71.975136666699996</v>
      </c>
      <c r="M81" s="20">
        <v>160</v>
      </c>
    </row>
    <row r="82" spans="1:13" ht="30" customHeight="1">
      <c r="A82" s="7" t="s">
        <v>13</v>
      </c>
      <c r="B82" s="30" t="s">
        <v>387</v>
      </c>
      <c r="C82" s="30" t="s">
        <v>186</v>
      </c>
      <c r="D82" s="27">
        <v>16490.190627624699</v>
      </c>
      <c r="E82" s="28">
        <v>13670.063752682163</v>
      </c>
      <c r="F82" s="27">
        <f t="shared" si="3"/>
        <v>2820.1268749425362</v>
      </c>
      <c r="G82" s="27">
        <f t="shared" si="2"/>
        <v>17.1018452037674</v>
      </c>
      <c r="H82" s="29">
        <v>83</v>
      </c>
      <c r="I82" s="29">
        <v>4</v>
      </c>
      <c r="J82" s="3" t="s">
        <v>23</v>
      </c>
      <c r="K82" s="30">
        <v>40.875881666700003</v>
      </c>
      <c r="L82" s="30">
        <v>71.976506666700004</v>
      </c>
      <c r="M82" s="20">
        <v>63</v>
      </c>
    </row>
    <row r="83" spans="1:13" ht="30" customHeight="1">
      <c r="A83" s="5" t="s">
        <v>30</v>
      </c>
      <c r="B83" s="30" t="s">
        <v>389</v>
      </c>
      <c r="C83" s="30" t="s">
        <v>187</v>
      </c>
      <c r="D83" s="27">
        <v>21831.00671762471</v>
      </c>
      <c r="E83" s="28">
        <v>18342.693752682164</v>
      </c>
      <c r="F83" s="27">
        <f t="shared" si="3"/>
        <v>3488.3129649425464</v>
      </c>
      <c r="G83" s="27">
        <f t="shared" si="2"/>
        <v>15.978708678268807</v>
      </c>
      <c r="H83" s="29">
        <v>159</v>
      </c>
      <c r="I83" s="29">
        <v>2</v>
      </c>
      <c r="J83" s="3" t="s">
        <v>39</v>
      </c>
      <c r="K83" s="30">
        <v>40.876424999999998</v>
      </c>
      <c r="L83" s="30">
        <v>72.024273333300002</v>
      </c>
      <c r="M83" s="20">
        <v>100</v>
      </c>
    </row>
    <row r="84" spans="1:13" ht="30" customHeight="1">
      <c r="A84" s="7" t="s">
        <v>13</v>
      </c>
      <c r="B84" s="30" t="s">
        <v>387</v>
      </c>
      <c r="C84" s="30" t="s">
        <v>188</v>
      </c>
      <c r="D84" s="27">
        <v>17310.575067624701</v>
      </c>
      <c r="E84" s="28">
        <v>14387.810419348831</v>
      </c>
      <c r="F84" s="27">
        <f t="shared" si="3"/>
        <v>2922.7646482758701</v>
      </c>
      <c r="G84" s="27">
        <f t="shared" si="2"/>
        <v>16.884272399142901</v>
      </c>
      <c r="H84" s="29">
        <v>174</v>
      </c>
      <c r="I84" s="29">
        <v>2</v>
      </c>
      <c r="J84" s="3"/>
      <c r="K84" s="30">
        <v>40.870156999999999</v>
      </c>
      <c r="L84" s="30">
        <v>71.971063000000001</v>
      </c>
      <c r="M84" s="20">
        <v>100</v>
      </c>
    </row>
    <row r="85" spans="1:13" ht="30" customHeight="1">
      <c r="A85" s="7" t="s">
        <v>13</v>
      </c>
      <c r="B85" s="30" t="s">
        <v>388</v>
      </c>
      <c r="C85" s="30" t="s">
        <v>189</v>
      </c>
      <c r="D85" s="27">
        <v>18833.363487624705</v>
      </c>
      <c r="E85" s="28">
        <v>15720.083752682165</v>
      </c>
      <c r="F85" s="27">
        <f t="shared" si="3"/>
        <v>3113.27973494254</v>
      </c>
      <c r="G85" s="27">
        <f t="shared" si="2"/>
        <v>16.530662390646569</v>
      </c>
      <c r="H85" s="29">
        <v>80</v>
      </c>
      <c r="I85" s="29">
        <v>2</v>
      </c>
      <c r="J85" s="3"/>
      <c r="K85" s="30">
        <v>40.8745966667</v>
      </c>
      <c r="L85" s="30">
        <v>71.988754999999998</v>
      </c>
      <c r="M85" s="20">
        <v>160</v>
      </c>
    </row>
    <row r="86" spans="1:13" ht="30" customHeight="1">
      <c r="A86" s="7" t="s">
        <v>13</v>
      </c>
      <c r="B86" s="30" t="s">
        <v>389</v>
      </c>
      <c r="C86" s="30" t="s">
        <v>190</v>
      </c>
      <c r="D86" s="27">
        <v>17801.257347624702</v>
      </c>
      <c r="E86" s="28">
        <v>14817.103752682166</v>
      </c>
      <c r="F86" s="27">
        <f t="shared" si="3"/>
        <v>2984.1535949425361</v>
      </c>
      <c r="G86" s="27">
        <f t="shared" si="2"/>
        <v>16.763723689106289</v>
      </c>
      <c r="H86" s="29">
        <v>62</v>
      </c>
      <c r="I86" s="29">
        <v>2</v>
      </c>
      <c r="J86" s="4"/>
      <c r="K86" s="30">
        <v>40.878901666700003</v>
      </c>
      <c r="L86" s="30">
        <v>72.031078333300002</v>
      </c>
      <c r="M86" s="20">
        <v>250</v>
      </c>
    </row>
    <row r="87" spans="1:13" ht="30" customHeight="1">
      <c r="A87" s="7" t="s">
        <v>13</v>
      </c>
      <c r="B87" s="30" t="s">
        <v>389</v>
      </c>
      <c r="C87" s="30" t="s">
        <v>191</v>
      </c>
      <c r="D87" s="27">
        <v>16417.061487624702</v>
      </c>
      <c r="E87" s="28">
        <v>13606.083752682163</v>
      </c>
      <c r="F87" s="27">
        <f t="shared" si="3"/>
        <v>2810.9777349425385</v>
      </c>
      <c r="G87" s="27">
        <f t="shared" si="2"/>
        <v>17.122295223548221</v>
      </c>
      <c r="H87" s="29">
        <v>41</v>
      </c>
      <c r="I87" s="29">
        <v>0</v>
      </c>
      <c r="J87" s="4"/>
      <c r="K87" s="30">
        <v>40.877465000000001</v>
      </c>
      <c r="L87" s="30">
        <v>72.08811</v>
      </c>
      <c r="M87" s="20">
        <v>100</v>
      </c>
    </row>
    <row r="88" spans="1:13" ht="30" customHeight="1">
      <c r="A88" s="7" t="s">
        <v>13</v>
      </c>
      <c r="B88" s="30" t="s">
        <v>389</v>
      </c>
      <c r="C88" s="30" t="s">
        <v>192</v>
      </c>
      <c r="D88" s="27">
        <v>18073.196097624703</v>
      </c>
      <c r="E88" s="28">
        <v>15055.02041934883</v>
      </c>
      <c r="F88" s="27">
        <f t="shared" si="3"/>
        <v>3018.175678275873</v>
      </c>
      <c r="G88" s="27">
        <f t="shared" si="2"/>
        <v>16.69973402586243</v>
      </c>
      <c r="H88" s="29">
        <v>97</v>
      </c>
      <c r="I88" s="29">
        <v>2</v>
      </c>
      <c r="J88" s="4"/>
      <c r="K88" s="30">
        <v>40.875194999999998</v>
      </c>
      <c r="L88" s="30">
        <v>72.038955000000001</v>
      </c>
      <c r="M88" s="20">
        <v>100</v>
      </c>
    </row>
    <row r="89" spans="1:13" ht="30" customHeight="1">
      <c r="A89" s="7" t="s">
        <v>13</v>
      </c>
      <c r="B89" s="30" t="s">
        <v>389</v>
      </c>
      <c r="C89" s="30" t="s">
        <v>193</v>
      </c>
      <c r="D89" s="27">
        <v>15159.441447624702</v>
      </c>
      <c r="E89" s="28">
        <v>12505.803752682164</v>
      </c>
      <c r="F89" s="27">
        <f t="shared" si="3"/>
        <v>2653.6376949425376</v>
      </c>
      <c r="G89" s="27">
        <f t="shared" si="2"/>
        <v>17.504851376686638</v>
      </c>
      <c r="H89" s="29">
        <v>79</v>
      </c>
      <c r="I89" s="29">
        <v>0</v>
      </c>
      <c r="J89" s="4" t="s">
        <v>14</v>
      </c>
      <c r="K89" s="30">
        <v>40.879893333299997</v>
      </c>
      <c r="L89" s="30">
        <v>72.067336666700001</v>
      </c>
      <c r="M89" s="20">
        <v>250</v>
      </c>
    </row>
    <row r="90" spans="1:13" ht="30" customHeight="1">
      <c r="A90" s="7" t="s">
        <v>13</v>
      </c>
      <c r="B90" s="30" t="s">
        <v>389</v>
      </c>
      <c r="C90" s="30" t="s">
        <v>194</v>
      </c>
      <c r="D90" s="27">
        <v>22050.043617624709</v>
      </c>
      <c r="E90" s="28">
        <v>18534.327086015503</v>
      </c>
      <c r="F90" s="27">
        <f t="shared" si="3"/>
        <v>3515.7165316092069</v>
      </c>
      <c r="G90" s="27">
        <f t="shared" si="2"/>
        <v>15.944261120640494</v>
      </c>
      <c r="H90" s="29">
        <v>85</v>
      </c>
      <c r="I90" s="29">
        <v>0</v>
      </c>
      <c r="J90" s="4" t="s">
        <v>24</v>
      </c>
      <c r="K90" s="30">
        <v>40.878976666699998</v>
      </c>
      <c r="L90" s="30">
        <v>72.029004999999998</v>
      </c>
      <c r="M90" s="14">
        <v>250</v>
      </c>
    </row>
    <row r="91" spans="1:13" ht="30" customHeight="1">
      <c r="A91" s="7" t="s">
        <v>13</v>
      </c>
      <c r="B91" s="30" t="s">
        <v>384</v>
      </c>
      <c r="C91" s="30" t="s">
        <v>121</v>
      </c>
      <c r="D91" s="27">
        <v>20977.757217624705</v>
      </c>
      <c r="E91" s="28">
        <v>17596.193752682164</v>
      </c>
      <c r="F91" s="27">
        <f t="shared" si="3"/>
        <v>3381.563464942541</v>
      </c>
      <c r="G91" s="27">
        <f t="shared" si="2"/>
        <v>16.119756892321554</v>
      </c>
      <c r="H91" s="29">
        <v>131</v>
      </c>
      <c r="I91" s="29">
        <v>2</v>
      </c>
      <c r="J91" s="4" t="s">
        <v>23</v>
      </c>
      <c r="K91" s="30">
        <v>40.881158094900002</v>
      </c>
      <c r="L91" s="30">
        <v>71.960061555699994</v>
      </c>
      <c r="M91" s="14">
        <v>250</v>
      </c>
    </row>
    <row r="92" spans="1:13" ht="30" customHeight="1">
      <c r="A92" s="7" t="s">
        <v>13</v>
      </c>
      <c r="B92" s="30" t="s">
        <v>388</v>
      </c>
      <c r="C92" s="30" t="s">
        <v>195</v>
      </c>
      <c r="D92" s="27">
        <v>20496.272277624703</v>
      </c>
      <c r="E92" s="28">
        <v>17174.947086015498</v>
      </c>
      <c r="F92" s="27">
        <f t="shared" si="3"/>
        <v>3321.3251916092049</v>
      </c>
      <c r="G92" s="27">
        <f t="shared" si="2"/>
        <v>16.20453293467914</v>
      </c>
      <c r="H92" s="29">
        <v>100</v>
      </c>
      <c r="I92" s="29">
        <v>2</v>
      </c>
      <c r="J92" s="4" t="s">
        <v>40</v>
      </c>
      <c r="K92" s="30">
        <v>40.880791666699999</v>
      </c>
      <c r="L92" s="30">
        <v>72.024038333299998</v>
      </c>
      <c r="M92" s="14">
        <v>160</v>
      </c>
    </row>
    <row r="93" spans="1:13" ht="30" customHeight="1">
      <c r="A93" s="7" t="s">
        <v>13</v>
      </c>
      <c r="B93" s="30" t="s">
        <v>389</v>
      </c>
      <c r="C93" s="30" t="s">
        <v>196</v>
      </c>
      <c r="D93" s="27">
        <v>21126.057657624711</v>
      </c>
      <c r="E93" s="28">
        <v>17725.940419348837</v>
      </c>
      <c r="F93" s="27">
        <f t="shared" si="3"/>
        <v>3400.1172382758741</v>
      </c>
      <c r="G93" s="27">
        <f t="shared" si="2"/>
        <v>16.094423736691457</v>
      </c>
      <c r="H93" s="29">
        <v>101</v>
      </c>
      <c r="I93" s="29">
        <v>2</v>
      </c>
      <c r="J93" s="4" t="s">
        <v>23</v>
      </c>
      <c r="K93" s="30">
        <v>40.880018333300001</v>
      </c>
      <c r="L93" s="30">
        <v>72.078343333299998</v>
      </c>
      <c r="M93" s="14">
        <v>100</v>
      </c>
    </row>
    <row r="94" spans="1:13" ht="30" customHeight="1">
      <c r="A94" s="7" t="s">
        <v>13</v>
      </c>
      <c r="B94" s="30" t="s">
        <v>387</v>
      </c>
      <c r="C94" s="30" t="s">
        <v>197</v>
      </c>
      <c r="D94" s="27">
        <v>25511.108577624713</v>
      </c>
      <c r="E94" s="28">
        <v>21562.380419348832</v>
      </c>
      <c r="F94" s="27">
        <f t="shared" si="3"/>
        <v>3948.7281582758806</v>
      </c>
      <c r="G94" s="27">
        <f t="shared" si="2"/>
        <v>15.478465572206579</v>
      </c>
      <c r="H94" s="29">
        <v>156</v>
      </c>
      <c r="I94" s="29">
        <v>2</v>
      </c>
      <c r="J94" s="3" t="s">
        <v>14</v>
      </c>
      <c r="K94" s="30">
        <v>40.878603333299999</v>
      </c>
      <c r="L94" s="30">
        <v>71.966620000000006</v>
      </c>
      <c r="M94" s="14">
        <v>100</v>
      </c>
    </row>
    <row r="95" spans="1:13" ht="30" customHeight="1">
      <c r="A95" s="7" t="s">
        <v>13</v>
      </c>
      <c r="B95" s="30" t="s">
        <v>390</v>
      </c>
      <c r="C95" s="30" t="s">
        <v>198</v>
      </c>
      <c r="D95" s="27">
        <v>17921.832417624701</v>
      </c>
      <c r="E95" s="28">
        <v>14922.593752682164</v>
      </c>
      <c r="F95" s="27">
        <f t="shared" si="3"/>
        <v>2999.2386649425371</v>
      </c>
      <c r="G95" s="27">
        <f t="shared" si="2"/>
        <v>16.735111650709463</v>
      </c>
      <c r="H95" s="29">
        <v>103</v>
      </c>
      <c r="I95" s="29">
        <v>2</v>
      </c>
      <c r="J95" s="5" t="s">
        <v>40</v>
      </c>
      <c r="K95" s="30">
        <v>40.858133333300003</v>
      </c>
      <c r="L95" s="30">
        <v>72.060698333299996</v>
      </c>
      <c r="M95" s="14">
        <v>100</v>
      </c>
    </row>
    <row r="96" spans="1:13" ht="30" customHeight="1">
      <c r="A96" s="7" t="s">
        <v>13</v>
      </c>
      <c r="B96" s="30" t="s">
        <v>389</v>
      </c>
      <c r="C96" s="30" t="s">
        <v>199</v>
      </c>
      <c r="D96" s="27">
        <v>15602.193927624705</v>
      </c>
      <c r="E96" s="28">
        <v>12893.163752682165</v>
      </c>
      <c r="F96" s="27">
        <f t="shared" si="3"/>
        <v>2709.0301749425398</v>
      </c>
      <c r="G96" s="27">
        <f t="shared" si="2"/>
        <v>17.363136155781429</v>
      </c>
      <c r="H96" s="29">
        <v>70</v>
      </c>
      <c r="I96" s="29">
        <v>2</v>
      </c>
      <c r="J96" s="5" t="s">
        <v>40</v>
      </c>
      <c r="K96" s="30">
        <v>40.879048333299998</v>
      </c>
      <c r="L96" s="30">
        <v>72.052588333299994</v>
      </c>
      <c r="M96" s="14">
        <v>100</v>
      </c>
    </row>
    <row r="97" spans="1:13" ht="30" customHeight="1">
      <c r="A97" s="7" t="s">
        <v>13</v>
      </c>
      <c r="B97" s="30" t="s">
        <v>388</v>
      </c>
      <c r="C97" s="30" t="s">
        <v>200</v>
      </c>
      <c r="D97" s="27">
        <v>18403.6907376247</v>
      </c>
      <c r="E97" s="28">
        <v>15344.167086015497</v>
      </c>
      <c r="F97" s="27">
        <f t="shared" si="3"/>
        <v>3059.5236516092027</v>
      </c>
      <c r="G97" s="27">
        <f t="shared" si="2"/>
        <v>16.624511328884047</v>
      </c>
      <c r="H97" s="29">
        <v>64</v>
      </c>
      <c r="I97" s="29">
        <v>0</v>
      </c>
      <c r="J97" s="5"/>
      <c r="K97" s="30">
        <v>40.877659999999999</v>
      </c>
      <c r="L97" s="30">
        <v>72.015798333299998</v>
      </c>
      <c r="M97" s="14">
        <v>160</v>
      </c>
    </row>
    <row r="98" spans="1:13" ht="30" customHeight="1">
      <c r="A98" s="7" t="s">
        <v>13</v>
      </c>
      <c r="B98" s="30" t="s">
        <v>389</v>
      </c>
      <c r="C98" s="30" t="s">
        <v>201</v>
      </c>
      <c r="D98" s="27">
        <v>13909.029927624708</v>
      </c>
      <c r="E98" s="28">
        <v>11411.830419348829</v>
      </c>
      <c r="F98" s="27">
        <f t="shared" si="3"/>
        <v>2497.1995082758785</v>
      </c>
      <c r="G98" s="27">
        <f t="shared" si="2"/>
        <v>17.953800669564984</v>
      </c>
      <c r="H98" s="29">
        <v>22</v>
      </c>
      <c r="I98" s="29">
        <v>0</v>
      </c>
      <c r="J98" s="5" t="s">
        <v>14</v>
      </c>
      <c r="K98" s="30">
        <v>40.877465000000001</v>
      </c>
      <c r="L98" s="30">
        <v>72.08811</v>
      </c>
      <c r="M98" s="14">
        <v>160</v>
      </c>
    </row>
    <row r="99" spans="1:13" ht="30" customHeight="1">
      <c r="A99" s="7" t="s">
        <v>13</v>
      </c>
      <c r="B99" s="30" t="s">
        <v>389</v>
      </c>
      <c r="C99" s="30" t="s">
        <v>202</v>
      </c>
      <c r="D99" s="27">
        <v>18341.949687624703</v>
      </c>
      <c r="E99" s="28">
        <v>15290.150419348831</v>
      </c>
      <c r="F99" s="27">
        <f t="shared" si="3"/>
        <v>3051.7992682758722</v>
      </c>
      <c r="G99" s="27">
        <f t="shared" si="2"/>
        <v>16.638358082155893</v>
      </c>
      <c r="H99" s="29">
        <v>83</v>
      </c>
      <c r="I99" s="29">
        <v>2</v>
      </c>
      <c r="J99" s="5" t="s">
        <v>23</v>
      </c>
      <c r="K99" s="30">
        <v>40.875548333300003</v>
      </c>
      <c r="L99" s="30">
        <v>72.079404999999994</v>
      </c>
      <c r="M99" s="19">
        <v>160</v>
      </c>
    </row>
    <row r="100" spans="1:13" ht="30" customHeight="1">
      <c r="A100" s="7" t="s">
        <v>13</v>
      </c>
      <c r="B100" s="30" t="s">
        <v>389</v>
      </c>
      <c r="C100" s="30" t="s">
        <v>203</v>
      </c>
      <c r="D100" s="27">
        <v>15632.414847624705</v>
      </c>
      <c r="E100" s="28">
        <v>12919.603752682164</v>
      </c>
      <c r="F100" s="27">
        <f t="shared" si="3"/>
        <v>2712.8110949425409</v>
      </c>
      <c r="G100" s="27">
        <f t="shared" si="2"/>
        <v>17.35375577852416</v>
      </c>
      <c r="H100" s="29">
        <v>47</v>
      </c>
      <c r="I100" s="29">
        <v>2</v>
      </c>
      <c r="J100" s="12" t="s">
        <v>15</v>
      </c>
      <c r="K100" s="30">
        <v>40.883151666700002</v>
      </c>
      <c r="L100" s="30">
        <v>72.085181666699995</v>
      </c>
      <c r="M100" s="20">
        <v>63</v>
      </c>
    </row>
    <row r="101" spans="1:13" ht="30" customHeight="1">
      <c r="A101" s="7" t="s">
        <v>13</v>
      </c>
      <c r="B101" s="30" t="s">
        <v>390</v>
      </c>
      <c r="C101" s="30" t="s">
        <v>204</v>
      </c>
      <c r="D101" s="27">
        <v>17281.901007624703</v>
      </c>
      <c r="E101" s="28">
        <v>14362.723752682165</v>
      </c>
      <c r="F101" s="27">
        <f t="shared" si="3"/>
        <v>2919.1772549425386</v>
      </c>
      <c r="G101" s="27">
        <f t="shared" si="2"/>
        <v>16.891528620923182</v>
      </c>
      <c r="H101" s="29">
        <v>74</v>
      </c>
      <c r="I101" s="29">
        <v>2</v>
      </c>
      <c r="J101" s="12" t="s">
        <v>17</v>
      </c>
      <c r="K101" s="30">
        <v>40.858853333299997</v>
      </c>
      <c r="L101" s="30">
        <v>72.0770083333</v>
      </c>
      <c r="M101" s="20">
        <v>400</v>
      </c>
    </row>
    <row r="102" spans="1:13" ht="30" customHeight="1">
      <c r="A102" s="7" t="s">
        <v>13</v>
      </c>
      <c r="B102" s="30" t="s">
        <v>390</v>
      </c>
      <c r="C102" s="30" t="s">
        <v>205</v>
      </c>
      <c r="D102" s="27">
        <v>13640.596377624706</v>
      </c>
      <c r="E102" s="28">
        <v>11176.980419348831</v>
      </c>
      <c r="F102" s="27">
        <f t="shared" si="3"/>
        <v>2463.6159582758755</v>
      </c>
      <c r="G102" s="27">
        <f t="shared" si="2"/>
        <v>18.060910902085318</v>
      </c>
      <c r="H102" s="29">
        <v>17</v>
      </c>
      <c r="I102" s="29">
        <v>0</v>
      </c>
      <c r="J102" s="12" t="s">
        <v>17</v>
      </c>
      <c r="K102" s="30">
        <v>40.874026666600002</v>
      </c>
      <c r="L102" s="30">
        <v>72.094549999700007</v>
      </c>
      <c r="M102" s="20">
        <v>320</v>
      </c>
    </row>
    <row r="103" spans="1:13" ht="30" customHeight="1">
      <c r="A103" s="7" t="s">
        <v>13</v>
      </c>
      <c r="B103" s="30" t="s">
        <v>387</v>
      </c>
      <c r="C103" s="30" t="s">
        <v>206</v>
      </c>
      <c r="D103" s="27">
        <v>24506.464917624711</v>
      </c>
      <c r="E103" s="28">
        <v>20683.427086015501</v>
      </c>
      <c r="F103" s="27">
        <f t="shared" si="3"/>
        <v>3823.0378316092101</v>
      </c>
      <c r="G103" s="27">
        <f t="shared" si="2"/>
        <v>15.60011957848614</v>
      </c>
      <c r="H103" s="29">
        <v>156</v>
      </c>
      <c r="I103" s="29">
        <v>4</v>
      </c>
      <c r="J103" s="12" t="s">
        <v>17</v>
      </c>
      <c r="K103" s="30">
        <v>40.876869999999997</v>
      </c>
      <c r="L103" s="30">
        <v>71.973841666699997</v>
      </c>
      <c r="M103" s="20">
        <v>160</v>
      </c>
    </row>
    <row r="104" spans="1:13" ht="30" customHeight="1">
      <c r="A104" s="7" t="s">
        <v>13</v>
      </c>
      <c r="B104" s="30" t="s">
        <v>391</v>
      </c>
      <c r="C104" s="30" t="s">
        <v>207</v>
      </c>
      <c r="D104" s="27">
        <v>17744.6407476247</v>
      </c>
      <c r="E104" s="28">
        <v>14767.570419348833</v>
      </c>
      <c r="F104" s="27">
        <f t="shared" si="3"/>
        <v>2977.0703282758677</v>
      </c>
      <c r="G104" s="27">
        <f t="shared" si="2"/>
        <v>16.777292764714769</v>
      </c>
      <c r="H104" s="29">
        <v>70</v>
      </c>
      <c r="I104" s="29">
        <v>0</v>
      </c>
      <c r="J104" s="12" t="s">
        <v>17</v>
      </c>
      <c r="K104" s="30">
        <v>40.849305000000001</v>
      </c>
      <c r="L104" s="30">
        <v>72.038023333300004</v>
      </c>
      <c r="M104" s="20">
        <v>100</v>
      </c>
    </row>
    <row r="105" spans="1:13" ht="30" customHeight="1">
      <c r="A105" s="7" t="s">
        <v>13</v>
      </c>
      <c r="B105" s="30" t="s">
        <v>391</v>
      </c>
      <c r="C105" s="30" t="s">
        <v>208</v>
      </c>
      <c r="D105" s="27">
        <v>21021.800817624709</v>
      </c>
      <c r="E105" s="28">
        <v>17634.727086015497</v>
      </c>
      <c r="F105" s="27">
        <f t="shared" si="3"/>
        <v>3387.0737316092127</v>
      </c>
      <c r="G105" s="27">
        <f t="shared" si="2"/>
        <v>16.112195910302248</v>
      </c>
      <c r="H105" s="29">
        <v>118</v>
      </c>
      <c r="I105" s="29">
        <v>9</v>
      </c>
      <c r="J105" s="12" t="s">
        <v>17</v>
      </c>
      <c r="K105" s="30">
        <v>40.848043333299998</v>
      </c>
      <c r="L105" s="30">
        <v>72.060901666700005</v>
      </c>
      <c r="M105" s="20">
        <v>160</v>
      </c>
    </row>
    <row r="106" spans="1:13" ht="30" customHeight="1">
      <c r="A106" s="7" t="s">
        <v>13</v>
      </c>
      <c r="B106" s="30" t="s">
        <v>387</v>
      </c>
      <c r="C106" s="30" t="s">
        <v>209</v>
      </c>
      <c r="D106" s="27">
        <v>23118.63431762471</v>
      </c>
      <c r="E106" s="28">
        <v>19469.227086015497</v>
      </c>
      <c r="F106" s="27">
        <f t="shared" si="3"/>
        <v>3649.4072316092133</v>
      </c>
      <c r="G106" s="27">
        <f t="shared" si="2"/>
        <v>15.785565797141631</v>
      </c>
      <c r="H106" s="29">
        <v>99</v>
      </c>
      <c r="I106" s="29">
        <v>0</v>
      </c>
      <c r="J106" s="12" t="s">
        <v>17</v>
      </c>
      <c r="K106" s="30">
        <v>40.8855233333</v>
      </c>
      <c r="L106" s="30">
        <v>71.964566666699994</v>
      </c>
      <c r="M106" s="20">
        <v>400</v>
      </c>
    </row>
    <row r="107" spans="1:13" ht="30" customHeight="1">
      <c r="A107" s="7" t="s">
        <v>13</v>
      </c>
      <c r="B107" s="30" t="s">
        <v>390</v>
      </c>
      <c r="C107" s="30" t="s">
        <v>210</v>
      </c>
      <c r="D107" s="27">
        <v>16708.442667624706</v>
      </c>
      <c r="E107" s="28">
        <v>13861.01041934883</v>
      </c>
      <c r="F107" s="27">
        <f t="shared" si="3"/>
        <v>2847.4322482758762</v>
      </c>
      <c r="G107" s="27">
        <f t="shared" si="2"/>
        <v>17.041877001458872</v>
      </c>
      <c r="H107" s="29">
        <v>122</v>
      </c>
      <c r="I107" s="29">
        <v>2</v>
      </c>
      <c r="J107" s="12" t="s">
        <v>19</v>
      </c>
      <c r="K107" s="30">
        <v>40.867975000000001</v>
      </c>
      <c r="L107" s="30">
        <v>72.100838333300004</v>
      </c>
      <c r="M107" s="20">
        <v>160</v>
      </c>
    </row>
    <row r="108" spans="1:13" ht="30" customHeight="1">
      <c r="A108" s="7" t="s">
        <v>13</v>
      </c>
      <c r="B108" s="30" t="s">
        <v>390</v>
      </c>
      <c r="C108" s="30" t="s">
        <v>211</v>
      </c>
      <c r="D108" s="27">
        <v>18577.377207624701</v>
      </c>
      <c r="E108" s="28">
        <v>15496.123752682166</v>
      </c>
      <c r="F108" s="27">
        <f t="shared" si="3"/>
        <v>3081.2534549425345</v>
      </c>
      <c r="G108" s="27">
        <f t="shared" si="2"/>
        <v>16.58605205947962</v>
      </c>
      <c r="H108" s="29">
        <v>84</v>
      </c>
      <c r="I108" s="29">
        <v>2</v>
      </c>
      <c r="J108" s="12" t="s">
        <v>21</v>
      </c>
      <c r="K108" s="30">
        <v>40.872354999999999</v>
      </c>
      <c r="L108" s="30">
        <v>72.101595000000003</v>
      </c>
      <c r="M108" s="20">
        <v>100</v>
      </c>
    </row>
    <row r="109" spans="1:13" ht="30" customHeight="1">
      <c r="A109" s="7" t="s">
        <v>13</v>
      </c>
      <c r="B109" s="30" t="s">
        <v>390</v>
      </c>
      <c r="C109" s="30" t="s">
        <v>212</v>
      </c>
      <c r="D109" s="27">
        <v>16152.529377624704</v>
      </c>
      <c r="E109" s="28">
        <v>13374.647086015499</v>
      </c>
      <c r="F109" s="27">
        <f t="shared" si="3"/>
        <v>2777.8822916092049</v>
      </c>
      <c r="G109" s="27">
        <f t="shared" si="2"/>
        <v>17.197816061286769</v>
      </c>
      <c r="H109" s="29">
        <v>123</v>
      </c>
      <c r="I109" s="29">
        <v>2</v>
      </c>
      <c r="J109" s="12" t="s">
        <v>21</v>
      </c>
      <c r="K109" s="30">
        <v>40.874026666600002</v>
      </c>
      <c r="L109" s="30">
        <v>72.094549999700007</v>
      </c>
      <c r="M109" s="20">
        <v>100</v>
      </c>
    </row>
    <row r="110" spans="1:13" ht="30" customHeight="1">
      <c r="A110" s="7" t="s">
        <v>13</v>
      </c>
      <c r="B110" s="30" t="s">
        <v>387</v>
      </c>
      <c r="C110" s="30" t="s">
        <v>213</v>
      </c>
      <c r="D110" s="27">
        <v>16507.000347624704</v>
      </c>
      <c r="E110" s="28">
        <v>13684.770419348832</v>
      </c>
      <c r="F110" s="27">
        <f t="shared" si="3"/>
        <v>2822.2299282758722</v>
      </c>
      <c r="G110" s="27">
        <f t="shared" si="2"/>
        <v>17.09717010263455</v>
      </c>
      <c r="H110" s="29">
        <v>34</v>
      </c>
      <c r="I110" s="29">
        <v>0</v>
      </c>
      <c r="J110" s="12" t="s">
        <v>21</v>
      </c>
      <c r="K110" s="30">
        <v>40.887851666700001</v>
      </c>
      <c r="L110" s="30">
        <v>71.969193333299998</v>
      </c>
      <c r="M110" s="20">
        <v>160</v>
      </c>
    </row>
    <row r="111" spans="1:13" ht="30" customHeight="1">
      <c r="A111" s="5" t="s">
        <v>30</v>
      </c>
      <c r="B111" s="30" t="s">
        <v>389</v>
      </c>
      <c r="C111" s="30" t="s">
        <v>214</v>
      </c>
      <c r="D111" s="27">
        <v>20188.641447624705</v>
      </c>
      <c r="E111" s="28">
        <v>16905.803752682164</v>
      </c>
      <c r="F111" s="27">
        <f t="shared" si="3"/>
        <v>3282.8376949425401</v>
      </c>
      <c r="G111" s="27">
        <f t="shared" si="2"/>
        <v>16.260815287938964</v>
      </c>
      <c r="H111" s="29">
        <v>108</v>
      </c>
      <c r="I111" s="29">
        <v>2</v>
      </c>
      <c r="J111" s="12" t="s">
        <v>41</v>
      </c>
      <c r="K111" s="30">
        <v>40.877478333299997</v>
      </c>
      <c r="L111" s="30">
        <v>72.076426666700002</v>
      </c>
      <c r="M111" s="20">
        <v>250</v>
      </c>
    </row>
    <row r="112" spans="1:13" ht="30" customHeight="1">
      <c r="A112" s="5" t="s">
        <v>30</v>
      </c>
      <c r="B112" s="30" t="s">
        <v>390</v>
      </c>
      <c r="C112" s="30" t="s">
        <v>215</v>
      </c>
      <c r="D112" s="27">
        <v>18250.444917624704</v>
      </c>
      <c r="E112" s="28">
        <v>15210.093752682164</v>
      </c>
      <c r="F112" s="27">
        <f t="shared" si="3"/>
        <v>3040.35116494254</v>
      </c>
      <c r="G112" s="27">
        <f t="shared" si="2"/>
        <v>16.659052306206689</v>
      </c>
      <c r="H112" s="29">
        <v>96</v>
      </c>
      <c r="I112" s="29">
        <v>2</v>
      </c>
      <c r="J112" s="12" t="s">
        <v>37</v>
      </c>
      <c r="K112" s="30">
        <v>40.870533333300003</v>
      </c>
      <c r="L112" s="30">
        <v>72.120976666700003</v>
      </c>
      <c r="M112" s="20">
        <v>100</v>
      </c>
    </row>
    <row r="113" spans="1:13" ht="30" customHeight="1">
      <c r="A113" s="5" t="s">
        <v>30</v>
      </c>
      <c r="B113" s="30" t="s">
        <v>390</v>
      </c>
      <c r="C113" s="30" t="s">
        <v>216</v>
      </c>
      <c r="D113" s="27">
        <v>16774.969077624704</v>
      </c>
      <c r="E113" s="28">
        <v>13919.213752682164</v>
      </c>
      <c r="F113" s="27">
        <f t="shared" si="3"/>
        <v>2855.75532494254</v>
      </c>
      <c r="G113" s="27">
        <f t="shared" si="2"/>
        <v>17.023908131977958</v>
      </c>
      <c r="H113" s="29">
        <v>53</v>
      </c>
      <c r="I113" s="29">
        <v>2</v>
      </c>
      <c r="J113" s="12" t="s">
        <v>33</v>
      </c>
      <c r="K113" s="30">
        <v>40.859666666700001</v>
      </c>
      <c r="L113" s="30">
        <v>72.121076666700006</v>
      </c>
      <c r="M113" s="20">
        <v>63</v>
      </c>
    </row>
    <row r="114" spans="1:13" ht="30" customHeight="1">
      <c r="A114" s="5" t="s">
        <v>30</v>
      </c>
      <c r="B114" s="30" t="s">
        <v>390</v>
      </c>
      <c r="C114" s="30" t="s">
        <v>217</v>
      </c>
      <c r="D114" s="27">
        <v>14141.340867624704</v>
      </c>
      <c r="E114" s="28">
        <v>11615.077086015499</v>
      </c>
      <c r="F114" s="27">
        <f t="shared" si="3"/>
        <v>2526.2637816092047</v>
      </c>
      <c r="G114" s="27">
        <f t="shared" si="2"/>
        <v>17.864386448620671</v>
      </c>
      <c r="H114" s="29">
        <v>43</v>
      </c>
      <c r="I114" s="29">
        <v>0</v>
      </c>
      <c r="J114" s="12" t="s">
        <v>17</v>
      </c>
      <c r="K114" s="30">
        <v>40.8576716667</v>
      </c>
      <c r="L114" s="30">
        <v>72.123549999999994</v>
      </c>
      <c r="M114" s="14">
        <v>40</v>
      </c>
    </row>
    <row r="115" spans="1:13" ht="30" customHeight="1">
      <c r="A115" s="5" t="s">
        <v>30</v>
      </c>
      <c r="B115" s="30" t="s">
        <v>388</v>
      </c>
      <c r="C115" s="30" t="s">
        <v>218</v>
      </c>
      <c r="D115" s="27">
        <v>27691.58681762471</v>
      </c>
      <c r="E115" s="28">
        <v>23470.060419348833</v>
      </c>
      <c r="F115" s="27">
        <f t="shared" si="3"/>
        <v>4221.526398275877</v>
      </c>
      <c r="G115" s="27">
        <f t="shared" si="2"/>
        <v>15.244797728922583</v>
      </c>
      <c r="H115" s="29">
        <v>110</v>
      </c>
      <c r="I115" s="29">
        <v>2</v>
      </c>
      <c r="J115" s="12" t="s">
        <v>34</v>
      </c>
      <c r="K115" s="30">
        <v>40.877068333300002</v>
      </c>
      <c r="L115" s="30">
        <v>71.983761666700005</v>
      </c>
      <c r="M115" s="14">
        <v>100</v>
      </c>
    </row>
    <row r="116" spans="1:13" ht="30" customHeight="1">
      <c r="A116" s="5" t="s">
        <v>30</v>
      </c>
      <c r="B116" s="30" t="s">
        <v>384</v>
      </c>
      <c r="C116" s="30" t="s">
        <v>94</v>
      </c>
      <c r="D116" s="27">
        <v>16974.117777624702</v>
      </c>
      <c r="E116" s="28">
        <v>14093.4470860155</v>
      </c>
      <c r="F116" s="27">
        <f t="shared" si="3"/>
        <v>2880.6706916092025</v>
      </c>
      <c r="G116" s="27">
        <f t="shared" si="2"/>
        <v>16.970959724378169</v>
      </c>
      <c r="H116" s="29">
        <v>87</v>
      </c>
      <c r="I116" s="29">
        <v>2</v>
      </c>
      <c r="J116" s="12" t="s">
        <v>34</v>
      </c>
      <c r="K116" s="30">
        <v>40.865369999999999</v>
      </c>
      <c r="L116" s="30">
        <v>71.96087</v>
      </c>
      <c r="M116" s="19">
        <v>160</v>
      </c>
    </row>
    <row r="117" spans="1:13" ht="30" customHeight="1">
      <c r="A117" s="5" t="s">
        <v>30</v>
      </c>
      <c r="B117" s="30" t="s">
        <v>390</v>
      </c>
      <c r="C117" s="30" t="s">
        <v>219</v>
      </c>
      <c r="D117" s="27">
        <v>14429.834067624708</v>
      </c>
      <c r="E117" s="28">
        <v>11867.477086015497</v>
      </c>
      <c r="F117" s="27">
        <f t="shared" si="3"/>
        <v>2562.3569816092113</v>
      </c>
      <c r="G117" s="27">
        <f t="shared" si="2"/>
        <v>17.757355833759775</v>
      </c>
      <c r="H117" s="29">
        <v>48</v>
      </c>
      <c r="I117" s="29">
        <v>2</v>
      </c>
      <c r="J117" s="12" t="s">
        <v>42</v>
      </c>
      <c r="K117" s="30">
        <v>40.858196666700003</v>
      </c>
      <c r="L117" s="30">
        <v>72.1313583333</v>
      </c>
      <c r="M117" s="14">
        <v>100</v>
      </c>
    </row>
    <row r="118" spans="1:13" ht="30" customHeight="1">
      <c r="A118" s="5" t="s">
        <v>30</v>
      </c>
      <c r="B118" s="30" t="s">
        <v>388</v>
      </c>
      <c r="C118" s="30" t="s">
        <v>220</v>
      </c>
      <c r="D118" s="27">
        <v>28183.45476962471</v>
      </c>
      <c r="E118" s="28">
        <v>23900.391086015501</v>
      </c>
      <c r="F118" s="27">
        <f t="shared" si="3"/>
        <v>4283.063683609209</v>
      </c>
      <c r="G118" s="27">
        <f t="shared" si="2"/>
        <v>15.197085377287982</v>
      </c>
      <c r="H118" s="29">
        <v>167</v>
      </c>
      <c r="I118" s="29">
        <v>2</v>
      </c>
      <c r="J118" s="12" t="s">
        <v>42</v>
      </c>
      <c r="K118" s="30">
        <v>40.881914999999999</v>
      </c>
      <c r="L118" s="30">
        <v>71.997399999999999</v>
      </c>
      <c r="M118" s="22">
        <v>160</v>
      </c>
    </row>
    <row r="119" spans="1:13" ht="30" customHeight="1">
      <c r="A119" s="5" t="s">
        <v>30</v>
      </c>
      <c r="B119" s="30" t="s">
        <v>388</v>
      </c>
      <c r="C119" s="30" t="s">
        <v>221</v>
      </c>
      <c r="D119" s="27">
        <v>24160.132107624704</v>
      </c>
      <c r="E119" s="28">
        <v>20380.423752682167</v>
      </c>
      <c r="F119" s="27">
        <f t="shared" si="3"/>
        <v>3779.708354942537</v>
      </c>
      <c r="G119" s="27">
        <f t="shared" si="2"/>
        <v>15.644402680023829</v>
      </c>
      <c r="H119" s="29">
        <v>137</v>
      </c>
      <c r="I119" s="29">
        <v>4</v>
      </c>
      <c r="J119" s="12" t="s">
        <v>22</v>
      </c>
      <c r="K119" s="30">
        <v>40.8827666667</v>
      </c>
      <c r="L119" s="30">
        <v>72.008274999999998</v>
      </c>
      <c r="M119" s="14">
        <v>250</v>
      </c>
    </row>
    <row r="120" spans="1:13" ht="30" customHeight="1">
      <c r="A120" s="5" t="s">
        <v>30</v>
      </c>
      <c r="B120" s="30" t="s">
        <v>390</v>
      </c>
      <c r="C120" s="30" t="s">
        <v>222</v>
      </c>
      <c r="D120" s="27">
        <v>16017.689667624703</v>
      </c>
      <c r="E120" s="28">
        <v>13256.677086015497</v>
      </c>
      <c r="F120" s="27">
        <f t="shared" si="3"/>
        <v>2761.0125816092059</v>
      </c>
      <c r="G120" s="27">
        <f t="shared" si="2"/>
        <v>17.237271035346772</v>
      </c>
      <c r="H120" s="29">
        <v>85</v>
      </c>
      <c r="I120" s="29">
        <v>2</v>
      </c>
      <c r="J120" s="12" t="s">
        <v>22</v>
      </c>
      <c r="K120" s="30">
        <v>40.851415000000003</v>
      </c>
      <c r="L120" s="30">
        <v>72.131756666699999</v>
      </c>
      <c r="M120" s="14">
        <v>63</v>
      </c>
    </row>
    <row r="121" spans="1:13" ht="30" customHeight="1">
      <c r="A121" s="5" t="s">
        <v>30</v>
      </c>
      <c r="B121" s="30" t="s">
        <v>392</v>
      </c>
      <c r="C121" s="30" t="s">
        <v>223</v>
      </c>
      <c r="D121" s="27">
        <v>16131.223857624702</v>
      </c>
      <c r="E121" s="28">
        <v>13356.007086015499</v>
      </c>
      <c r="F121" s="27">
        <f t="shared" si="3"/>
        <v>2775.2167716092026</v>
      </c>
      <c r="G121" s="27">
        <f t="shared" si="2"/>
        <v>17.204006317830924</v>
      </c>
      <c r="H121" s="29">
        <v>109</v>
      </c>
      <c r="I121" s="29">
        <v>2</v>
      </c>
      <c r="J121" s="12" t="s">
        <v>22</v>
      </c>
      <c r="K121" s="30">
        <v>40.833135628299999</v>
      </c>
      <c r="L121" s="30">
        <v>72.203557438199994</v>
      </c>
      <c r="M121" s="14">
        <v>100</v>
      </c>
    </row>
    <row r="122" spans="1:13" ht="30" customHeight="1">
      <c r="A122" s="5" t="s">
        <v>30</v>
      </c>
      <c r="B122" s="30" t="s">
        <v>392</v>
      </c>
      <c r="C122" s="30" t="s">
        <v>224</v>
      </c>
      <c r="D122" s="27">
        <v>15395.890047624705</v>
      </c>
      <c r="E122" s="28">
        <v>12712.670419348829</v>
      </c>
      <c r="F122" s="27">
        <f t="shared" si="3"/>
        <v>2683.2196282758759</v>
      </c>
      <c r="G122" s="27">
        <f t="shared" si="2"/>
        <v>17.428155306226326</v>
      </c>
      <c r="H122" s="29">
        <v>87</v>
      </c>
      <c r="I122" s="29">
        <v>0</v>
      </c>
      <c r="J122" s="12" t="s">
        <v>43</v>
      </c>
      <c r="K122" s="30">
        <v>40.830279691100003</v>
      </c>
      <c r="L122" s="30">
        <v>72.204835088899998</v>
      </c>
      <c r="M122" s="14">
        <v>250</v>
      </c>
    </row>
    <row r="123" spans="1:13" ht="30" customHeight="1">
      <c r="A123" s="5" t="s">
        <v>30</v>
      </c>
      <c r="B123" s="30" t="s">
        <v>392</v>
      </c>
      <c r="C123" s="30" t="s">
        <v>225</v>
      </c>
      <c r="D123" s="27">
        <v>18539.418177624702</v>
      </c>
      <c r="E123" s="28">
        <v>15462.913752682163</v>
      </c>
      <c r="F123" s="27">
        <f t="shared" si="3"/>
        <v>3076.5044249425391</v>
      </c>
      <c r="G123" s="27">
        <f t="shared" si="2"/>
        <v>16.594395765103268</v>
      </c>
      <c r="H123" s="29">
        <v>78</v>
      </c>
      <c r="I123" s="29">
        <v>2</v>
      </c>
      <c r="J123" s="12" t="s">
        <v>31</v>
      </c>
      <c r="K123" s="30">
        <v>40.838736666700001</v>
      </c>
      <c r="L123" s="30">
        <v>72.234039999999993</v>
      </c>
      <c r="M123" s="20">
        <v>180</v>
      </c>
    </row>
    <row r="124" spans="1:13" ht="30" customHeight="1">
      <c r="A124" s="5" t="s">
        <v>30</v>
      </c>
      <c r="B124" s="30" t="s">
        <v>388</v>
      </c>
      <c r="C124" s="30" t="s">
        <v>226</v>
      </c>
      <c r="D124" s="27">
        <v>20399.143947624707</v>
      </c>
      <c r="E124" s="28">
        <v>17089.970419348836</v>
      </c>
      <c r="F124" s="27">
        <f t="shared" si="3"/>
        <v>3309.1735282758709</v>
      </c>
      <c r="G124" s="27">
        <f t="shared" si="2"/>
        <v>16.222119598607932</v>
      </c>
      <c r="H124" s="29">
        <v>90</v>
      </c>
      <c r="I124" s="29">
        <v>2</v>
      </c>
      <c r="J124" s="12" t="s">
        <v>31</v>
      </c>
      <c r="K124" s="30">
        <v>40.8765683333</v>
      </c>
      <c r="L124" s="30">
        <v>71.988531666699998</v>
      </c>
      <c r="M124" s="20">
        <v>400</v>
      </c>
    </row>
    <row r="125" spans="1:13" ht="30" customHeight="1">
      <c r="A125" s="5" t="s">
        <v>30</v>
      </c>
      <c r="B125" s="30" t="s">
        <v>390</v>
      </c>
      <c r="C125" s="30" t="s">
        <v>227</v>
      </c>
      <c r="D125" s="27">
        <v>15066.020247624705</v>
      </c>
      <c r="E125" s="28">
        <v>12424.070419348831</v>
      </c>
      <c r="F125" s="27">
        <f t="shared" si="3"/>
        <v>2641.9498282758741</v>
      </c>
      <c r="G125" s="27">
        <f t="shared" si="2"/>
        <v>17.535817587211866</v>
      </c>
      <c r="H125" s="29">
        <v>97</v>
      </c>
      <c r="I125" s="29">
        <v>0</v>
      </c>
      <c r="J125" s="12" t="s">
        <v>44</v>
      </c>
      <c r="K125" s="30">
        <v>40.813206666600003</v>
      </c>
      <c r="L125" s="30">
        <v>72.109205000000003</v>
      </c>
      <c r="M125" s="14">
        <v>160</v>
      </c>
    </row>
    <row r="126" spans="1:13" ht="30" customHeight="1">
      <c r="A126" s="5" t="s">
        <v>30</v>
      </c>
      <c r="B126" s="30" t="s">
        <v>390</v>
      </c>
      <c r="C126" s="30" t="s">
        <v>228</v>
      </c>
      <c r="D126" s="27">
        <v>61532.163027624687</v>
      </c>
      <c r="E126" s="28">
        <v>53076.863752682155</v>
      </c>
      <c r="F126" s="27">
        <f t="shared" si="3"/>
        <v>8455.2992749425321</v>
      </c>
      <c r="G126" s="27">
        <f t="shared" si="2"/>
        <v>13.7412677515441</v>
      </c>
      <c r="H126" s="29">
        <v>64</v>
      </c>
      <c r="I126" s="29">
        <v>2</v>
      </c>
      <c r="J126" s="12" t="s">
        <v>44</v>
      </c>
      <c r="K126" s="30">
        <v>40.849451666699998</v>
      </c>
      <c r="L126" s="30">
        <v>72.135064999999997</v>
      </c>
      <c r="M126" s="22">
        <v>160</v>
      </c>
    </row>
    <row r="127" spans="1:13" ht="30" customHeight="1">
      <c r="A127" s="5" t="s">
        <v>30</v>
      </c>
      <c r="B127" s="30" t="s">
        <v>390</v>
      </c>
      <c r="C127" s="30" t="s">
        <v>229</v>
      </c>
      <c r="D127" s="27">
        <v>14204.586867624703</v>
      </c>
      <c r="E127" s="28">
        <v>11670.410419348831</v>
      </c>
      <c r="F127" s="27">
        <f t="shared" si="3"/>
        <v>2534.1764482758717</v>
      </c>
      <c r="G127" s="27">
        <f t="shared" si="2"/>
        <v>17.840550182080992</v>
      </c>
      <c r="H127" s="29">
        <v>42</v>
      </c>
      <c r="I127" s="29">
        <v>2</v>
      </c>
      <c r="J127" s="12" t="s">
        <v>44</v>
      </c>
      <c r="K127" s="30">
        <v>40.845351666699997</v>
      </c>
      <c r="L127" s="30">
        <v>72.155680000000004</v>
      </c>
      <c r="M127" s="14">
        <v>160</v>
      </c>
    </row>
    <row r="128" spans="1:13" ht="30" customHeight="1">
      <c r="A128" s="5" t="s">
        <v>30</v>
      </c>
      <c r="B128" s="30" t="s">
        <v>390</v>
      </c>
      <c r="C128" s="30" t="s">
        <v>230</v>
      </c>
      <c r="D128" s="27">
        <v>14289.595587624701</v>
      </c>
      <c r="E128" s="28">
        <v>11744.783752682164</v>
      </c>
      <c r="F128" s="27">
        <f t="shared" si="3"/>
        <v>2544.8118349425367</v>
      </c>
      <c r="G128" s="27">
        <f t="shared" si="2"/>
        <v>17.808844339488758</v>
      </c>
      <c r="H128" s="29">
        <v>41</v>
      </c>
      <c r="I128" s="29">
        <v>2</v>
      </c>
      <c r="J128" s="12" t="s">
        <v>41</v>
      </c>
      <c r="K128" s="30">
        <v>40.847826666700001</v>
      </c>
      <c r="L128" s="30">
        <v>72.157156666700004</v>
      </c>
      <c r="M128" s="22">
        <v>160</v>
      </c>
    </row>
    <row r="129" spans="1:13" ht="30" customHeight="1">
      <c r="A129" s="5" t="s">
        <v>30</v>
      </c>
      <c r="B129" s="30" t="s">
        <v>390</v>
      </c>
      <c r="C129" s="30" t="s">
        <v>231</v>
      </c>
      <c r="D129" s="27">
        <v>16831.677117624702</v>
      </c>
      <c r="E129" s="28">
        <v>13968.827086015497</v>
      </c>
      <c r="F129" s="27">
        <f t="shared" si="3"/>
        <v>2862.850031609205</v>
      </c>
      <c r="G129" s="27">
        <f t="shared" si="2"/>
        <v>17.008703360947152</v>
      </c>
      <c r="H129" s="29">
        <v>159</v>
      </c>
      <c r="I129" s="29">
        <v>2</v>
      </c>
      <c r="J129" s="12" t="s">
        <v>41</v>
      </c>
      <c r="K129" s="30">
        <v>40.850563333300002</v>
      </c>
      <c r="L129" s="30">
        <v>72.157133333299996</v>
      </c>
      <c r="M129" s="14">
        <v>160</v>
      </c>
    </row>
    <row r="130" spans="1:13" ht="30" customHeight="1">
      <c r="A130" s="5" t="s">
        <v>30</v>
      </c>
      <c r="B130" s="30" t="s">
        <v>384</v>
      </c>
      <c r="C130" s="30" t="s">
        <v>96</v>
      </c>
      <c r="D130" s="27">
        <v>21682.066197624707</v>
      </c>
      <c r="E130" s="28">
        <v>18212.3870860155</v>
      </c>
      <c r="F130" s="27">
        <f t="shared" si="3"/>
        <v>3469.6791116092063</v>
      </c>
      <c r="G130" s="27">
        <f t="shared" si="2"/>
        <v>16.002529832647191</v>
      </c>
      <c r="H130" s="29">
        <v>97</v>
      </c>
      <c r="I130" s="29">
        <v>2</v>
      </c>
      <c r="J130" s="12" t="s">
        <v>41</v>
      </c>
      <c r="K130" s="30">
        <v>40.876168333300001</v>
      </c>
      <c r="L130" s="30">
        <v>71.945710000000005</v>
      </c>
      <c r="M130" s="14">
        <v>250</v>
      </c>
    </row>
    <row r="131" spans="1:13" ht="30" customHeight="1">
      <c r="A131" s="5" t="s">
        <v>30</v>
      </c>
      <c r="B131" s="30" t="s">
        <v>392</v>
      </c>
      <c r="C131" s="30" t="s">
        <v>232</v>
      </c>
      <c r="D131" s="27">
        <v>45588.040737624709</v>
      </c>
      <c r="E131" s="28">
        <v>39127.500419348828</v>
      </c>
      <c r="F131" s="27">
        <f t="shared" si="3"/>
        <v>6460.5403182758819</v>
      </c>
      <c r="G131" s="27">
        <f t="shared" ref="G131:G194" si="4">+F131*100/D131</f>
        <v>14.171568274799471</v>
      </c>
      <c r="H131" s="29">
        <v>52</v>
      </c>
      <c r="I131" s="29">
        <v>0</v>
      </c>
      <c r="J131" s="12" t="s">
        <v>41</v>
      </c>
      <c r="K131" s="30">
        <v>40.833511839099998</v>
      </c>
      <c r="L131" s="30">
        <v>72.151867640199995</v>
      </c>
      <c r="M131" s="14">
        <v>160</v>
      </c>
    </row>
    <row r="132" spans="1:13" ht="30" customHeight="1">
      <c r="A132" s="5" t="s">
        <v>30</v>
      </c>
      <c r="B132" s="30" t="s">
        <v>392</v>
      </c>
      <c r="C132" s="30" t="s">
        <v>233</v>
      </c>
      <c r="D132" s="27">
        <v>14629.161837624704</v>
      </c>
      <c r="E132" s="28">
        <v>12041.867086015496</v>
      </c>
      <c r="F132" s="27">
        <f t="shared" si="3"/>
        <v>2587.2947516092081</v>
      </c>
      <c r="G132" s="27">
        <f t="shared" si="4"/>
        <v>17.685871414416589</v>
      </c>
      <c r="H132" s="29">
        <v>52</v>
      </c>
      <c r="I132" s="29">
        <v>0</v>
      </c>
      <c r="J132" s="12" t="s">
        <v>41</v>
      </c>
      <c r="K132" s="30">
        <v>40.829519256700003</v>
      </c>
      <c r="L132" s="30">
        <v>72.156100756300006</v>
      </c>
      <c r="M132" s="14">
        <v>160</v>
      </c>
    </row>
    <row r="133" spans="1:13" ht="30" customHeight="1">
      <c r="A133" s="5" t="s">
        <v>30</v>
      </c>
      <c r="B133" s="30" t="s">
        <v>388</v>
      </c>
      <c r="C133" s="30" t="s">
        <v>234</v>
      </c>
      <c r="D133" s="27">
        <v>19349.462277624702</v>
      </c>
      <c r="E133" s="28">
        <v>16171.613752682168</v>
      </c>
      <c r="F133" s="27">
        <f t="shared" ref="F133:F196" si="5">+D133-E133</f>
        <v>3177.8485249425339</v>
      </c>
      <c r="G133" s="27">
        <f t="shared" si="4"/>
        <v>16.423446188565812</v>
      </c>
      <c r="H133" s="29">
        <v>115</v>
      </c>
      <c r="I133" s="29">
        <v>0</v>
      </c>
      <c r="J133" s="12" t="s">
        <v>43</v>
      </c>
      <c r="K133" s="30">
        <v>40.876078333300001</v>
      </c>
      <c r="L133" s="30">
        <v>71.987033333300005</v>
      </c>
      <c r="M133" s="14">
        <v>40</v>
      </c>
    </row>
    <row r="134" spans="1:13" ht="30" customHeight="1">
      <c r="A134" s="5" t="s">
        <v>30</v>
      </c>
      <c r="B134" s="30" t="s">
        <v>391</v>
      </c>
      <c r="C134" s="30" t="s">
        <v>235</v>
      </c>
      <c r="D134" s="27">
        <v>22338.433947624711</v>
      </c>
      <c r="E134" s="28">
        <v>18786.6370860155</v>
      </c>
      <c r="F134" s="27">
        <f t="shared" si="5"/>
        <v>3551.7968616092112</v>
      </c>
      <c r="G134" s="27">
        <f t="shared" si="4"/>
        <v>15.899936718647551</v>
      </c>
      <c r="H134" s="29">
        <v>146</v>
      </c>
      <c r="I134" s="29">
        <v>2</v>
      </c>
      <c r="J134" s="12" t="s">
        <v>43</v>
      </c>
      <c r="K134" s="30">
        <v>40.846466666700003</v>
      </c>
      <c r="L134" s="30">
        <v>72.057214999999999</v>
      </c>
      <c r="M134" s="14">
        <v>160</v>
      </c>
    </row>
    <row r="135" spans="1:13" ht="30" customHeight="1">
      <c r="A135" s="5" t="s">
        <v>30</v>
      </c>
      <c r="B135" s="30" t="s">
        <v>389</v>
      </c>
      <c r="C135" s="30" t="s">
        <v>236</v>
      </c>
      <c r="D135" s="27">
        <v>19061.670117624704</v>
      </c>
      <c r="E135" s="28">
        <v>15919.827086015501</v>
      </c>
      <c r="F135" s="27">
        <f t="shared" si="5"/>
        <v>3141.8430316092035</v>
      </c>
      <c r="G135" s="27">
        <f t="shared" si="4"/>
        <v>16.482517073381771</v>
      </c>
      <c r="H135" s="29">
        <v>66</v>
      </c>
      <c r="I135" s="29">
        <v>2</v>
      </c>
      <c r="J135" s="12"/>
      <c r="K135" s="30">
        <v>40.877453333299997</v>
      </c>
      <c r="L135" s="30">
        <v>72.071951666700002</v>
      </c>
      <c r="M135" s="14">
        <v>160</v>
      </c>
    </row>
    <row r="136" spans="1:13" ht="30" customHeight="1">
      <c r="A136" s="5" t="s">
        <v>30</v>
      </c>
      <c r="B136" s="30" t="s">
        <v>391</v>
      </c>
      <c r="C136" s="30" t="s">
        <v>237</v>
      </c>
      <c r="D136" s="27">
        <v>20034.305967624703</v>
      </c>
      <c r="E136" s="28">
        <v>16770.7770860155</v>
      </c>
      <c r="F136" s="27">
        <f t="shared" si="5"/>
        <v>3263.5288816092034</v>
      </c>
      <c r="G136" s="27">
        <f t="shared" si="4"/>
        <v>16.289702707361279</v>
      </c>
      <c r="H136" s="29">
        <v>93</v>
      </c>
      <c r="I136" s="29">
        <v>4</v>
      </c>
      <c r="J136" s="12" t="s">
        <v>27</v>
      </c>
      <c r="K136" s="30">
        <v>40.849350000000001</v>
      </c>
      <c r="L136" s="30">
        <v>72.064971666700004</v>
      </c>
      <c r="M136" s="14">
        <v>100</v>
      </c>
    </row>
    <row r="137" spans="1:13" ht="30" customHeight="1">
      <c r="A137" s="5" t="s">
        <v>30</v>
      </c>
      <c r="B137" s="30" t="s">
        <v>391</v>
      </c>
      <c r="C137" s="30" t="s">
        <v>238</v>
      </c>
      <c r="D137" s="27">
        <v>16058.612877624704</v>
      </c>
      <c r="E137" s="28">
        <v>13292.480419348831</v>
      </c>
      <c r="F137" s="27">
        <f t="shared" si="5"/>
        <v>2766.1324582758734</v>
      </c>
      <c r="G137" s="27">
        <f t="shared" si="4"/>
        <v>17.225226608022094</v>
      </c>
      <c r="H137" s="29">
        <v>42</v>
      </c>
      <c r="I137" s="29">
        <v>0</v>
      </c>
      <c r="J137" s="12" t="s">
        <v>27</v>
      </c>
      <c r="K137" s="30">
        <v>40.843751666700001</v>
      </c>
      <c r="L137" s="30">
        <v>72.084658333299998</v>
      </c>
      <c r="M137" s="14">
        <v>160</v>
      </c>
    </row>
    <row r="138" spans="1:13" ht="30" customHeight="1">
      <c r="A138" s="5" t="s">
        <v>30</v>
      </c>
      <c r="B138" s="30" t="s">
        <v>391</v>
      </c>
      <c r="C138" s="30" t="s">
        <v>239</v>
      </c>
      <c r="D138" s="27">
        <v>15979.422027624705</v>
      </c>
      <c r="E138" s="28">
        <v>13223.197086015498</v>
      </c>
      <c r="F138" s="27">
        <f t="shared" si="5"/>
        <v>2756.2249416092072</v>
      </c>
      <c r="G138" s="27">
        <f t="shared" si="4"/>
        <v>17.248589697702052</v>
      </c>
      <c r="H138" s="29">
        <v>150</v>
      </c>
      <c r="I138" s="29">
        <v>2</v>
      </c>
      <c r="J138" s="12" t="s">
        <v>41</v>
      </c>
      <c r="K138" s="30">
        <v>40.822108333300001</v>
      </c>
      <c r="L138" s="30">
        <v>72.138861666699995</v>
      </c>
      <c r="M138" s="14">
        <v>400</v>
      </c>
    </row>
    <row r="139" spans="1:13" ht="30" customHeight="1">
      <c r="A139" s="5" t="s">
        <v>30</v>
      </c>
      <c r="B139" s="30" t="s">
        <v>391</v>
      </c>
      <c r="C139" s="30" t="s">
        <v>240</v>
      </c>
      <c r="D139" s="27">
        <v>18658.701657624701</v>
      </c>
      <c r="E139" s="28">
        <v>15567.273752682164</v>
      </c>
      <c r="F139" s="27">
        <f t="shared" si="5"/>
        <v>3091.4279049425368</v>
      </c>
      <c r="G139" s="27">
        <f t="shared" si="4"/>
        <v>16.568290557769085</v>
      </c>
      <c r="H139" s="29">
        <v>56</v>
      </c>
      <c r="I139" s="29">
        <v>0</v>
      </c>
      <c r="J139" s="12" t="s">
        <v>42</v>
      </c>
      <c r="K139" s="30">
        <v>40.845888333300003</v>
      </c>
      <c r="L139" s="30">
        <v>72.078975</v>
      </c>
      <c r="M139" s="14">
        <v>40</v>
      </c>
    </row>
    <row r="140" spans="1:13" ht="30" customHeight="1">
      <c r="A140" s="5" t="s">
        <v>30</v>
      </c>
      <c r="B140" s="30" t="s">
        <v>391</v>
      </c>
      <c r="C140" s="30" t="s">
        <v>241</v>
      </c>
      <c r="D140" s="27">
        <v>20424.354717624705</v>
      </c>
      <c r="E140" s="28">
        <v>17112.0270860155</v>
      </c>
      <c r="F140" s="27">
        <f t="shared" si="5"/>
        <v>3312.3276316092051</v>
      </c>
      <c r="G140" s="27">
        <f t="shared" si="4"/>
        <v>16.217538705156311</v>
      </c>
      <c r="H140" s="29">
        <v>140</v>
      </c>
      <c r="I140" s="29">
        <v>4</v>
      </c>
      <c r="J140" s="12" t="s">
        <v>27</v>
      </c>
      <c r="K140" s="30">
        <v>40.831020376700003</v>
      </c>
      <c r="L140" s="30">
        <v>72.119740415600006</v>
      </c>
      <c r="M140" s="14">
        <v>100</v>
      </c>
    </row>
    <row r="141" spans="1:13" ht="30" customHeight="1">
      <c r="A141" s="5" t="s">
        <v>30</v>
      </c>
      <c r="B141" s="30" t="s">
        <v>391</v>
      </c>
      <c r="C141" s="30" t="s">
        <v>242</v>
      </c>
      <c r="D141" s="27">
        <v>15910.731537624704</v>
      </c>
      <c r="E141" s="28">
        <v>13163.10041934883</v>
      </c>
      <c r="F141" s="27">
        <f t="shared" si="5"/>
        <v>2747.6311182758745</v>
      </c>
      <c r="G141" s="27">
        <f t="shared" si="4"/>
        <v>17.269043298093795</v>
      </c>
      <c r="H141" s="29">
        <v>136</v>
      </c>
      <c r="I141" s="29">
        <v>2</v>
      </c>
      <c r="J141" s="12" t="s">
        <v>44</v>
      </c>
      <c r="K141" s="30">
        <v>40.8254529031</v>
      </c>
      <c r="L141" s="30">
        <v>72.125863367899996</v>
      </c>
      <c r="M141" s="14">
        <v>100</v>
      </c>
    </row>
    <row r="142" spans="1:13" ht="30" customHeight="1">
      <c r="A142" s="5" t="s">
        <v>30</v>
      </c>
      <c r="B142" s="30" t="s">
        <v>391</v>
      </c>
      <c r="C142" s="30" t="s">
        <v>243</v>
      </c>
      <c r="D142" s="27">
        <v>13959.379077624702</v>
      </c>
      <c r="E142" s="28">
        <v>11455.880419348829</v>
      </c>
      <c r="F142" s="27">
        <f t="shared" si="5"/>
        <v>2503.4986582758738</v>
      </c>
      <c r="G142" s="27">
        <f t="shared" si="4"/>
        <v>17.93416916579547</v>
      </c>
      <c r="H142" s="29">
        <v>58</v>
      </c>
      <c r="I142" s="29">
        <v>0</v>
      </c>
      <c r="J142" s="12" t="s">
        <v>41</v>
      </c>
      <c r="K142" s="30">
        <v>40.8212983333</v>
      </c>
      <c r="L142" s="30">
        <v>72.128469999999993</v>
      </c>
      <c r="M142" s="14">
        <v>160</v>
      </c>
    </row>
    <row r="143" spans="1:13" ht="30" customHeight="1">
      <c r="A143" s="5" t="s">
        <v>30</v>
      </c>
      <c r="B143" s="30" t="s">
        <v>391</v>
      </c>
      <c r="C143" s="30" t="s">
        <v>244</v>
      </c>
      <c r="D143" s="27">
        <v>17087.259537624701</v>
      </c>
      <c r="E143" s="28">
        <v>14192.433752682164</v>
      </c>
      <c r="F143" s="27">
        <f t="shared" si="5"/>
        <v>2894.8257849425372</v>
      </c>
      <c r="G143" s="27">
        <f t="shared" si="4"/>
        <v>16.941428077266433</v>
      </c>
      <c r="H143" s="29">
        <v>62</v>
      </c>
      <c r="I143" s="29">
        <v>0</v>
      </c>
      <c r="J143" s="12" t="s">
        <v>31</v>
      </c>
      <c r="K143" s="30">
        <v>40.817111666700001</v>
      </c>
      <c r="L143" s="30">
        <v>72.1181916667</v>
      </c>
      <c r="M143" s="14">
        <v>63</v>
      </c>
    </row>
    <row r="144" spans="1:13" ht="30" customHeight="1">
      <c r="A144" s="5" t="s">
        <v>30</v>
      </c>
      <c r="B144" s="30" t="s">
        <v>391</v>
      </c>
      <c r="C144" s="30" t="s">
        <v>245</v>
      </c>
      <c r="D144" s="27">
        <v>16791.809277624703</v>
      </c>
      <c r="E144" s="28">
        <v>13933.947086015498</v>
      </c>
      <c r="F144" s="27">
        <f t="shared" si="5"/>
        <v>2857.8621916092052</v>
      </c>
      <c r="G144" s="27">
        <f t="shared" si="4"/>
        <v>17.019382154473028</v>
      </c>
      <c r="H144" s="29">
        <v>67</v>
      </c>
      <c r="I144" s="29">
        <v>4</v>
      </c>
      <c r="J144" s="12" t="s">
        <v>41</v>
      </c>
      <c r="K144" s="30">
        <v>40.820258333300004</v>
      </c>
      <c r="L144" s="30">
        <v>72.133414999999999</v>
      </c>
      <c r="M144" s="14">
        <v>100</v>
      </c>
    </row>
    <row r="145" spans="1:13" ht="30" customHeight="1">
      <c r="A145" s="5" t="s">
        <v>30</v>
      </c>
      <c r="B145" s="30" t="s">
        <v>391</v>
      </c>
      <c r="C145" s="30" t="s">
        <v>246</v>
      </c>
      <c r="D145" s="27">
        <v>16617.917067624705</v>
      </c>
      <c r="E145" s="28">
        <v>13781.810419348829</v>
      </c>
      <c r="F145" s="27">
        <f t="shared" si="5"/>
        <v>2836.1066482758761</v>
      </c>
      <c r="G145" s="27">
        <f t="shared" si="4"/>
        <v>17.066559164633365</v>
      </c>
      <c r="H145" s="29">
        <v>37</v>
      </c>
      <c r="I145" s="29">
        <v>4</v>
      </c>
      <c r="J145" s="12" t="s">
        <v>22</v>
      </c>
      <c r="K145" s="30">
        <v>40.8469716667</v>
      </c>
      <c r="L145" s="30">
        <v>72.074391666699995</v>
      </c>
      <c r="M145" s="14">
        <v>160</v>
      </c>
    </row>
    <row r="146" spans="1:13" ht="30" customHeight="1">
      <c r="A146" s="5" t="s">
        <v>30</v>
      </c>
      <c r="B146" s="30" t="s">
        <v>392</v>
      </c>
      <c r="C146" s="30" t="s">
        <v>247</v>
      </c>
      <c r="D146" s="27">
        <v>15846.586377624704</v>
      </c>
      <c r="E146" s="28">
        <v>13106.980419348831</v>
      </c>
      <c r="F146" s="27">
        <f t="shared" si="5"/>
        <v>2739.6059582758735</v>
      </c>
      <c r="G146" s="27">
        <f t="shared" si="4"/>
        <v>17.288303568926256</v>
      </c>
      <c r="H146" s="29">
        <v>32</v>
      </c>
      <c r="I146" s="29">
        <v>4</v>
      </c>
      <c r="J146" s="12" t="s">
        <v>31</v>
      </c>
      <c r="K146" s="30">
        <v>40.820270000000001</v>
      </c>
      <c r="L146" s="30">
        <v>72.169821666700003</v>
      </c>
      <c r="M146" s="14">
        <v>160</v>
      </c>
    </row>
    <row r="147" spans="1:13" ht="30" customHeight="1">
      <c r="A147" s="5" t="s">
        <v>45</v>
      </c>
      <c r="B147" s="30" t="s">
        <v>392</v>
      </c>
      <c r="C147" s="30" t="s">
        <v>248</v>
      </c>
      <c r="D147" s="27">
        <v>14730.614517624706</v>
      </c>
      <c r="E147" s="28">
        <v>12130.627086015498</v>
      </c>
      <c r="F147" s="27">
        <f t="shared" si="5"/>
        <v>2599.9874316092082</v>
      </c>
      <c r="G147" s="27">
        <f t="shared" si="4"/>
        <v>17.650230603064163</v>
      </c>
      <c r="H147" s="29">
        <v>61</v>
      </c>
      <c r="I147" s="29">
        <v>0</v>
      </c>
      <c r="J147" s="12" t="s">
        <v>46</v>
      </c>
      <c r="K147" s="30">
        <v>40.834253333299998</v>
      </c>
      <c r="L147" s="30">
        <v>72.203491666700003</v>
      </c>
      <c r="M147" s="20">
        <v>100</v>
      </c>
    </row>
    <row r="148" spans="1:13" ht="30" customHeight="1">
      <c r="A148" s="5" t="s">
        <v>45</v>
      </c>
      <c r="B148" s="30" t="s">
        <v>392</v>
      </c>
      <c r="C148" s="30" t="s">
        <v>249</v>
      </c>
      <c r="D148" s="27">
        <v>24728.104047624707</v>
      </c>
      <c r="E148" s="28">
        <v>20877.337086015505</v>
      </c>
      <c r="F148" s="27">
        <f t="shared" si="5"/>
        <v>3850.7669616092026</v>
      </c>
      <c r="G148" s="27">
        <f t="shared" si="4"/>
        <v>15.572431085670289</v>
      </c>
      <c r="H148" s="29">
        <v>102</v>
      </c>
      <c r="I148" s="29">
        <v>4</v>
      </c>
      <c r="J148" s="12" t="s">
        <v>46</v>
      </c>
      <c r="K148" s="30">
        <v>40.837441666700002</v>
      </c>
      <c r="L148" s="30">
        <v>72.2019633333</v>
      </c>
      <c r="M148" s="20">
        <v>100</v>
      </c>
    </row>
    <row r="149" spans="1:13" ht="30" customHeight="1">
      <c r="A149" s="5" t="s">
        <v>45</v>
      </c>
      <c r="B149" s="30" t="s">
        <v>392</v>
      </c>
      <c r="C149" s="30" t="s">
        <v>250</v>
      </c>
      <c r="D149" s="27">
        <v>23182.238457624706</v>
      </c>
      <c r="E149" s="28">
        <v>19524.873752682164</v>
      </c>
      <c r="F149" s="27">
        <f t="shared" si="5"/>
        <v>3657.3647049425417</v>
      </c>
      <c r="G149" s="27">
        <f t="shared" si="4"/>
        <v>15.776581332419275</v>
      </c>
      <c r="H149" s="29">
        <v>118</v>
      </c>
      <c r="I149" s="29">
        <v>0</v>
      </c>
      <c r="J149" s="12" t="s">
        <v>47</v>
      </c>
      <c r="K149" s="30">
        <v>40.832535</v>
      </c>
      <c r="L149" s="30">
        <v>72.175714999999997</v>
      </c>
      <c r="M149" s="20">
        <v>160</v>
      </c>
    </row>
    <row r="150" spans="1:13" ht="30" customHeight="1">
      <c r="A150" s="5" t="s">
        <v>45</v>
      </c>
      <c r="B150" s="30" t="s">
        <v>385</v>
      </c>
      <c r="C150" s="30" t="s">
        <v>251</v>
      </c>
      <c r="D150" s="27">
        <v>19284.124587624701</v>
      </c>
      <c r="E150" s="28">
        <v>16114.45041934883</v>
      </c>
      <c r="F150" s="27">
        <f t="shared" si="5"/>
        <v>3169.6741682758711</v>
      </c>
      <c r="G150" s="27">
        <f t="shared" si="4"/>
        <v>16.43670239669558</v>
      </c>
      <c r="H150" s="29">
        <v>69</v>
      </c>
      <c r="I150" s="29">
        <v>0</v>
      </c>
      <c r="J150" s="12" t="s">
        <v>47</v>
      </c>
      <c r="K150" s="30">
        <v>40.862508333299999</v>
      </c>
      <c r="L150" s="30">
        <v>72.001638333299994</v>
      </c>
      <c r="M150" s="20">
        <v>63</v>
      </c>
    </row>
    <row r="151" spans="1:13" ht="30" customHeight="1">
      <c r="A151" s="5" t="s">
        <v>45</v>
      </c>
      <c r="B151" s="30" t="s">
        <v>387</v>
      </c>
      <c r="C151" s="30" t="s">
        <v>252</v>
      </c>
      <c r="D151" s="27">
        <v>19487.129007624706</v>
      </c>
      <c r="E151" s="28">
        <v>16292.0570860155</v>
      </c>
      <c r="F151" s="27">
        <f t="shared" si="5"/>
        <v>3195.0719216092057</v>
      </c>
      <c r="G151" s="27">
        <f t="shared" si="4"/>
        <v>16.395806279924937</v>
      </c>
      <c r="H151" s="29">
        <v>82</v>
      </c>
      <c r="I151" s="29">
        <v>0</v>
      </c>
      <c r="J151" s="12" t="s">
        <v>46</v>
      </c>
      <c r="K151" s="30">
        <v>40.881864999999998</v>
      </c>
      <c r="L151" s="30">
        <v>71.974893333300002</v>
      </c>
      <c r="M151" s="20">
        <v>250</v>
      </c>
    </row>
    <row r="152" spans="1:13" ht="30" customHeight="1">
      <c r="A152" s="5" t="s">
        <v>45</v>
      </c>
      <c r="B152" s="30" t="s">
        <v>387</v>
      </c>
      <c r="C152" s="30" t="s">
        <v>253</v>
      </c>
      <c r="D152" s="27">
        <v>17732.334447624704</v>
      </c>
      <c r="E152" s="28">
        <v>14756.803752682166</v>
      </c>
      <c r="F152" s="27">
        <f t="shared" si="5"/>
        <v>2975.5306949425376</v>
      </c>
      <c r="G152" s="27">
        <f t="shared" si="4"/>
        <v>16.780253630627403</v>
      </c>
      <c r="H152" s="29">
        <v>54</v>
      </c>
      <c r="I152" s="29">
        <v>0</v>
      </c>
      <c r="J152" s="12" t="s">
        <v>47</v>
      </c>
      <c r="K152" s="30">
        <v>40.871471666700003</v>
      </c>
      <c r="L152" s="30">
        <v>71.970541666700001</v>
      </c>
      <c r="M152" s="20">
        <v>63</v>
      </c>
    </row>
    <row r="153" spans="1:13" ht="30" customHeight="1">
      <c r="A153" s="5" t="s">
        <v>45</v>
      </c>
      <c r="B153" s="30" t="s">
        <v>391</v>
      </c>
      <c r="C153" s="30" t="s">
        <v>254</v>
      </c>
      <c r="D153" s="27">
        <v>24089.193717624708</v>
      </c>
      <c r="E153" s="28">
        <v>20318.360419348835</v>
      </c>
      <c r="F153" s="27">
        <f t="shared" si="5"/>
        <v>3770.8332982758729</v>
      </c>
      <c r="G153" s="27">
        <f t="shared" si="4"/>
        <v>15.653630181557162</v>
      </c>
      <c r="H153" s="29">
        <v>139</v>
      </c>
      <c r="I153" s="29">
        <v>4</v>
      </c>
      <c r="J153" s="12" t="s">
        <v>47</v>
      </c>
      <c r="K153" s="30">
        <v>40.847968333300003</v>
      </c>
      <c r="L153" s="30">
        <v>72.039503333300004</v>
      </c>
      <c r="M153" s="20">
        <v>100</v>
      </c>
    </row>
    <row r="154" spans="1:13" ht="30" customHeight="1">
      <c r="A154" s="5" t="s">
        <v>45</v>
      </c>
      <c r="B154" s="30" t="s">
        <v>391</v>
      </c>
      <c r="C154" s="30" t="s">
        <v>255</v>
      </c>
      <c r="D154" s="27">
        <v>17602.763967624702</v>
      </c>
      <c r="E154" s="28">
        <v>14643.443752682166</v>
      </c>
      <c r="F154" s="27">
        <f t="shared" si="5"/>
        <v>2959.320214942536</v>
      </c>
      <c r="G154" s="27">
        <f t="shared" si="4"/>
        <v>16.811679236200447</v>
      </c>
      <c r="H154" s="29">
        <v>93</v>
      </c>
      <c r="I154" s="29">
        <v>0</v>
      </c>
      <c r="J154" s="12" t="s">
        <v>47</v>
      </c>
      <c r="K154" s="30">
        <v>40.817636666699997</v>
      </c>
      <c r="L154" s="30">
        <v>72.128388333299995</v>
      </c>
      <c r="M154" s="20">
        <v>100</v>
      </c>
    </row>
    <row r="155" spans="1:13" ht="30" customHeight="1">
      <c r="A155" s="5" t="s">
        <v>45</v>
      </c>
      <c r="B155" s="30" t="s">
        <v>390</v>
      </c>
      <c r="C155" s="30" t="s">
        <v>256</v>
      </c>
      <c r="D155" s="27">
        <v>23591.46293762471</v>
      </c>
      <c r="E155" s="28">
        <v>19882.900419348836</v>
      </c>
      <c r="F155" s="27">
        <f t="shared" si="5"/>
        <v>3708.562518275874</v>
      </c>
      <c r="G155" s="27">
        <f t="shared" si="4"/>
        <v>15.719934486815118</v>
      </c>
      <c r="H155" s="29">
        <v>102</v>
      </c>
      <c r="I155" s="29">
        <v>0</v>
      </c>
      <c r="J155" s="12" t="s">
        <v>48</v>
      </c>
      <c r="K155" s="30">
        <v>40.863979999999998</v>
      </c>
      <c r="L155" s="30">
        <v>72.082644999999999</v>
      </c>
      <c r="M155" s="20">
        <v>160</v>
      </c>
    </row>
    <row r="156" spans="1:13" ht="30" customHeight="1">
      <c r="A156" s="5" t="s">
        <v>45</v>
      </c>
      <c r="B156" s="30" t="s">
        <v>388</v>
      </c>
      <c r="C156" s="30" t="s">
        <v>257</v>
      </c>
      <c r="D156" s="27">
        <v>40853.106087624699</v>
      </c>
      <c r="E156" s="28">
        <v>34984.950419348817</v>
      </c>
      <c r="F156" s="27">
        <f t="shared" si="5"/>
        <v>5868.1556682758819</v>
      </c>
      <c r="G156" s="27">
        <f t="shared" si="4"/>
        <v>14.364037964921046</v>
      </c>
      <c r="H156" s="29">
        <v>118</v>
      </c>
      <c r="I156" s="29">
        <v>0</v>
      </c>
      <c r="J156" s="12" t="s">
        <v>48</v>
      </c>
      <c r="K156" s="30">
        <v>40.869881666700003</v>
      </c>
      <c r="L156" s="30">
        <v>71.981340000000003</v>
      </c>
      <c r="M156" s="20">
        <v>250</v>
      </c>
    </row>
    <row r="157" spans="1:13" ht="30" customHeight="1">
      <c r="A157" s="5" t="s">
        <v>45</v>
      </c>
      <c r="B157" s="30" t="s">
        <v>387</v>
      </c>
      <c r="C157" s="30" t="s">
        <v>258</v>
      </c>
      <c r="D157" s="27">
        <v>16930.138947624702</v>
      </c>
      <c r="E157" s="28">
        <v>14054.970419348834</v>
      </c>
      <c r="F157" s="27">
        <f t="shared" si="5"/>
        <v>2875.1685282758681</v>
      </c>
      <c r="G157" s="27">
        <f t="shared" si="4"/>
        <v>16.98254537172156</v>
      </c>
      <c r="H157" s="29">
        <v>67</v>
      </c>
      <c r="I157" s="29">
        <v>0</v>
      </c>
      <c r="J157" s="12" t="s">
        <v>47</v>
      </c>
      <c r="K157" s="30">
        <v>40.883203333300003</v>
      </c>
      <c r="L157" s="30">
        <v>71.969184999999996</v>
      </c>
      <c r="M157" s="14">
        <v>100</v>
      </c>
    </row>
    <row r="158" spans="1:13" ht="30" customHeight="1">
      <c r="A158" s="5" t="s">
        <v>45</v>
      </c>
      <c r="B158" s="30" t="s">
        <v>389</v>
      </c>
      <c r="C158" s="30" t="s">
        <v>259</v>
      </c>
      <c r="D158" s="27">
        <v>16407.384087624701</v>
      </c>
      <c r="E158" s="28">
        <v>13597.617086015496</v>
      </c>
      <c r="F158" s="27">
        <f t="shared" si="5"/>
        <v>2809.7670016092052</v>
      </c>
      <c r="G158" s="27">
        <f t="shared" si="4"/>
        <v>17.125015094444439</v>
      </c>
      <c r="H158" s="29">
        <v>33</v>
      </c>
      <c r="I158" s="29">
        <v>0</v>
      </c>
      <c r="J158" s="12" t="s">
        <v>49</v>
      </c>
      <c r="K158" s="30">
        <v>40.877465000000001</v>
      </c>
      <c r="L158" s="30">
        <v>72.08811</v>
      </c>
      <c r="M158" s="14">
        <v>250</v>
      </c>
    </row>
    <row r="159" spans="1:13" ht="30" customHeight="1">
      <c r="A159" s="5" t="s">
        <v>45</v>
      </c>
      <c r="B159" s="30" t="s">
        <v>387</v>
      </c>
      <c r="C159" s="30" t="s">
        <v>260</v>
      </c>
      <c r="D159" s="27">
        <v>15914.831097624707</v>
      </c>
      <c r="E159" s="28">
        <v>13166.687086015496</v>
      </c>
      <c r="F159" s="27">
        <f t="shared" si="5"/>
        <v>2748.1440116092108</v>
      </c>
      <c r="G159" s="27">
        <f t="shared" si="4"/>
        <v>17.267817639732112</v>
      </c>
      <c r="H159" s="29">
        <v>51</v>
      </c>
      <c r="I159" s="29">
        <v>0</v>
      </c>
      <c r="J159" s="12" t="s">
        <v>20</v>
      </c>
      <c r="K159" s="30">
        <v>40.886789999999998</v>
      </c>
      <c r="L159" s="30">
        <v>71.967898333299999</v>
      </c>
      <c r="M159" s="14">
        <v>100</v>
      </c>
    </row>
    <row r="160" spans="1:13" ht="30" customHeight="1">
      <c r="A160" s="5" t="s">
        <v>45</v>
      </c>
      <c r="B160" s="30" t="s">
        <v>391</v>
      </c>
      <c r="C160" s="30" t="s">
        <v>261</v>
      </c>
      <c r="D160" s="27">
        <v>19285.240917624706</v>
      </c>
      <c r="E160" s="28">
        <v>16115.427086015499</v>
      </c>
      <c r="F160" s="27">
        <f t="shared" si="5"/>
        <v>3169.8138316092063</v>
      </c>
      <c r="G160" s="27">
        <f t="shared" si="4"/>
        <v>16.43647515293587</v>
      </c>
      <c r="H160" s="29">
        <v>74</v>
      </c>
      <c r="I160" s="29">
        <v>2</v>
      </c>
      <c r="J160" s="12" t="s">
        <v>48</v>
      </c>
      <c r="K160" s="30">
        <v>40.813769904799997</v>
      </c>
      <c r="L160" s="30">
        <v>72.127671415400002</v>
      </c>
      <c r="M160" s="14">
        <v>100</v>
      </c>
    </row>
    <row r="161" spans="1:13" ht="30" customHeight="1">
      <c r="A161" s="5" t="s">
        <v>45</v>
      </c>
      <c r="B161" s="30" t="s">
        <v>387</v>
      </c>
      <c r="C161" s="30" t="s">
        <v>262</v>
      </c>
      <c r="D161" s="27">
        <v>16056.742167624701</v>
      </c>
      <c r="E161" s="28">
        <v>13290.843752682165</v>
      </c>
      <c r="F161" s="27">
        <f t="shared" si="5"/>
        <v>2765.898414942536</v>
      </c>
      <c r="G161" s="27">
        <f t="shared" si="4"/>
        <v>17.225775852086809</v>
      </c>
      <c r="H161" s="29">
        <v>146</v>
      </c>
      <c r="I161" s="29">
        <v>2</v>
      </c>
      <c r="J161" s="12" t="s">
        <v>29</v>
      </c>
      <c r="K161" s="30">
        <v>40.868474999999997</v>
      </c>
      <c r="L161" s="30">
        <v>71.973686666700004</v>
      </c>
      <c r="M161" s="14">
        <v>100</v>
      </c>
    </row>
    <row r="162" spans="1:13" ht="30" customHeight="1">
      <c r="A162" s="5" t="s">
        <v>45</v>
      </c>
      <c r="B162" s="30" t="s">
        <v>389</v>
      </c>
      <c r="C162" s="30" t="s">
        <v>263</v>
      </c>
      <c r="D162" s="27">
        <v>18225.089367624703</v>
      </c>
      <c r="E162" s="28">
        <v>15187.910419348833</v>
      </c>
      <c r="F162" s="27">
        <f t="shared" si="5"/>
        <v>3037.1789482758704</v>
      </c>
      <c r="G162" s="27">
        <f t="shared" si="4"/>
        <v>16.664823348801551</v>
      </c>
      <c r="H162" s="29">
        <v>227</v>
      </c>
      <c r="I162" s="29">
        <v>2</v>
      </c>
      <c r="J162" s="12" t="s">
        <v>46</v>
      </c>
      <c r="K162" s="30">
        <v>40.877846666700002</v>
      </c>
      <c r="L162" s="30">
        <v>72.089301666699996</v>
      </c>
      <c r="M162" s="14">
        <v>100</v>
      </c>
    </row>
    <row r="163" spans="1:13" ht="30" customHeight="1">
      <c r="A163" s="5" t="s">
        <v>30</v>
      </c>
      <c r="B163" s="30" t="s">
        <v>392</v>
      </c>
      <c r="C163" s="30" t="s">
        <v>264</v>
      </c>
      <c r="D163" s="27">
        <v>22602.748887624708</v>
      </c>
      <c r="E163" s="28">
        <v>19017.883752682166</v>
      </c>
      <c r="F163" s="27">
        <f t="shared" si="5"/>
        <v>3584.8651349425418</v>
      </c>
      <c r="G163" s="27">
        <f t="shared" si="4"/>
        <v>15.86030598652229</v>
      </c>
      <c r="H163" s="29">
        <v>85</v>
      </c>
      <c r="I163" s="29">
        <v>2</v>
      </c>
      <c r="J163" s="12" t="s">
        <v>36</v>
      </c>
      <c r="K163" s="30">
        <v>40.820733333299998</v>
      </c>
      <c r="L163" s="30">
        <v>72.163296666700006</v>
      </c>
      <c r="M163" s="20">
        <v>63</v>
      </c>
    </row>
    <row r="164" spans="1:13" ht="30" customHeight="1">
      <c r="A164" s="5" t="s">
        <v>30</v>
      </c>
      <c r="B164" s="30" t="s">
        <v>391</v>
      </c>
      <c r="C164" s="30" t="s">
        <v>265</v>
      </c>
      <c r="D164" s="27">
        <v>17442.351537624705</v>
      </c>
      <c r="E164" s="28">
        <v>14503.100419348832</v>
      </c>
      <c r="F164" s="27">
        <f t="shared" si="5"/>
        <v>2939.2511182758735</v>
      </c>
      <c r="G164" s="27">
        <f t="shared" si="4"/>
        <v>16.851231967981192</v>
      </c>
      <c r="H164" s="29">
        <v>72</v>
      </c>
      <c r="I164" s="29">
        <v>2</v>
      </c>
      <c r="J164" s="12" t="s">
        <v>36</v>
      </c>
      <c r="K164" s="30">
        <v>40.852661666700001</v>
      </c>
      <c r="L164" s="30">
        <v>72.0707816667</v>
      </c>
      <c r="M164" s="20">
        <v>100</v>
      </c>
    </row>
    <row r="165" spans="1:13" ht="30" customHeight="1">
      <c r="A165" s="5" t="s">
        <v>30</v>
      </c>
      <c r="B165" s="30" t="s">
        <v>388</v>
      </c>
      <c r="C165" s="30" t="s">
        <v>266</v>
      </c>
      <c r="D165" s="27">
        <v>19068.116637624702</v>
      </c>
      <c r="E165" s="28">
        <v>15925.4670860155</v>
      </c>
      <c r="F165" s="27">
        <f t="shared" si="5"/>
        <v>3142.6495516092018</v>
      </c>
      <c r="G165" s="27">
        <f t="shared" si="4"/>
        <v>16.481174367311183</v>
      </c>
      <c r="H165" s="29">
        <v>94</v>
      </c>
      <c r="I165" s="29">
        <v>0</v>
      </c>
      <c r="J165" s="12" t="s">
        <v>36</v>
      </c>
      <c r="K165" s="30">
        <v>40.877846666700002</v>
      </c>
      <c r="L165" s="30">
        <v>72.000298333299995</v>
      </c>
      <c r="M165" s="20">
        <v>100</v>
      </c>
    </row>
    <row r="166" spans="1:13" ht="30" customHeight="1">
      <c r="A166" s="5" t="s">
        <v>30</v>
      </c>
      <c r="B166" s="30" t="s">
        <v>385</v>
      </c>
      <c r="C166" s="30" t="s">
        <v>267</v>
      </c>
      <c r="D166" s="27">
        <v>24683.52704762471</v>
      </c>
      <c r="E166" s="28">
        <v>20838.337086015505</v>
      </c>
      <c r="F166" s="27">
        <f t="shared" si="5"/>
        <v>3845.1899616092051</v>
      </c>
      <c r="G166" s="27">
        <f t="shared" si="4"/>
        <v>15.57795996573037</v>
      </c>
      <c r="H166" s="29">
        <v>113</v>
      </c>
      <c r="I166" s="29">
        <v>0</v>
      </c>
      <c r="J166" s="12" t="s">
        <v>36</v>
      </c>
      <c r="K166" s="30">
        <v>40.869096666700003</v>
      </c>
      <c r="L166" s="30">
        <v>71.993186666699998</v>
      </c>
      <c r="M166" s="20">
        <v>160</v>
      </c>
    </row>
    <row r="167" spans="1:13" ht="30" customHeight="1">
      <c r="A167" s="5" t="s">
        <v>30</v>
      </c>
      <c r="B167" s="30" t="s">
        <v>390</v>
      </c>
      <c r="C167" s="30" t="s">
        <v>268</v>
      </c>
      <c r="D167" s="27">
        <v>14755.371897624702</v>
      </c>
      <c r="E167" s="28">
        <v>12152.287086015498</v>
      </c>
      <c r="F167" s="27">
        <f t="shared" si="5"/>
        <v>2603.0848116092038</v>
      </c>
      <c r="G167" s="27">
        <f t="shared" si="4"/>
        <v>17.641607610230714</v>
      </c>
      <c r="H167" s="29">
        <v>71</v>
      </c>
      <c r="I167" s="29">
        <v>0</v>
      </c>
      <c r="J167" s="12" t="s">
        <v>50</v>
      </c>
      <c r="K167" s="30">
        <v>40.859043333300001</v>
      </c>
      <c r="L167" s="30">
        <v>72.065916666700005</v>
      </c>
      <c r="M167" s="20">
        <v>250</v>
      </c>
    </row>
    <row r="168" spans="1:13" ht="30" customHeight="1">
      <c r="A168" s="5" t="s">
        <v>30</v>
      </c>
      <c r="B168" s="30" t="s">
        <v>389</v>
      </c>
      <c r="C168" s="30" t="s">
        <v>269</v>
      </c>
      <c r="D168" s="27">
        <v>22145.640327624707</v>
      </c>
      <c r="E168" s="28">
        <v>18617.963752682168</v>
      </c>
      <c r="F168" s="27">
        <f t="shared" si="5"/>
        <v>3527.6765749425394</v>
      </c>
      <c r="G168" s="27">
        <f t="shared" si="4"/>
        <v>15.929440389863453</v>
      </c>
      <c r="H168" s="29">
        <v>136</v>
      </c>
      <c r="I168" s="29">
        <v>0</v>
      </c>
      <c r="J168" s="12" t="s">
        <v>50</v>
      </c>
      <c r="K168" s="30">
        <v>40.880443333300001</v>
      </c>
      <c r="L168" s="30">
        <v>72.033211666699998</v>
      </c>
      <c r="M168" s="20">
        <v>400</v>
      </c>
    </row>
    <row r="169" spans="1:13" ht="30" customHeight="1">
      <c r="A169" s="5" t="s">
        <v>30</v>
      </c>
      <c r="B169" s="30" t="s">
        <v>388</v>
      </c>
      <c r="C169" s="30" t="s">
        <v>270</v>
      </c>
      <c r="D169" s="27">
        <v>21419.019987624706</v>
      </c>
      <c r="E169" s="28">
        <v>17982.250419348835</v>
      </c>
      <c r="F169" s="27">
        <f t="shared" si="5"/>
        <v>3436.7695682758713</v>
      </c>
      <c r="G169" s="27">
        <f t="shared" si="4"/>
        <v>16.045409968623858</v>
      </c>
      <c r="H169" s="29">
        <v>86</v>
      </c>
      <c r="I169" s="29">
        <v>2</v>
      </c>
      <c r="J169" s="12" t="s">
        <v>50</v>
      </c>
      <c r="K169" s="30">
        <v>40.874026666600002</v>
      </c>
      <c r="L169" s="30">
        <v>72.094549999700007</v>
      </c>
      <c r="M169" s="20">
        <v>160</v>
      </c>
    </row>
    <row r="170" spans="1:13" ht="30" customHeight="1">
      <c r="A170" s="5" t="s">
        <v>30</v>
      </c>
      <c r="B170" s="30" t="s">
        <v>388</v>
      </c>
      <c r="C170" s="30" t="s">
        <v>271</v>
      </c>
      <c r="D170" s="27">
        <v>17699.477007624704</v>
      </c>
      <c r="E170" s="28">
        <v>14728.057086015497</v>
      </c>
      <c r="F170" s="27">
        <f t="shared" si="5"/>
        <v>2971.4199216092074</v>
      </c>
      <c r="G170" s="27">
        <f t="shared" si="4"/>
        <v>16.78817922320054</v>
      </c>
      <c r="H170" s="29">
        <v>56</v>
      </c>
      <c r="I170" s="29">
        <v>2</v>
      </c>
      <c r="J170" s="12" t="s">
        <v>37</v>
      </c>
      <c r="K170" s="30">
        <v>40.877225000000003</v>
      </c>
      <c r="L170" s="30">
        <v>71.997230000000002</v>
      </c>
      <c r="M170" s="23">
        <v>100</v>
      </c>
    </row>
    <row r="171" spans="1:13" ht="30" customHeight="1">
      <c r="A171" s="5" t="s">
        <v>30</v>
      </c>
      <c r="B171" s="30" t="s">
        <v>388</v>
      </c>
      <c r="C171" s="30" t="s">
        <v>272</v>
      </c>
      <c r="D171" s="27">
        <v>19502.178507624707</v>
      </c>
      <c r="E171" s="28">
        <v>16305.223752682165</v>
      </c>
      <c r="F171" s="27">
        <f t="shared" si="5"/>
        <v>3196.9547549425424</v>
      </c>
      <c r="G171" s="27">
        <f t="shared" si="4"/>
        <v>16.392808391599118</v>
      </c>
      <c r="H171" s="29">
        <v>113</v>
      </c>
      <c r="I171" s="29">
        <v>2</v>
      </c>
      <c r="J171" s="12" t="s">
        <v>37</v>
      </c>
      <c r="K171" s="30">
        <v>40.878791666700003</v>
      </c>
      <c r="L171" s="30">
        <v>72.014080000000007</v>
      </c>
      <c r="M171" s="20">
        <v>100</v>
      </c>
    </row>
    <row r="172" spans="1:13" ht="30" customHeight="1">
      <c r="A172" s="5" t="s">
        <v>30</v>
      </c>
      <c r="B172" s="30" t="s">
        <v>384</v>
      </c>
      <c r="C172" s="30" t="s">
        <v>100</v>
      </c>
      <c r="D172" s="27">
        <v>20066.163663624702</v>
      </c>
      <c r="E172" s="28">
        <v>16798.649086015503</v>
      </c>
      <c r="F172" s="27">
        <f t="shared" si="5"/>
        <v>3267.5145776091995</v>
      </c>
      <c r="G172" s="27">
        <f t="shared" si="4"/>
        <v>16.283703414282645</v>
      </c>
      <c r="H172" s="29">
        <v>85</v>
      </c>
      <c r="I172" s="29">
        <v>2</v>
      </c>
      <c r="J172" s="12" t="s">
        <v>37</v>
      </c>
      <c r="K172" s="30">
        <v>40.879103333300002</v>
      </c>
      <c r="L172" s="30">
        <v>71.946520000000007</v>
      </c>
      <c r="M172" s="20">
        <v>100</v>
      </c>
    </row>
    <row r="173" spans="1:13" ht="30" customHeight="1">
      <c r="A173" s="5" t="s">
        <v>13</v>
      </c>
      <c r="B173" s="30" t="s">
        <v>389</v>
      </c>
      <c r="C173" s="30" t="s">
        <v>273</v>
      </c>
      <c r="D173" s="27">
        <v>18266.336427624705</v>
      </c>
      <c r="E173" s="28">
        <v>15223.997086015499</v>
      </c>
      <c r="F173" s="27">
        <f t="shared" si="5"/>
        <v>3042.3393416092058</v>
      </c>
      <c r="G173" s="27">
        <f t="shared" si="4"/>
        <v>16.655443491165467</v>
      </c>
      <c r="H173" s="29">
        <v>98</v>
      </c>
      <c r="I173" s="29">
        <v>2</v>
      </c>
      <c r="J173" s="12"/>
      <c r="K173" s="30">
        <v>40.867316666699999</v>
      </c>
      <c r="L173" s="30">
        <v>72.0448633333</v>
      </c>
      <c r="M173" s="14">
        <v>400</v>
      </c>
    </row>
    <row r="174" spans="1:13" ht="30" customHeight="1">
      <c r="A174" s="5" t="s">
        <v>13</v>
      </c>
      <c r="B174" s="30" t="s">
        <v>391</v>
      </c>
      <c r="C174" s="30" t="s">
        <v>274</v>
      </c>
      <c r="D174" s="27">
        <v>19691.6269476247</v>
      </c>
      <c r="E174" s="28">
        <v>16470.970419348829</v>
      </c>
      <c r="F174" s="27">
        <f t="shared" si="5"/>
        <v>3220.6565282758711</v>
      </c>
      <c r="G174" s="27">
        <f t="shared" si="4"/>
        <v>16.355461825689126</v>
      </c>
      <c r="H174" s="29">
        <v>72</v>
      </c>
      <c r="I174" s="29">
        <v>6</v>
      </c>
      <c r="J174" s="12" t="s">
        <v>23</v>
      </c>
      <c r="K174" s="30">
        <v>40.821199999999997</v>
      </c>
      <c r="L174" s="30">
        <v>72.145963333300003</v>
      </c>
      <c r="M174" s="14">
        <v>100</v>
      </c>
    </row>
    <row r="175" spans="1:13" ht="30" customHeight="1">
      <c r="A175" s="5" t="s">
        <v>13</v>
      </c>
      <c r="B175" s="30" t="s">
        <v>391</v>
      </c>
      <c r="C175" s="30" t="s">
        <v>275</v>
      </c>
      <c r="D175" s="27">
        <v>22411.76120762471</v>
      </c>
      <c r="E175" s="28">
        <v>18850.790419348836</v>
      </c>
      <c r="F175" s="27">
        <f t="shared" si="5"/>
        <v>3560.9707882758739</v>
      </c>
      <c r="G175" s="27">
        <f t="shared" si="4"/>
        <v>15.888848517020589</v>
      </c>
      <c r="H175" s="29">
        <v>149</v>
      </c>
      <c r="I175" s="29">
        <v>4</v>
      </c>
      <c r="J175" s="12" t="s">
        <v>40</v>
      </c>
      <c r="K175" s="30">
        <v>40.853495000000002</v>
      </c>
      <c r="L175" s="30">
        <v>72.061329999999998</v>
      </c>
      <c r="M175" s="20">
        <v>250</v>
      </c>
    </row>
    <row r="176" spans="1:13" ht="30" customHeight="1">
      <c r="A176" s="5" t="s">
        <v>13</v>
      </c>
      <c r="B176" s="30" t="s">
        <v>390</v>
      </c>
      <c r="C176" s="30" t="s">
        <v>276</v>
      </c>
      <c r="D176" s="27">
        <v>17439.916947624701</v>
      </c>
      <c r="E176" s="28">
        <v>14500.970419348831</v>
      </c>
      <c r="F176" s="27">
        <f t="shared" si="5"/>
        <v>2938.9465282758702</v>
      </c>
      <c r="G176" s="27">
        <f t="shared" si="4"/>
        <v>16.851837867703562</v>
      </c>
      <c r="H176" s="29">
        <v>83</v>
      </c>
      <c r="I176" s="29">
        <v>0</v>
      </c>
      <c r="J176" s="12" t="s">
        <v>40</v>
      </c>
      <c r="K176" s="30">
        <v>40.8542466667</v>
      </c>
      <c r="L176" s="30">
        <v>72.141778333299996</v>
      </c>
      <c r="M176" s="21">
        <v>160</v>
      </c>
    </row>
    <row r="177" spans="1:13" ht="30" customHeight="1">
      <c r="A177" s="5" t="s">
        <v>13</v>
      </c>
      <c r="B177" s="30" t="s">
        <v>390</v>
      </c>
      <c r="C177" s="30" t="s">
        <v>277</v>
      </c>
      <c r="D177" s="27">
        <v>17981.1807876247</v>
      </c>
      <c r="E177" s="28">
        <v>14974.517086015499</v>
      </c>
      <c r="F177" s="27">
        <f t="shared" si="5"/>
        <v>3006.6637016092009</v>
      </c>
      <c r="G177" s="27">
        <f t="shared" si="4"/>
        <v>16.721169411068352</v>
      </c>
      <c r="H177" s="29">
        <v>108</v>
      </c>
      <c r="I177" s="29">
        <v>2</v>
      </c>
      <c r="J177" s="12" t="s">
        <v>40</v>
      </c>
      <c r="K177" s="30">
        <v>40.870876666699999</v>
      </c>
      <c r="L177" s="30">
        <v>72.127028333300004</v>
      </c>
      <c r="M177" s="20">
        <v>100</v>
      </c>
    </row>
    <row r="178" spans="1:13" ht="30" customHeight="1">
      <c r="A178" s="5" t="s">
        <v>13</v>
      </c>
      <c r="B178" s="30" t="s">
        <v>385</v>
      </c>
      <c r="C178" s="30" t="s">
        <v>278</v>
      </c>
      <c r="D178" s="27">
        <v>18145.795647624702</v>
      </c>
      <c r="E178" s="28">
        <v>15118.5370860155</v>
      </c>
      <c r="F178" s="27">
        <f t="shared" si="5"/>
        <v>3027.2585616092019</v>
      </c>
      <c r="G178" s="27">
        <f t="shared" si="4"/>
        <v>16.682975056017849</v>
      </c>
      <c r="H178" s="29">
        <v>106</v>
      </c>
      <c r="I178" s="29">
        <v>6</v>
      </c>
      <c r="J178" s="12" t="s">
        <v>18</v>
      </c>
      <c r="K178" s="30">
        <v>40.85586</v>
      </c>
      <c r="L178" s="30">
        <v>72.008968333300004</v>
      </c>
      <c r="M178" s="20">
        <v>100</v>
      </c>
    </row>
    <row r="179" spans="1:13" ht="30" customHeight="1">
      <c r="A179" s="5" t="s">
        <v>13</v>
      </c>
      <c r="B179" s="30" t="s">
        <v>391</v>
      </c>
      <c r="C179" s="30" t="s">
        <v>279</v>
      </c>
      <c r="D179" s="27">
        <v>19038.307197624705</v>
      </c>
      <c r="E179" s="28">
        <v>15899.387086015498</v>
      </c>
      <c r="F179" s="27">
        <f t="shared" si="5"/>
        <v>3138.9201116092063</v>
      </c>
      <c r="G179" s="27">
        <f t="shared" si="4"/>
        <v>16.48739081172527</v>
      </c>
      <c r="H179" s="29">
        <v>66</v>
      </c>
      <c r="I179" s="29">
        <v>2</v>
      </c>
      <c r="J179" s="12" t="s">
        <v>23</v>
      </c>
      <c r="K179" s="30">
        <v>40.827616666700003</v>
      </c>
      <c r="L179" s="30">
        <v>72.112166666700006</v>
      </c>
      <c r="M179" s="20">
        <v>100</v>
      </c>
    </row>
    <row r="180" spans="1:13" ht="30" customHeight="1">
      <c r="A180" s="5" t="s">
        <v>13</v>
      </c>
      <c r="B180" s="30" t="s">
        <v>391</v>
      </c>
      <c r="C180" s="30" t="s">
        <v>280</v>
      </c>
      <c r="D180" s="27">
        <v>19803.141837624706</v>
      </c>
      <c r="E180" s="28">
        <v>16568.533752682168</v>
      </c>
      <c r="F180" s="27">
        <f t="shared" si="5"/>
        <v>3234.608084942538</v>
      </c>
      <c r="G180" s="27">
        <f t="shared" si="4"/>
        <v>16.333812641774795</v>
      </c>
      <c r="H180" s="29">
        <v>60</v>
      </c>
      <c r="I180" s="29">
        <v>6</v>
      </c>
      <c r="J180" s="12" t="s">
        <v>23</v>
      </c>
      <c r="K180" s="30">
        <v>40.813206666699998</v>
      </c>
      <c r="L180" s="30">
        <v>72.109205000000003</v>
      </c>
      <c r="M180" s="20">
        <v>160</v>
      </c>
    </row>
    <row r="181" spans="1:13" ht="30" customHeight="1">
      <c r="A181" s="5" t="s">
        <v>13</v>
      </c>
      <c r="B181" s="30" t="s">
        <v>387</v>
      </c>
      <c r="C181" s="30" t="s">
        <v>281</v>
      </c>
      <c r="D181" s="27">
        <v>11256.575977624707</v>
      </c>
      <c r="E181" s="28">
        <v>8705.1532526821647</v>
      </c>
      <c r="F181" s="27">
        <f t="shared" si="5"/>
        <v>2551.4227249425421</v>
      </c>
      <c r="G181" s="27">
        <f t="shared" si="4"/>
        <v>22.666064085687694</v>
      </c>
      <c r="H181" s="29">
        <v>17</v>
      </c>
      <c r="I181" s="29">
        <v>0</v>
      </c>
      <c r="J181" s="12" t="s">
        <v>23</v>
      </c>
      <c r="K181" s="30">
        <v>40.879336666699999</v>
      </c>
      <c r="L181" s="30">
        <v>71.986581666700005</v>
      </c>
      <c r="M181" s="20">
        <v>100</v>
      </c>
    </row>
    <row r="182" spans="1:13" ht="30" customHeight="1">
      <c r="A182" s="5" t="s">
        <v>13</v>
      </c>
      <c r="B182" s="30" t="s">
        <v>390</v>
      </c>
      <c r="C182" s="30" t="s">
        <v>282</v>
      </c>
      <c r="D182" s="27">
        <v>16215.079217624705</v>
      </c>
      <c r="E182" s="28">
        <v>13308.085086015497</v>
      </c>
      <c r="F182" s="27">
        <f t="shared" si="5"/>
        <v>2906.9941316092081</v>
      </c>
      <c r="G182" s="27">
        <f t="shared" si="4"/>
        <v>17.927720812177721</v>
      </c>
      <c r="H182" s="29">
        <v>27</v>
      </c>
      <c r="I182" s="29">
        <v>0</v>
      </c>
      <c r="J182" s="12" t="s">
        <v>23</v>
      </c>
      <c r="K182" s="30">
        <v>40.851741666700001</v>
      </c>
      <c r="L182" s="30">
        <v>72.133139999999997</v>
      </c>
      <c r="M182" s="20">
        <v>100</v>
      </c>
    </row>
    <row r="183" spans="1:13" ht="30" customHeight="1">
      <c r="A183" s="5" t="s">
        <v>13</v>
      </c>
      <c r="B183" s="30" t="s">
        <v>389</v>
      </c>
      <c r="C183" s="30" t="s">
        <v>283</v>
      </c>
      <c r="D183" s="27">
        <v>15105.639507624704</v>
      </c>
      <c r="E183" s="28">
        <v>12067.533919348833</v>
      </c>
      <c r="F183" s="27">
        <f t="shared" si="5"/>
        <v>3038.1055882758719</v>
      </c>
      <c r="G183" s="27">
        <f t="shared" si="4"/>
        <v>20.112393035345249</v>
      </c>
      <c r="H183" s="29">
        <v>83</v>
      </c>
      <c r="I183" s="29">
        <v>2</v>
      </c>
      <c r="J183" s="12" t="s">
        <v>23</v>
      </c>
      <c r="K183" s="30">
        <v>40.878543333300001</v>
      </c>
      <c r="L183" s="30">
        <v>72.055769999999995</v>
      </c>
      <c r="M183" s="20">
        <v>250</v>
      </c>
    </row>
    <row r="184" spans="1:13" ht="30" customHeight="1">
      <c r="A184" s="5" t="s">
        <v>13</v>
      </c>
      <c r="B184" s="30" t="s">
        <v>385</v>
      </c>
      <c r="C184" s="30" t="s">
        <v>284</v>
      </c>
      <c r="D184" s="27">
        <v>16852.512977624705</v>
      </c>
      <c r="E184" s="28">
        <v>13594.574919348835</v>
      </c>
      <c r="F184" s="27">
        <f t="shared" si="5"/>
        <v>3257.9380582758695</v>
      </c>
      <c r="G184" s="27">
        <f t="shared" si="4"/>
        <v>19.332060818475412</v>
      </c>
      <c r="H184" s="29">
        <v>96</v>
      </c>
      <c r="I184" s="29">
        <v>0</v>
      </c>
      <c r="J184" s="12" t="s">
        <v>23</v>
      </c>
      <c r="K184" s="30">
        <v>40.863901666700002</v>
      </c>
      <c r="L184" s="30">
        <v>71.990183333299996</v>
      </c>
      <c r="M184" s="20">
        <v>100</v>
      </c>
    </row>
    <row r="185" spans="1:13" ht="30" customHeight="1">
      <c r="A185" s="5" t="s">
        <v>13</v>
      </c>
      <c r="B185" s="30" t="s">
        <v>384</v>
      </c>
      <c r="C185" s="30" t="s">
        <v>112</v>
      </c>
      <c r="D185" s="27">
        <v>14319.828317624708</v>
      </c>
      <c r="E185" s="28">
        <v>11362.112086015499</v>
      </c>
      <c r="F185" s="27">
        <f t="shared" si="5"/>
        <v>2957.716231609209</v>
      </c>
      <c r="G185" s="27">
        <f t="shared" si="4"/>
        <v>20.654690587099289</v>
      </c>
      <c r="H185" s="29">
        <v>93</v>
      </c>
      <c r="I185" s="29">
        <v>4</v>
      </c>
      <c r="J185" s="12" t="s">
        <v>19</v>
      </c>
      <c r="K185" s="30">
        <v>40.877413333299998</v>
      </c>
      <c r="L185" s="30">
        <v>71.930764999999994</v>
      </c>
      <c r="M185" s="20">
        <v>160</v>
      </c>
    </row>
    <row r="186" spans="1:13" ht="30" customHeight="1">
      <c r="A186" s="5" t="s">
        <v>13</v>
      </c>
      <c r="B186" s="30" t="s">
        <v>388</v>
      </c>
      <c r="C186" s="30" t="s">
        <v>285</v>
      </c>
      <c r="D186" s="27">
        <v>11919.776117624706</v>
      </c>
      <c r="E186" s="28">
        <v>9181.1454193488316</v>
      </c>
      <c r="F186" s="27">
        <f t="shared" si="5"/>
        <v>2738.6306982758742</v>
      </c>
      <c r="G186" s="27">
        <f t="shared" si="4"/>
        <v>22.975521278679942</v>
      </c>
      <c r="H186" s="29">
        <v>46</v>
      </c>
      <c r="I186" s="29">
        <v>0</v>
      </c>
      <c r="J186" s="12" t="s">
        <v>19</v>
      </c>
      <c r="K186" s="30">
        <v>40.874026666600002</v>
      </c>
      <c r="L186" s="30">
        <v>72.094549999700007</v>
      </c>
      <c r="M186" s="20">
        <v>160</v>
      </c>
    </row>
    <row r="187" spans="1:13" ht="30" customHeight="1">
      <c r="A187" s="5" t="s">
        <v>13</v>
      </c>
      <c r="B187" s="30" t="s">
        <v>387</v>
      </c>
      <c r="C187" s="30" t="s">
        <v>286</v>
      </c>
      <c r="D187" s="27">
        <v>20468.716277624706</v>
      </c>
      <c r="E187" s="28">
        <v>16521.09875268217</v>
      </c>
      <c r="F187" s="27">
        <f t="shared" si="5"/>
        <v>3947.617524942536</v>
      </c>
      <c r="G187" s="27">
        <f t="shared" si="4"/>
        <v>19.286102124820879</v>
      </c>
      <c r="H187" s="29">
        <v>53</v>
      </c>
      <c r="I187" s="29">
        <v>4</v>
      </c>
      <c r="J187" s="12" t="s">
        <v>19</v>
      </c>
      <c r="K187" s="30">
        <v>40.8828566667</v>
      </c>
      <c r="L187" s="30">
        <v>71.988209999999995</v>
      </c>
      <c r="M187" s="20">
        <v>160</v>
      </c>
    </row>
    <row r="188" spans="1:13" ht="30" customHeight="1">
      <c r="A188" s="5" t="s">
        <v>13</v>
      </c>
      <c r="B188" s="30" t="s">
        <v>390</v>
      </c>
      <c r="C188" s="30" t="s">
        <v>287</v>
      </c>
      <c r="D188" s="27">
        <v>11098.192004624707</v>
      </c>
      <c r="E188" s="28">
        <v>8230.0210860154984</v>
      </c>
      <c r="F188" s="27">
        <f t="shared" si="5"/>
        <v>2868.1709186092085</v>
      </c>
      <c r="G188" s="27">
        <f t="shared" si="4"/>
        <v>25.843587112333417</v>
      </c>
      <c r="H188" s="29">
        <v>71</v>
      </c>
      <c r="I188" s="29">
        <v>0</v>
      </c>
      <c r="J188" s="12" t="s">
        <v>19</v>
      </c>
      <c r="K188" s="30">
        <v>40.859856666699997</v>
      </c>
      <c r="L188" s="30">
        <v>72.077610000000007</v>
      </c>
      <c r="M188" s="20">
        <v>63</v>
      </c>
    </row>
    <row r="189" spans="1:13" ht="30" customHeight="1">
      <c r="A189" s="5" t="s">
        <v>13</v>
      </c>
      <c r="B189" s="30" t="s">
        <v>391</v>
      </c>
      <c r="C189" s="30" t="s">
        <v>288</v>
      </c>
      <c r="D189" s="27">
        <v>14979.9212876247</v>
      </c>
      <c r="E189" s="28">
        <v>11962.032086015501</v>
      </c>
      <c r="F189" s="27">
        <f t="shared" si="5"/>
        <v>3017.8892016091995</v>
      </c>
      <c r="G189" s="27">
        <f t="shared" si="4"/>
        <v>20.146228699494941</v>
      </c>
      <c r="H189" s="29">
        <v>83</v>
      </c>
      <c r="I189" s="29">
        <v>0</v>
      </c>
      <c r="J189" s="12" t="s">
        <v>23</v>
      </c>
      <c r="K189" s="30">
        <v>40.848528333300003</v>
      </c>
      <c r="L189" s="30">
        <v>72.072953333300006</v>
      </c>
      <c r="M189" s="20">
        <v>100</v>
      </c>
    </row>
    <row r="190" spans="1:13" ht="30" customHeight="1">
      <c r="A190" s="5" t="s">
        <v>13</v>
      </c>
      <c r="B190" s="30" t="s">
        <v>390</v>
      </c>
      <c r="C190" s="30" t="s">
        <v>289</v>
      </c>
      <c r="D190" s="27">
        <v>14523.882257624698</v>
      </c>
      <c r="E190" s="28">
        <v>11695.760252682163</v>
      </c>
      <c r="F190" s="27">
        <f t="shared" si="5"/>
        <v>2828.1220049425356</v>
      </c>
      <c r="G190" s="27">
        <f t="shared" si="4"/>
        <v>19.472217928906975</v>
      </c>
      <c r="H190" s="29">
        <v>55</v>
      </c>
      <c r="I190" s="29">
        <v>2</v>
      </c>
      <c r="J190" s="12" t="s">
        <v>19</v>
      </c>
      <c r="K190" s="30">
        <v>40.877876666699997</v>
      </c>
      <c r="L190" s="30">
        <v>72.082390000000004</v>
      </c>
      <c r="M190" s="20">
        <v>100</v>
      </c>
    </row>
    <row r="191" spans="1:13" ht="30" customHeight="1">
      <c r="A191" s="5" t="s">
        <v>13</v>
      </c>
      <c r="B191" s="30" t="s">
        <v>384</v>
      </c>
      <c r="C191" s="30" t="s">
        <v>97</v>
      </c>
      <c r="D191" s="27">
        <v>14195.228097624704</v>
      </c>
      <c r="E191" s="28">
        <v>11411.429419348831</v>
      </c>
      <c r="F191" s="27">
        <f t="shared" si="5"/>
        <v>2783.7986782758726</v>
      </c>
      <c r="G191" s="27">
        <f t="shared" si="4"/>
        <v>19.610806245104911</v>
      </c>
      <c r="H191" s="29">
        <v>38</v>
      </c>
      <c r="I191" s="29">
        <v>0</v>
      </c>
      <c r="J191" s="12" t="s">
        <v>19</v>
      </c>
      <c r="K191" s="30">
        <v>40.864673333299997</v>
      </c>
      <c r="L191" s="30">
        <v>71.946511666700005</v>
      </c>
      <c r="M191" s="20">
        <v>100</v>
      </c>
    </row>
    <row r="192" spans="1:13" ht="30" customHeight="1">
      <c r="A192" s="5" t="s">
        <v>30</v>
      </c>
      <c r="B192" s="30" t="s">
        <v>385</v>
      </c>
      <c r="C192" s="30" t="s">
        <v>290</v>
      </c>
      <c r="D192" s="27">
        <v>20828.027347624713</v>
      </c>
      <c r="E192" s="28">
        <v>17077.203086015503</v>
      </c>
      <c r="F192" s="27">
        <f t="shared" si="5"/>
        <v>3750.8242616092102</v>
      </c>
      <c r="G192" s="27">
        <f t="shared" si="4"/>
        <v>18.008543003170988</v>
      </c>
      <c r="H192" s="29">
        <v>80</v>
      </c>
      <c r="I192" s="29">
        <v>2</v>
      </c>
      <c r="J192" s="12" t="s">
        <v>33</v>
      </c>
      <c r="K192" s="30">
        <v>40.865333333300001</v>
      </c>
      <c r="L192" s="30">
        <v>71.986301666700001</v>
      </c>
      <c r="M192" s="20">
        <v>160</v>
      </c>
    </row>
    <row r="193" spans="1:13" ht="30" customHeight="1">
      <c r="A193" s="5" t="s">
        <v>30</v>
      </c>
      <c r="B193" s="30" t="s">
        <v>388</v>
      </c>
      <c r="C193" s="30" t="s">
        <v>291</v>
      </c>
      <c r="D193" s="27">
        <v>15195.384107624704</v>
      </c>
      <c r="E193" s="28">
        <v>12146.691752682165</v>
      </c>
      <c r="F193" s="27">
        <f t="shared" si="5"/>
        <v>3048.6923549425392</v>
      </c>
      <c r="G193" s="27">
        <f t="shared" si="4"/>
        <v>20.063279304751326</v>
      </c>
      <c r="H193" s="29">
        <v>104</v>
      </c>
      <c r="I193" s="29">
        <v>0</v>
      </c>
      <c r="J193" s="12" t="s">
        <v>42</v>
      </c>
      <c r="K193" s="30">
        <v>40.872945000000001</v>
      </c>
      <c r="L193" s="30">
        <v>72.003528333299997</v>
      </c>
      <c r="M193" s="21">
        <v>250</v>
      </c>
    </row>
    <row r="194" spans="1:13" ht="30" customHeight="1">
      <c r="A194" s="5" t="s">
        <v>30</v>
      </c>
      <c r="B194" s="30" t="s">
        <v>384</v>
      </c>
      <c r="C194" s="30" t="s">
        <v>116</v>
      </c>
      <c r="D194" s="27">
        <v>27640.16958762471</v>
      </c>
      <c r="E194" s="28">
        <v>23273.656919348832</v>
      </c>
      <c r="F194" s="27">
        <f t="shared" si="5"/>
        <v>4366.5126682758782</v>
      </c>
      <c r="G194" s="27">
        <f t="shared" si="4"/>
        <v>15.797705779022754</v>
      </c>
      <c r="H194" s="29">
        <v>104</v>
      </c>
      <c r="I194" s="29">
        <v>2</v>
      </c>
      <c r="J194" s="12" t="s">
        <v>42</v>
      </c>
      <c r="K194" s="30">
        <v>40.890994999999997</v>
      </c>
      <c r="L194" s="30">
        <v>71.932898333300002</v>
      </c>
      <c r="M194" s="20">
        <v>400</v>
      </c>
    </row>
    <row r="195" spans="1:13" ht="30" customHeight="1">
      <c r="A195" s="5" t="s">
        <v>30</v>
      </c>
      <c r="B195" s="30" t="s">
        <v>389</v>
      </c>
      <c r="C195" s="30" t="s">
        <v>292</v>
      </c>
      <c r="D195" s="27">
        <v>12201.695807624703</v>
      </c>
      <c r="E195" s="28">
        <v>9529.4652526821646</v>
      </c>
      <c r="F195" s="27">
        <f t="shared" si="5"/>
        <v>2672.2305549425382</v>
      </c>
      <c r="G195" s="27">
        <f t="shared" ref="G195:G258" si="6">+F195*100/D195</f>
        <v>21.900484957776865</v>
      </c>
      <c r="H195" s="29">
        <v>25</v>
      </c>
      <c r="I195" s="29">
        <v>0</v>
      </c>
      <c r="J195" s="12" t="s">
        <v>42</v>
      </c>
      <c r="K195" s="30">
        <v>40.87829</v>
      </c>
      <c r="L195" s="30">
        <v>72.038823333300002</v>
      </c>
      <c r="M195" s="20">
        <v>160</v>
      </c>
    </row>
    <row r="196" spans="1:13" ht="30" customHeight="1">
      <c r="A196" s="5" t="s">
        <v>30</v>
      </c>
      <c r="B196" s="30" t="s">
        <v>392</v>
      </c>
      <c r="C196" s="30" t="s">
        <v>293</v>
      </c>
      <c r="D196" s="27">
        <v>13080.201147624703</v>
      </c>
      <c r="E196" s="28">
        <v>10289.726752682163</v>
      </c>
      <c r="F196" s="27">
        <f t="shared" si="5"/>
        <v>2790.4743949425392</v>
      </c>
      <c r="G196" s="27">
        <f t="shared" si="6"/>
        <v>21.333574028785293</v>
      </c>
      <c r="H196" s="29">
        <v>90</v>
      </c>
      <c r="I196" s="29">
        <v>2</v>
      </c>
      <c r="J196" s="12" t="s">
        <v>51</v>
      </c>
      <c r="K196" s="30">
        <v>40.838336666700002</v>
      </c>
      <c r="L196" s="30">
        <v>72.207795000000004</v>
      </c>
      <c r="M196" s="20">
        <v>100</v>
      </c>
    </row>
    <row r="197" spans="1:13" ht="30" customHeight="1">
      <c r="A197" s="5" t="s">
        <v>30</v>
      </c>
      <c r="B197" s="30" t="s">
        <v>392</v>
      </c>
      <c r="C197" s="30" t="s">
        <v>294</v>
      </c>
      <c r="D197" s="27">
        <v>14233.541387624704</v>
      </c>
      <c r="E197" s="28">
        <v>11297.4910860155</v>
      </c>
      <c r="F197" s="27">
        <f t="shared" ref="F197:F260" si="7">+D197-E197</f>
        <v>2936.0503016092043</v>
      </c>
      <c r="G197" s="27">
        <f t="shared" si="6"/>
        <v>20.627686544417834</v>
      </c>
      <c r="H197" s="29">
        <v>77</v>
      </c>
      <c r="I197" s="29">
        <v>0</v>
      </c>
      <c r="J197" s="12" t="s">
        <v>51</v>
      </c>
      <c r="K197" s="30">
        <v>40.839168333300002</v>
      </c>
      <c r="L197" s="30">
        <v>72.209829999999997</v>
      </c>
      <c r="M197" s="20">
        <v>100</v>
      </c>
    </row>
    <row r="198" spans="1:13" ht="30" customHeight="1">
      <c r="A198" s="5" t="s">
        <v>30</v>
      </c>
      <c r="B198" s="30" t="s">
        <v>388</v>
      </c>
      <c r="C198" s="30" t="s">
        <v>295</v>
      </c>
      <c r="D198" s="27">
        <v>16941.201057624701</v>
      </c>
      <c r="E198" s="28">
        <v>13658.062586015498</v>
      </c>
      <c r="F198" s="27">
        <f t="shared" si="7"/>
        <v>3283.1384716092034</v>
      </c>
      <c r="G198" s="27">
        <f t="shared" si="6"/>
        <v>19.379608685604769</v>
      </c>
      <c r="H198" s="29">
        <v>103</v>
      </c>
      <c r="I198" s="29">
        <v>2</v>
      </c>
      <c r="J198" s="12" t="s">
        <v>51</v>
      </c>
      <c r="K198" s="30">
        <v>40.875433333300002</v>
      </c>
      <c r="L198" s="30">
        <v>72.019919999999999</v>
      </c>
      <c r="M198" s="20">
        <v>160</v>
      </c>
    </row>
    <row r="199" spans="1:13" ht="30" customHeight="1">
      <c r="A199" s="5" t="s">
        <v>30</v>
      </c>
      <c r="B199" s="30" t="s">
        <v>388</v>
      </c>
      <c r="C199" s="30" t="s">
        <v>296</v>
      </c>
      <c r="D199" s="27">
        <v>10796.654277624708</v>
      </c>
      <c r="E199" s="28">
        <v>8179.0320860154989</v>
      </c>
      <c r="F199" s="27">
        <f t="shared" si="7"/>
        <v>2617.622191609209</v>
      </c>
      <c r="G199" s="27">
        <f t="shared" si="6"/>
        <v>24.244753275410915</v>
      </c>
      <c r="H199" s="29">
        <v>24</v>
      </c>
      <c r="I199" s="29">
        <v>2</v>
      </c>
      <c r="J199" s="12" t="s">
        <v>51</v>
      </c>
      <c r="K199" s="30">
        <v>40.874026666600002</v>
      </c>
      <c r="L199" s="30">
        <v>72.094549999700007</v>
      </c>
      <c r="M199" s="20">
        <v>250</v>
      </c>
    </row>
    <row r="200" spans="1:13" ht="30" customHeight="1">
      <c r="A200" s="5" t="s">
        <v>30</v>
      </c>
      <c r="B200" s="30" t="s">
        <v>386</v>
      </c>
      <c r="C200" s="30" t="s">
        <v>297</v>
      </c>
      <c r="D200" s="27">
        <v>12616.251367624704</v>
      </c>
      <c r="E200" s="28">
        <v>9911.9287526821645</v>
      </c>
      <c r="F200" s="27">
        <f t="shared" si="7"/>
        <v>2704.3226149425391</v>
      </c>
      <c r="G200" s="27">
        <f t="shared" si="6"/>
        <v>21.435230926693951</v>
      </c>
      <c r="H200" s="29">
        <v>57</v>
      </c>
      <c r="I200" s="29">
        <v>0</v>
      </c>
      <c r="J200" s="12"/>
      <c r="K200" s="30">
        <v>40.872078333300003</v>
      </c>
      <c r="L200" s="30">
        <v>71.959788333299997</v>
      </c>
      <c r="M200" s="20">
        <v>63</v>
      </c>
    </row>
    <row r="201" spans="1:13" ht="30" customHeight="1">
      <c r="A201" s="5" t="s">
        <v>30</v>
      </c>
      <c r="B201" s="30" t="s">
        <v>387</v>
      </c>
      <c r="C201" s="30" t="s">
        <v>298</v>
      </c>
      <c r="D201" s="27">
        <v>10895.022747624702</v>
      </c>
      <c r="E201" s="28">
        <v>8144.9887526821631</v>
      </c>
      <c r="F201" s="27">
        <f t="shared" si="7"/>
        <v>2750.0339949425388</v>
      </c>
      <c r="G201" s="27">
        <f t="shared" si="6"/>
        <v>25.241195531621006</v>
      </c>
      <c r="H201" s="29">
        <v>50</v>
      </c>
      <c r="I201" s="29">
        <v>0</v>
      </c>
      <c r="J201" s="12" t="s">
        <v>52</v>
      </c>
      <c r="K201" s="30">
        <v>40.885644999999997</v>
      </c>
      <c r="L201" s="30">
        <v>71.975255000000004</v>
      </c>
      <c r="M201" s="20">
        <v>250</v>
      </c>
    </row>
    <row r="202" spans="1:13" ht="30" customHeight="1">
      <c r="A202" s="19" t="s">
        <v>30</v>
      </c>
      <c r="B202" s="30" t="s">
        <v>387</v>
      </c>
      <c r="C202" s="30" t="s">
        <v>299</v>
      </c>
      <c r="D202" s="27">
        <v>12906.820307624703</v>
      </c>
      <c r="E202" s="28">
        <v>10246.387252682165</v>
      </c>
      <c r="F202" s="27">
        <f t="shared" si="7"/>
        <v>2660.4330549425376</v>
      </c>
      <c r="G202" s="27">
        <f t="shared" si="6"/>
        <v>20.612614040740048</v>
      </c>
      <c r="H202" s="29">
        <v>45</v>
      </c>
      <c r="I202" s="29">
        <v>2</v>
      </c>
      <c r="J202" s="13" t="s">
        <v>52</v>
      </c>
      <c r="K202" s="30">
        <v>40.883506666700001</v>
      </c>
      <c r="L202" s="30">
        <v>71.977718333300004</v>
      </c>
      <c r="M202" s="20">
        <v>250</v>
      </c>
    </row>
    <row r="203" spans="1:13" ht="30" customHeight="1">
      <c r="A203" s="19" t="s">
        <v>30</v>
      </c>
      <c r="B203" s="30" t="s">
        <v>389</v>
      </c>
      <c r="C203" s="30" t="s">
        <v>300</v>
      </c>
      <c r="D203" s="27">
        <v>11187.586487624705</v>
      </c>
      <c r="E203" s="28">
        <v>8719.1652526821636</v>
      </c>
      <c r="F203" s="27">
        <f t="shared" si="7"/>
        <v>2468.4212349425416</v>
      </c>
      <c r="G203" s="27">
        <f t="shared" si="6"/>
        <v>22.063929853619616</v>
      </c>
      <c r="H203" s="29">
        <v>27</v>
      </c>
      <c r="I203" s="29">
        <v>2</v>
      </c>
      <c r="J203" s="13" t="s">
        <v>52</v>
      </c>
      <c r="K203" s="30">
        <v>40.877465000000001</v>
      </c>
      <c r="L203" s="30">
        <v>72.08811</v>
      </c>
      <c r="M203" s="20">
        <v>250</v>
      </c>
    </row>
    <row r="204" spans="1:13" ht="30" customHeight="1">
      <c r="A204" s="19" t="s">
        <v>30</v>
      </c>
      <c r="B204" s="30" t="s">
        <v>390</v>
      </c>
      <c r="C204" s="30" t="s">
        <v>301</v>
      </c>
      <c r="D204" s="27">
        <v>19497.674757624711</v>
      </c>
      <c r="E204" s="28">
        <v>15917.777919348835</v>
      </c>
      <c r="F204" s="27">
        <f t="shared" si="7"/>
        <v>3579.8968382758758</v>
      </c>
      <c r="G204" s="27">
        <f t="shared" si="6"/>
        <v>18.360634705304694</v>
      </c>
      <c r="H204" s="29">
        <v>90</v>
      </c>
      <c r="I204" s="29">
        <v>0</v>
      </c>
      <c r="J204" s="13" t="s">
        <v>53</v>
      </c>
      <c r="K204" s="30">
        <v>40.861406666699999</v>
      </c>
      <c r="L204" s="30">
        <v>72.060223333300002</v>
      </c>
      <c r="M204" s="20">
        <v>100</v>
      </c>
    </row>
    <row r="205" spans="1:13" ht="30" customHeight="1">
      <c r="A205" s="19" t="s">
        <v>30</v>
      </c>
      <c r="B205" s="30" t="s">
        <v>388</v>
      </c>
      <c r="C205" s="30" t="s">
        <v>302</v>
      </c>
      <c r="D205" s="27">
        <v>12009.185317624706</v>
      </c>
      <c r="E205" s="28">
        <v>9127.8787526821652</v>
      </c>
      <c r="F205" s="27">
        <f t="shared" si="7"/>
        <v>2881.3065649425407</v>
      </c>
      <c r="G205" s="27">
        <f t="shared" si="6"/>
        <v>23.992523129057965</v>
      </c>
      <c r="H205" s="29">
        <v>69</v>
      </c>
      <c r="I205" s="29">
        <v>0</v>
      </c>
      <c r="J205" s="13" t="s">
        <v>53</v>
      </c>
      <c r="K205" s="30">
        <v>40.876036666700003</v>
      </c>
      <c r="L205" s="30">
        <v>72.012455000000003</v>
      </c>
      <c r="M205" s="20">
        <v>63</v>
      </c>
    </row>
    <row r="206" spans="1:13" ht="30" customHeight="1">
      <c r="A206" s="19" t="s">
        <v>30</v>
      </c>
      <c r="B206" s="30" t="s">
        <v>387</v>
      </c>
      <c r="C206" s="30" t="s">
        <v>303</v>
      </c>
      <c r="D206" s="27">
        <v>33414.880207624708</v>
      </c>
      <c r="E206" s="28">
        <v>28085.476086015486</v>
      </c>
      <c r="F206" s="27">
        <f t="shared" si="7"/>
        <v>5329.4041216092228</v>
      </c>
      <c r="G206" s="27">
        <f t="shared" si="6"/>
        <v>15.949194156898828</v>
      </c>
      <c r="H206" s="29">
        <v>140</v>
      </c>
      <c r="I206" s="29">
        <v>0</v>
      </c>
      <c r="J206" s="13" t="s">
        <v>53</v>
      </c>
      <c r="K206" s="30">
        <v>40.878603333299999</v>
      </c>
      <c r="L206" s="30">
        <v>71.971546666699993</v>
      </c>
      <c r="M206" s="20">
        <v>100</v>
      </c>
    </row>
    <row r="207" spans="1:13" ht="30" customHeight="1">
      <c r="A207" s="19" t="s">
        <v>30</v>
      </c>
      <c r="B207" s="30" t="s">
        <v>388</v>
      </c>
      <c r="C207" s="30" t="s">
        <v>304</v>
      </c>
      <c r="D207" s="27">
        <v>13964.419197624706</v>
      </c>
      <c r="E207" s="28">
        <v>11221.037086015496</v>
      </c>
      <c r="F207" s="27">
        <f t="shared" si="7"/>
        <v>2743.3821116092095</v>
      </c>
      <c r="G207" s="27">
        <f t="shared" si="6"/>
        <v>19.645515311341043</v>
      </c>
      <c r="H207" s="29">
        <v>53</v>
      </c>
      <c r="I207" s="29">
        <v>0</v>
      </c>
      <c r="J207" s="13" t="s">
        <v>53</v>
      </c>
      <c r="K207" s="30">
        <v>40.877144999999999</v>
      </c>
      <c r="L207" s="30">
        <v>72.008285000000001</v>
      </c>
      <c r="M207" s="20">
        <v>160</v>
      </c>
    </row>
    <row r="208" spans="1:13" ht="30" customHeight="1">
      <c r="A208" s="19" t="s">
        <v>30</v>
      </c>
      <c r="B208" s="30" t="s">
        <v>389</v>
      </c>
      <c r="C208" s="30" t="s">
        <v>305</v>
      </c>
      <c r="D208" s="27">
        <v>14835.001887624701</v>
      </c>
      <c r="E208" s="28">
        <v>11701.635419348833</v>
      </c>
      <c r="F208" s="27">
        <f t="shared" si="7"/>
        <v>3133.3664682758681</v>
      </c>
      <c r="G208" s="27">
        <f t="shared" si="6"/>
        <v>21.121443003588087</v>
      </c>
      <c r="H208" s="29">
        <v>119</v>
      </c>
      <c r="I208" s="29">
        <v>0</v>
      </c>
      <c r="J208" s="13" t="s">
        <v>53</v>
      </c>
      <c r="K208" s="30">
        <v>40.881168333300003</v>
      </c>
      <c r="L208" s="30">
        <v>72.049769999999995</v>
      </c>
      <c r="M208" s="20">
        <v>160</v>
      </c>
    </row>
    <row r="209" spans="1:13" ht="30" customHeight="1">
      <c r="A209" s="19" t="s">
        <v>30</v>
      </c>
      <c r="B209" s="30" t="s">
        <v>390</v>
      </c>
      <c r="C209" s="30" t="s">
        <v>306</v>
      </c>
      <c r="D209" s="27">
        <v>12643.012447624707</v>
      </c>
      <c r="E209" s="28">
        <v>10020.072086015496</v>
      </c>
      <c r="F209" s="27">
        <f t="shared" si="7"/>
        <v>2622.9403616092113</v>
      </c>
      <c r="G209" s="27">
        <f t="shared" si="6"/>
        <v>20.7461660935246</v>
      </c>
      <c r="H209" s="29">
        <v>86</v>
      </c>
      <c r="I209" s="29">
        <v>8</v>
      </c>
      <c r="J209" s="13" t="s">
        <v>53</v>
      </c>
      <c r="K209" s="30">
        <v>40.850251666699997</v>
      </c>
      <c r="L209" s="30">
        <v>72.055284999999998</v>
      </c>
      <c r="M209" s="20">
        <v>250</v>
      </c>
    </row>
    <row r="210" spans="1:13" ht="30" customHeight="1">
      <c r="A210" s="19" t="s">
        <v>30</v>
      </c>
      <c r="B210" s="30" t="s">
        <v>389</v>
      </c>
      <c r="C210" s="30" t="s">
        <v>307</v>
      </c>
      <c r="D210" s="27">
        <v>18293.893267624713</v>
      </c>
      <c r="E210" s="28">
        <v>14923.195419348835</v>
      </c>
      <c r="F210" s="27">
        <f t="shared" si="7"/>
        <v>3370.6978482758786</v>
      </c>
      <c r="G210" s="27">
        <f t="shared" si="6"/>
        <v>18.425262457615354</v>
      </c>
      <c r="H210" s="29">
        <v>57</v>
      </c>
      <c r="I210" s="29">
        <v>0</v>
      </c>
      <c r="J210" s="13" t="s">
        <v>53</v>
      </c>
      <c r="K210" s="30">
        <v>40.8797483333</v>
      </c>
      <c r="L210" s="30">
        <v>72.029821666700002</v>
      </c>
      <c r="M210" s="20">
        <v>40</v>
      </c>
    </row>
    <row r="211" spans="1:13" ht="30" customHeight="1">
      <c r="A211" s="19" t="s">
        <v>30</v>
      </c>
      <c r="B211" s="30" t="s">
        <v>387</v>
      </c>
      <c r="C211" s="30" t="s">
        <v>308</v>
      </c>
      <c r="D211" s="27">
        <v>16181.637347624706</v>
      </c>
      <c r="E211" s="28">
        <v>13015.325586015497</v>
      </c>
      <c r="F211" s="27">
        <f t="shared" si="7"/>
        <v>3166.3117616092095</v>
      </c>
      <c r="G211" s="27">
        <f t="shared" si="6"/>
        <v>19.567313823616189</v>
      </c>
      <c r="H211" s="29">
        <v>50</v>
      </c>
      <c r="I211" s="29">
        <v>0</v>
      </c>
      <c r="J211" s="13" t="s">
        <v>49</v>
      </c>
      <c r="K211" s="30">
        <v>40.87462</v>
      </c>
      <c r="L211" s="30">
        <v>71.975811666699997</v>
      </c>
      <c r="M211" s="20">
        <v>250</v>
      </c>
    </row>
    <row r="212" spans="1:13" ht="30" customHeight="1">
      <c r="A212" s="19" t="s">
        <v>30</v>
      </c>
      <c r="B212" s="30" t="s">
        <v>392</v>
      </c>
      <c r="C212" s="30" t="s">
        <v>309</v>
      </c>
      <c r="D212" s="27">
        <v>12526.543997624702</v>
      </c>
      <c r="E212" s="28">
        <v>9959.8479193488311</v>
      </c>
      <c r="F212" s="27">
        <f t="shared" si="7"/>
        <v>2566.6960782758706</v>
      </c>
      <c r="G212" s="27">
        <f t="shared" si="6"/>
        <v>20.490057583021866</v>
      </c>
      <c r="H212" s="29">
        <v>62</v>
      </c>
      <c r="I212" s="29">
        <v>2</v>
      </c>
      <c r="J212" s="13" t="s">
        <v>49</v>
      </c>
      <c r="K212" s="30">
        <v>40.841295000000002</v>
      </c>
      <c r="L212" s="30">
        <v>72.169233333299999</v>
      </c>
      <c r="M212" s="20">
        <v>63</v>
      </c>
    </row>
    <row r="213" spans="1:13" ht="30" customHeight="1">
      <c r="A213" s="19" t="s">
        <v>30</v>
      </c>
      <c r="B213" s="30" t="s">
        <v>389</v>
      </c>
      <c r="C213" s="30" t="s">
        <v>310</v>
      </c>
      <c r="D213" s="27">
        <v>14806.028827624703</v>
      </c>
      <c r="E213" s="28">
        <v>11806.689586015498</v>
      </c>
      <c r="F213" s="27">
        <f t="shared" si="7"/>
        <v>2999.3392416092047</v>
      </c>
      <c r="G213" s="27">
        <f t="shared" si="6"/>
        <v>20.257553706859706</v>
      </c>
      <c r="H213" s="29">
        <v>69</v>
      </c>
      <c r="I213" s="29">
        <v>2</v>
      </c>
      <c r="J213" s="13" t="s">
        <v>54</v>
      </c>
      <c r="K213" s="30">
        <v>40.8741466667</v>
      </c>
      <c r="L213" s="30">
        <v>72.027926666699997</v>
      </c>
      <c r="M213" s="20">
        <v>25</v>
      </c>
    </row>
    <row r="214" spans="1:13" ht="30" customHeight="1">
      <c r="A214" s="19" t="s">
        <v>30</v>
      </c>
      <c r="B214" s="30" t="s">
        <v>392</v>
      </c>
      <c r="C214" s="30" t="s">
        <v>311</v>
      </c>
      <c r="D214" s="27">
        <v>11302.318087624708</v>
      </c>
      <c r="E214" s="28">
        <v>8735.5557526821649</v>
      </c>
      <c r="F214" s="27">
        <f t="shared" si="7"/>
        <v>2566.762334942543</v>
      </c>
      <c r="G214" s="27">
        <f t="shared" si="6"/>
        <v>22.710052177287228</v>
      </c>
      <c r="H214" s="29">
        <v>57</v>
      </c>
      <c r="I214" s="29">
        <v>0</v>
      </c>
      <c r="J214" s="13" t="s">
        <v>52</v>
      </c>
      <c r="K214" s="30">
        <v>40.822923333299997</v>
      </c>
      <c r="L214" s="30">
        <v>72.176041666700002</v>
      </c>
      <c r="M214" s="20">
        <v>100</v>
      </c>
    </row>
    <row r="215" spans="1:13" ht="30" customHeight="1">
      <c r="A215" s="19" t="s">
        <v>30</v>
      </c>
      <c r="B215" s="30" t="s">
        <v>388</v>
      </c>
      <c r="C215" s="30" t="s">
        <v>312</v>
      </c>
      <c r="D215" s="27">
        <v>15272.460597624704</v>
      </c>
      <c r="E215" s="28">
        <v>12509.682919348832</v>
      </c>
      <c r="F215" s="27">
        <f t="shared" si="7"/>
        <v>2762.7776782758719</v>
      </c>
      <c r="G215" s="27">
        <f t="shared" si="6"/>
        <v>18.089931616556676</v>
      </c>
      <c r="H215" s="29">
        <v>75</v>
      </c>
      <c r="I215" s="29">
        <v>0</v>
      </c>
      <c r="J215" s="13" t="s">
        <v>42</v>
      </c>
      <c r="K215" s="30">
        <v>40.871153333300001</v>
      </c>
      <c r="L215" s="30">
        <v>72.022553333299996</v>
      </c>
      <c r="M215" s="20">
        <v>250</v>
      </c>
    </row>
    <row r="216" spans="1:13" ht="30" customHeight="1">
      <c r="A216" s="19" t="s">
        <v>30</v>
      </c>
      <c r="B216" s="30" t="s">
        <v>389</v>
      </c>
      <c r="C216" s="30" t="s">
        <v>313</v>
      </c>
      <c r="D216" s="27">
        <v>24573.282587624712</v>
      </c>
      <c r="E216" s="28">
        <v>20482.116419348833</v>
      </c>
      <c r="F216" s="27">
        <f t="shared" si="7"/>
        <v>4091.1661682758786</v>
      </c>
      <c r="G216" s="27">
        <f t="shared" si="6"/>
        <v>16.648838646962943</v>
      </c>
      <c r="H216" s="29">
        <v>98</v>
      </c>
      <c r="I216" s="29">
        <v>4</v>
      </c>
      <c r="J216" s="13" t="s">
        <v>27</v>
      </c>
      <c r="K216" s="30">
        <v>40.879914999999997</v>
      </c>
      <c r="L216" s="30">
        <v>72.089108333300004</v>
      </c>
      <c r="M216" s="20">
        <v>40</v>
      </c>
    </row>
    <row r="217" spans="1:13" ht="30" customHeight="1">
      <c r="A217" s="19" t="s">
        <v>30</v>
      </c>
      <c r="B217" s="30" t="s">
        <v>388</v>
      </c>
      <c r="C217" s="30" t="s">
        <v>314</v>
      </c>
      <c r="D217" s="27">
        <v>14421.385757624706</v>
      </c>
      <c r="E217" s="28">
        <v>11754.186419348831</v>
      </c>
      <c r="F217" s="27">
        <f t="shared" si="7"/>
        <v>2667.1993382758756</v>
      </c>
      <c r="G217" s="27">
        <f t="shared" si="6"/>
        <v>18.494750664759838</v>
      </c>
      <c r="H217" s="29">
        <v>53</v>
      </c>
      <c r="I217" s="29">
        <v>2</v>
      </c>
      <c r="J217" s="13" t="s">
        <v>32</v>
      </c>
      <c r="K217" s="30">
        <v>40.876891666699997</v>
      </c>
      <c r="L217" s="30">
        <v>71.987205000000003</v>
      </c>
      <c r="M217" s="19">
        <v>160</v>
      </c>
    </row>
    <row r="218" spans="1:13" ht="30" customHeight="1">
      <c r="A218" s="19" t="s">
        <v>30</v>
      </c>
      <c r="B218" s="30" t="s">
        <v>388</v>
      </c>
      <c r="C218" s="30" t="s">
        <v>315</v>
      </c>
      <c r="D218" s="27">
        <v>12341.232797624702</v>
      </c>
      <c r="E218" s="28">
        <v>9645.7747526821659</v>
      </c>
      <c r="F218" s="27">
        <f t="shared" si="7"/>
        <v>2695.4580449425357</v>
      </c>
      <c r="G218" s="27">
        <f t="shared" si="6"/>
        <v>21.841076083268817</v>
      </c>
      <c r="H218" s="29">
        <v>44</v>
      </c>
      <c r="I218" s="29">
        <v>2</v>
      </c>
      <c r="J218" s="13"/>
      <c r="K218" s="30">
        <v>40.8787183333</v>
      </c>
      <c r="L218" s="30">
        <v>71.984646666700002</v>
      </c>
      <c r="M218" s="20">
        <v>160</v>
      </c>
    </row>
    <row r="219" spans="1:13" ht="30" customHeight="1">
      <c r="A219" s="19" t="s">
        <v>30</v>
      </c>
      <c r="B219" s="30" t="s">
        <v>392</v>
      </c>
      <c r="C219" s="30" t="s">
        <v>316</v>
      </c>
      <c r="D219" s="27">
        <v>14595.427317624704</v>
      </c>
      <c r="E219" s="28">
        <v>11623.077419348831</v>
      </c>
      <c r="F219" s="27">
        <f t="shared" si="7"/>
        <v>2972.3498982758738</v>
      </c>
      <c r="G219" s="27">
        <f t="shared" si="6"/>
        <v>20.364939193569299</v>
      </c>
      <c r="H219" s="29">
        <v>97</v>
      </c>
      <c r="I219" s="29">
        <v>0</v>
      </c>
      <c r="J219" s="13"/>
      <c r="K219" s="30">
        <v>40.835000000000001</v>
      </c>
      <c r="L219" s="30">
        <v>72.206898333300003</v>
      </c>
      <c r="M219" s="20">
        <v>63</v>
      </c>
    </row>
    <row r="220" spans="1:13" ht="30" customHeight="1">
      <c r="A220" s="19" t="s">
        <v>30</v>
      </c>
      <c r="B220" s="30" t="s">
        <v>387</v>
      </c>
      <c r="C220" s="30" t="s">
        <v>317</v>
      </c>
      <c r="D220" s="27">
        <v>12029.745697624703</v>
      </c>
      <c r="E220" s="28">
        <v>9366.2052526821644</v>
      </c>
      <c r="F220" s="27">
        <f t="shared" si="7"/>
        <v>2663.5404449425387</v>
      </c>
      <c r="G220" s="27">
        <f t="shared" si="6"/>
        <v>22.141286373729912</v>
      </c>
      <c r="H220" s="29">
        <v>81</v>
      </c>
      <c r="I220" s="29">
        <v>2</v>
      </c>
      <c r="J220" s="13"/>
      <c r="K220" s="30">
        <v>40.880708333299999</v>
      </c>
      <c r="L220" s="30">
        <v>71.964420000000004</v>
      </c>
      <c r="M220" s="20">
        <v>63</v>
      </c>
    </row>
    <row r="221" spans="1:13" ht="30" customHeight="1">
      <c r="A221" s="19" t="s">
        <v>13</v>
      </c>
      <c r="B221" s="30" t="s">
        <v>386</v>
      </c>
      <c r="C221" s="30" t="s">
        <v>318</v>
      </c>
      <c r="D221" s="27">
        <v>33863.207447624707</v>
      </c>
      <c r="E221" s="28">
        <v>28584.780919348821</v>
      </c>
      <c r="F221" s="27">
        <f t="shared" si="7"/>
        <v>5278.4265282758861</v>
      </c>
      <c r="G221" s="27">
        <f t="shared" si="6"/>
        <v>15.587497245911756</v>
      </c>
      <c r="H221" s="29">
        <v>72</v>
      </c>
      <c r="I221" s="29">
        <v>2</v>
      </c>
      <c r="J221" s="13"/>
      <c r="K221" s="30">
        <v>40.874901666699998</v>
      </c>
      <c r="L221" s="30">
        <v>71.967150000000004</v>
      </c>
      <c r="M221" s="20">
        <v>160</v>
      </c>
    </row>
    <row r="222" spans="1:13" ht="30" customHeight="1">
      <c r="A222" s="19" t="s">
        <v>30</v>
      </c>
      <c r="B222" s="30" t="s">
        <v>386</v>
      </c>
      <c r="C222" s="30" t="s">
        <v>319</v>
      </c>
      <c r="D222" s="27">
        <v>12956.029237624705</v>
      </c>
      <c r="E222" s="28">
        <v>10178.525419348831</v>
      </c>
      <c r="F222" s="27">
        <f t="shared" si="7"/>
        <v>2777.5038182758744</v>
      </c>
      <c r="G222" s="27">
        <f t="shared" si="6"/>
        <v>21.4379249022526</v>
      </c>
      <c r="H222" s="29">
        <v>126</v>
      </c>
      <c r="I222" s="29">
        <v>2</v>
      </c>
      <c r="J222" s="13"/>
      <c r="K222" s="30">
        <v>40.869693333299999</v>
      </c>
      <c r="L222" s="30">
        <v>71.966144999999997</v>
      </c>
      <c r="M222" s="19">
        <v>160</v>
      </c>
    </row>
    <row r="223" spans="1:13" ht="30" customHeight="1">
      <c r="A223" s="19" t="s">
        <v>30</v>
      </c>
      <c r="B223" s="30" t="s">
        <v>384</v>
      </c>
      <c r="C223" s="30" t="s">
        <v>90</v>
      </c>
      <c r="D223" s="27">
        <v>12783.464437624709</v>
      </c>
      <c r="E223" s="28">
        <v>10144.875586015496</v>
      </c>
      <c r="F223" s="27">
        <f t="shared" si="7"/>
        <v>2638.5888516092127</v>
      </c>
      <c r="G223" s="27">
        <f t="shared" si="6"/>
        <v>20.640639824077986</v>
      </c>
      <c r="H223" s="29">
        <v>87</v>
      </c>
      <c r="I223" s="29">
        <v>0</v>
      </c>
      <c r="J223" s="13" t="s">
        <v>39</v>
      </c>
      <c r="K223" s="30">
        <v>40.8802053239</v>
      </c>
      <c r="L223" s="30">
        <v>71.948066717000003</v>
      </c>
      <c r="M223" s="20">
        <v>100</v>
      </c>
    </row>
    <row r="224" spans="1:13" ht="30" customHeight="1">
      <c r="A224" s="19" t="s">
        <v>13</v>
      </c>
      <c r="B224" s="30" t="s">
        <v>392</v>
      </c>
      <c r="C224" s="30" t="s">
        <v>320</v>
      </c>
      <c r="D224" s="27">
        <v>14205.193967624704</v>
      </c>
      <c r="E224" s="28">
        <v>11357.318419348832</v>
      </c>
      <c r="F224" s="27">
        <f t="shared" si="7"/>
        <v>2847.8755482758716</v>
      </c>
      <c r="G224" s="27">
        <f t="shared" si="6"/>
        <v>20.048128556121885</v>
      </c>
      <c r="H224" s="29">
        <v>42</v>
      </c>
      <c r="I224" s="29">
        <v>0</v>
      </c>
      <c r="J224" s="13" t="s">
        <v>23</v>
      </c>
      <c r="K224" s="30">
        <v>40.837551666700001</v>
      </c>
      <c r="L224" s="30">
        <v>72.172751666699995</v>
      </c>
      <c r="M224" s="20">
        <v>100</v>
      </c>
    </row>
    <row r="225" spans="1:13" ht="30" customHeight="1">
      <c r="A225" s="16" t="s">
        <v>13</v>
      </c>
      <c r="B225" s="30" t="s">
        <v>385</v>
      </c>
      <c r="C225" s="30" t="s">
        <v>321</v>
      </c>
      <c r="D225" s="27">
        <v>15332.2532476247</v>
      </c>
      <c r="E225" s="28">
        <v>12249.768086015498</v>
      </c>
      <c r="F225" s="27">
        <f t="shared" si="7"/>
        <v>3082.4851616092019</v>
      </c>
      <c r="G225" s="27">
        <f t="shared" si="6"/>
        <v>20.104580271570626</v>
      </c>
      <c r="H225" s="29">
        <v>88</v>
      </c>
      <c r="I225" s="29">
        <v>2</v>
      </c>
      <c r="J225" s="15" t="s">
        <v>55</v>
      </c>
      <c r="K225" s="30">
        <v>40.857341666700002</v>
      </c>
      <c r="L225" s="30">
        <v>72.001365000000007</v>
      </c>
      <c r="M225" s="15">
        <v>1000</v>
      </c>
    </row>
    <row r="226" spans="1:13" ht="30" customHeight="1">
      <c r="A226" s="16" t="s">
        <v>13</v>
      </c>
      <c r="B226" s="30" t="s">
        <v>387</v>
      </c>
      <c r="C226" s="30" t="s">
        <v>322</v>
      </c>
      <c r="D226" s="27">
        <v>13943.103197624707</v>
      </c>
      <c r="E226" s="28">
        <v>11214.569252682164</v>
      </c>
      <c r="F226" s="27">
        <f t="shared" si="7"/>
        <v>2728.5339449425428</v>
      </c>
      <c r="G226" s="27">
        <f t="shared" si="6"/>
        <v>19.569057951226849</v>
      </c>
      <c r="H226" s="29">
        <v>50</v>
      </c>
      <c r="I226" s="29">
        <v>0</v>
      </c>
      <c r="J226" s="15" t="s">
        <v>55</v>
      </c>
      <c r="K226" s="30">
        <v>40.883535000000002</v>
      </c>
      <c r="L226" s="30">
        <v>71.979993333300001</v>
      </c>
      <c r="M226" s="15">
        <v>630</v>
      </c>
    </row>
    <row r="227" spans="1:13" ht="30" customHeight="1">
      <c r="A227" s="16" t="s">
        <v>13</v>
      </c>
      <c r="B227" s="30" t="s">
        <v>390</v>
      </c>
      <c r="C227" s="30" t="s">
        <v>323</v>
      </c>
      <c r="D227" s="27">
        <v>15314.127837624699</v>
      </c>
      <c r="E227" s="28">
        <v>12413.424752682165</v>
      </c>
      <c r="F227" s="27">
        <f t="shared" si="7"/>
        <v>2900.7030849425337</v>
      </c>
      <c r="G227" s="27">
        <f t="shared" si="6"/>
        <v>18.941353472418498</v>
      </c>
      <c r="H227" s="29">
        <v>51</v>
      </c>
      <c r="I227" s="29">
        <v>4</v>
      </c>
      <c r="J227" s="15" t="s">
        <v>56</v>
      </c>
      <c r="K227" s="30">
        <v>40.874026666600002</v>
      </c>
      <c r="L227" s="30">
        <v>72.094549999700007</v>
      </c>
      <c r="M227" s="15">
        <v>400</v>
      </c>
    </row>
    <row r="228" spans="1:13" ht="30" customHeight="1">
      <c r="A228" s="16" t="s">
        <v>30</v>
      </c>
      <c r="B228" s="30" t="s">
        <v>391</v>
      </c>
      <c r="C228" s="30" t="s">
        <v>324</v>
      </c>
      <c r="D228" s="27">
        <v>11621.293242624703</v>
      </c>
      <c r="E228" s="28">
        <v>9015.2652526821639</v>
      </c>
      <c r="F228" s="27">
        <f t="shared" si="7"/>
        <v>2606.0279899425386</v>
      </c>
      <c r="G228" s="27">
        <f t="shared" si="6"/>
        <v>22.424595400313294</v>
      </c>
      <c r="H228" s="29">
        <v>74</v>
      </c>
      <c r="I228" s="29">
        <v>2</v>
      </c>
      <c r="J228" s="15" t="s">
        <v>57</v>
      </c>
      <c r="K228" s="30">
        <v>40.846710000000002</v>
      </c>
      <c r="L228" s="30">
        <v>72.065683333300001</v>
      </c>
      <c r="M228" s="15">
        <v>1000</v>
      </c>
    </row>
    <row r="229" spans="1:13" ht="30" customHeight="1">
      <c r="A229" s="16" t="s">
        <v>13</v>
      </c>
      <c r="B229" s="30" t="s">
        <v>392</v>
      </c>
      <c r="C229" s="30" t="s">
        <v>325</v>
      </c>
      <c r="D229" s="27">
        <v>22785.155817624705</v>
      </c>
      <c r="E229" s="28">
        <v>18790.117586015505</v>
      </c>
      <c r="F229" s="27">
        <f t="shared" si="7"/>
        <v>3995.0382316092</v>
      </c>
      <c r="G229" s="27">
        <f t="shared" si="6"/>
        <v>17.533512887012911</v>
      </c>
      <c r="H229" s="29">
        <v>125</v>
      </c>
      <c r="I229" s="29">
        <v>0</v>
      </c>
      <c r="J229" s="15" t="s">
        <v>58</v>
      </c>
      <c r="K229" s="30">
        <v>40.839961666699999</v>
      </c>
      <c r="L229" s="30">
        <v>72.232654999999994</v>
      </c>
      <c r="M229" s="15">
        <v>1000</v>
      </c>
    </row>
    <row r="230" spans="1:13" ht="30" customHeight="1">
      <c r="A230" s="16" t="s">
        <v>13</v>
      </c>
      <c r="B230" s="30" t="s">
        <v>387</v>
      </c>
      <c r="C230" s="30" t="s">
        <v>326</v>
      </c>
      <c r="D230" s="27">
        <v>23380.547827624709</v>
      </c>
      <c r="E230" s="28">
        <v>19304.609252682167</v>
      </c>
      <c r="F230" s="27">
        <f t="shared" si="7"/>
        <v>4075.9385749425419</v>
      </c>
      <c r="G230" s="27">
        <f t="shared" si="6"/>
        <v>17.433032814255608</v>
      </c>
      <c r="H230" s="29">
        <v>101</v>
      </c>
      <c r="I230" s="29">
        <v>0</v>
      </c>
      <c r="J230" s="15" t="s">
        <v>55</v>
      </c>
      <c r="K230" s="30">
        <v>40.873249936800001</v>
      </c>
      <c r="L230" s="30">
        <v>71.969074951500005</v>
      </c>
      <c r="M230" s="15">
        <v>160</v>
      </c>
    </row>
    <row r="231" spans="1:13" ht="30" customHeight="1">
      <c r="A231" s="16" t="s">
        <v>13</v>
      </c>
      <c r="B231" s="30" t="s">
        <v>384</v>
      </c>
      <c r="C231" s="30" t="s">
        <v>118</v>
      </c>
      <c r="D231" s="27">
        <v>21585.354697624705</v>
      </c>
      <c r="E231" s="28">
        <v>17914.808252682171</v>
      </c>
      <c r="F231" s="27">
        <f t="shared" si="7"/>
        <v>3670.5464449425344</v>
      </c>
      <c r="G231" s="27">
        <f t="shared" si="6"/>
        <v>17.004800228492186</v>
      </c>
      <c r="H231" s="29">
        <v>52</v>
      </c>
      <c r="I231" s="29">
        <v>2</v>
      </c>
      <c r="J231" s="15" t="s">
        <v>59</v>
      </c>
      <c r="K231" s="30">
        <v>40.895608333299997</v>
      </c>
      <c r="L231" s="30">
        <v>71.923013333300005</v>
      </c>
      <c r="M231" s="15">
        <v>100</v>
      </c>
    </row>
    <row r="232" spans="1:13" ht="30" customHeight="1">
      <c r="A232" s="16" t="s">
        <v>13</v>
      </c>
      <c r="B232" s="30" t="s">
        <v>386</v>
      </c>
      <c r="C232" s="30" t="s">
        <v>327</v>
      </c>
      <c r="D232" s="27">
        <v>12553.605857624709</v>
      </c>
      <c r="E232" s="28">
        <v>9829.6545860154984</v>
      </c>
      <c r="F232" s="27">
        <f t="shared" si="7"/>
        <v>2723.9512716092104</v>
      </c>
      <c r="G232" s="27">
        <f t="shared" si="6"/>
        <v>21.698556594038347</v>
      </c>
      <c r="H232" s="29">
        <v>67</v>
      </c>
      <c r="I232" s="29">
        <v>4</v>
      </c>
      <c r="J232" s="15" t="s">
        <v>55</v>
      </c>
      <c r="K232" s="30">
        <v>40.875115049900003</v>
      </c>
      <c r="L232" s="30">
        <v>72.008864803799995</v>
      </c>
      <c r="M232" s="15">
        <v>250</v>
      </c>
    </row>
    <row r="233" spans="1:13" ht="30" customHeight="1">
      <c r="A233" s="16" t="s">
        <v>13</v>
      </c>
      <c r="B233" s="30" t="s">
        <v>390</v>
      </c>
      <c r="C233" s="30" t="s">
        <v>328</v>
      </c>
      <c r="D233" s="27">
        <v>14886.5645176247</v>
      </c>
      <c r="E233" s="28">
        <v>12071.409752682162</v>
      </c>
      <c r="F233" s="27">
        <f t="shared" si="7"/>
        <v>2815.1547649425374</v>
      </c>
      <c r="G233" s="27">
        <f t="shared" si="6"/>
        <v>18.910708119456181</v>
      </c>
      <c r="H233" s="29">
        <v>45</v>
      </c>
      <c r="I233" s="29">
        <v>0</v>
      </c>
      <c r="J233" s="15" t="s">
        <v>60</v>
      </c>
      <c r="K233" s="30">
        <v>40.874026666600002</v>
      </c>
      <c r="L233" s="30">
        <v>72.094549999700007</v>
      </c>
      <c r="M233" s="15">
        <v>160</v>
      </c>
    </row>
    <row r="234" spans="1:13" ht="30" customHeight="1">
      <c r="A234" s="16" t="s">
        <v>13</v>
      </c>
      <c r="B234" s="30" t="s">
        <v>391</v>
      </c>
      <c r="C234" s="30" t="s">
        <v>329</v>
      </c>
      <c r="D234" s="27">
        <v>15661.586087624706</v>
      </c>
      <c r="E234" s="28">
        <v>12541.10391934883</v>
      </c>
      <c r="F234" s="27">
        <f t="shared" si="7"/>
        <v>3120.4821682758757</v>
      </c>
      <c r="G234" s="27">
        <f t="shared" si="6"/>
        <v>19.924432626536994</v>
      </c>
      <c r="H234" s="29">
        <v>101</v>
      </c>
      <c r="I234" s="29">
        <v>2</v>
      </c>
      <c r="J234" s="15" t="s">
        <v>61</v>
      </c>
      <c r="K234" s="30">
        <v>40.816318333300003</v>
      </c>
      <c r="L234" s="30">
        <v>72.106885000000005</v>
      </c>
      <c r="M234" s="15">
        <v>100</v>
      </c>
    </row>
    <row r="235" spans="1:13" ht="30" customHeight="1">
      <c r="A235" s="16" t="s">
        <v>13</v>
      </c>
      <c r="B235" s="30" t="s">
        <v>390</v>
      </c>
      <c r="C235" s="30" t="s">
        <v>330</v>
      </c>
      <c r="D235" s="27">
        <v>13396.849677624705</v>
      </c>
      <c r="E235" s="28">
        <v>10657.157919348829</v>
      </c>
      <c r="F235" s="27">
        <f t="shared" si="7"/>
        <v>2739.6917582758761</v>
      </c>
      <c r="G235" s="27">
        <f t="shared" si="6"/>
        <v>20.45026871393268</v>
      </c>
      <c r="H235" s="29">
        <v>36</v>
      </c>
      <c r="I235" s="29">
        <v>0</v>
      </c>
      <c r="J235" s="15" t="s">
        <v>55</v>
      </c>
      <c r="K235" s="30">
        <v>40.872684479199997</v>
      </c>
      <c r="L235" s="30">
        <v>72.093719629500001</v>
      </c>
      <c r="M235" s="15">
        <v>100</v>
      </c>
    </row>
    <row r="236" spans="1:13" ht="30" customHeight="1">
      <c r="A236" s="16" t="s">
        <v>13</v>
      </c>
      <c r="B236" s="30" t="s">
        <v>384</v>
      </c>
      <c r="C236" s="30" t="s">
        <v>95</v>
      </c>
      <c r="D236" s="27">
        <v>12484.095267624703</v>
      </c>
      <c r="E236" s="28">
        <v>9756.6590860154975</v>
      </c>
      <c r="F236" s="27">
        <f t="shared" si="7"/>
        <v>2727.436181609206</v>
      </c>
      <c r="G236" s="27">
        <f t="shared" si="6"/>
        <v>21.847287473705283</v>
      </c>
      <c r="H236" s="29">
        <v>49</v>
      </c>
      <c r="I236" s="29">
        <v>0</v>
      </c>
      <c r="J236" s="15" t="s">
        <v>62</v>
      </c>
      <c r="K236" s="30">
        <v>40.874026666600002</v>
      </c>
      <c r="L236" s="30">
        <v>72.094549999700007</v>
      </c>
      <c r="M236" s="15">
        <v>400</v>
      </c>
    </row>
    <row r="237" spans="1:13" ht="30" customHeight="1">
      <c r="A237" s="16" t="s">
        <v>13</v>
      </c>
      <c r="B237" s="30" t="s">
        <v>388</v>
      </c>
      <c r="C237" s="30" t="s">
        <v>331</v>
      </c>
      <c r="D237" s="27">
        <v>15620.014127624705</v>
      </c>
      <c r="E237" s="28">
        <v>12735.537252682165</v>
      </c>
      <c r="F237" s="27">
        <f t="shared" si="7"/>
        <v>2884.4768749425402</v>
      </c>
      <c r="G237" s="27">
        <f t="shared" si="6"/>
        <v>18.466544597044965</v>
      </c>
      <c r="H237" s="29">
        <v>80</v>
      </c>
      <c r="I237" s="29">
        <v>2</v>
      </c>
      <c r="J237" s="15" t="s">
        <v>60</v>
      </c>
      <c r="K237" s="30">
        <v>40.869140000000002</v>
      </c>
      <c r="L237" s="30">
        <v>71.991384999999994</v>
      </c>
      <c r="M237" s="15">
        <v>100</v>
      </c>
    </row>
    <row r="238" spans="1:13" ht="30" customHeight="1">
      <c r="A238" s="16" t="s">
        <v>13</v>
      </c>
      <c r="B238" s="30" t="s">
        <v>392</v>
      </c>
      <c r="C238" s="30" t="s">
        <v>332</v>
      </c>
      <c r="D238" s="27">
        <v>14897.279187624703</v>
      </c>
      <c r="E238" s="28">
        <v>12092.965252682165</v>
      </c>
      <c r="F238" s="27">
        <f t="shared" si="7"/>
        <v>2804.3139349425383</v>
      </c>
      <c r="G238" s="27">
        <f t="shared" si="6"/>
        <v>18.824336307478923</v>
      </c>
      <c r="H238" s="29">
        <v>53</v>
      </c>
      <c r="I238" s="29">
        <v>0</v>
      </c>
      <c r="J238" s="15" t="s">
        <v>63</v>
      </c>
      <c r="K238" s="30">
        <v>40.820733333200003</v>
      </c>
      <c r="L238" s="30">
        <v>72.163296666700006</v>
      </c>
      <c r="M238" s="15">
        <v>160</v>
      </c>
    </row>
    <row r="239" spans="1:13" ht="30" customHeight="1">
      <c r="A239" s="16" t="s">
        <v>30</v>
      </c>
      <c r="B239" s="30" t="s">
        <v>391</v>
      </c>
      <c r="C239" s="30" t="s">
        <v>333</v>
      </c>
      <c r="D239" s="27">
        <v>14153.816787624703</v>
      </c>
      <c r="E239" s="28">
        <v>11223.252919348832</v>
      </c>
      <c r="F239" s="27">
        <f t="shared" si="7"/>
        <v>2930.5638682758708</v>
      </c>
      <c r="G239" s="27">
        <f t="shared" si="6"/>
        <v>20.705113767179679</v>
      </c>
      <c r="H239" s="29">
        <v>69</v>
      </c>
      <c r="I239" s="29">
        <v>0</v>
      </c>
      <c r="J239" s="15" t="s">
        <v>64</v>
      </c>
      <c r="K239" s="30">
        <v>40.813206666600003</v>
      </c>
      <c r="L239" s="30">
        <v>72.109205000000003</v>
      </c>
      <c r="M239" s="15">
        <v>630</v>
      </c>
    </row>
    <row r="240" spans="1:13" ht="30" customHeight="1">
      <c r="A240" s="16" t="s">
        <v>13</v>
      </c>
      <c r="B240" s="30" t="s">
        <v>386</v>
      </c>
      <c r="C240" s="30" t="s">
        <v>334</v>
      </c>
      <c r="D240" s="27">
        <v>15830.848747624706</v>
      </c>
      <c r="E240" s="28">
        <v>12684.061252682164</v>
      </c>
      <c r="F240" s="27">
        <f t="shared" si="7"/>
        <v>3146.7874949425423</v>
      </c>
      <c r="G240" s="27">
        <f t="shared" si="6"/>
        <v>19.877566548127707</v>
      </c>
      <c r="H240" s="29">
        <v>102</v>
      </c>
      <c r="I240" s="29">
        <v>4</v>
      </c>
      <c r="J240" s="15" t="s">
        <v>65</v>
      </c>
      <c r="K240" s="30">
        <v>40.872072950000003</v>
      </c>
      <c r="L240" s="30">
        <v>71.967303771499999</v>
      </c>
      <c r="M240" s="15">
        <v>100</v>
      </c>
    </row>
    <row r="241" spans="1:14" ht="30" customHeight="1">
      <c r="A241" s="16" t="s">
        <v>30</v>
      </c>
      <c r="B241" s="30" t="s">
        <v>389</v>
      </c>
      <c r="C241" s="30" t="s">
        <v>335</v>
      </c>
      <c r="D241" s="27">
        <v>15332.578197624702</v>
      </c>
      <c r="E241" s="28">
        <v>12264.157086015499</v>
      </c>
      <c r="F241" s="27">
        <f t="shared" si="7"/>
        <v>3068.4211116092029</v>
      </c>
      <c r="G241" s="27">
        <f t="shared" si="6"/>
        <v>20.012427603888288</v>
      </c>
      <c r="H241" s="29">
        <v>74</v>
      </c>
      <c r="I241" s="29">
        <v>2</v>
      </c>
      <c r="J241" s="15" t="s">
        <v>62</v>
      </c>
      <c r="K241" s="30">
        <v>40.875613333300002</v>
      </c>
      <c r="L241" s="30">
        <v>72.034936666700006</v>
      </c>
      <c r="M241" s="15">
        <v>400</v>
      </c>
    </row>
    <row r="242" spans="1:14" ht="30" customHeight="1">
      <c r="A242" s="16" t="s">
        <v>13</v>
      </c>
      <c r="B242" s="30" t="s">
        <v>391</v>
      </c>
      <c r="C242" s="30" t="s">
        <v>336</v>
      </c>
      <c r="D242" s="27">
        <v>10530.491297624707</v>
      </c>
      <c r="E242" s="28">
        <v>8050.0337526821659</v>
      </c>
      <c r="F242" s="27">
        <f t="shared" si="7"/>
        <v>2480.4575449425411</v>
      </c>
      <c r="G242" s="27">
        <f t="shared" si="6"/>
        <v>23.555003036772284</v>
      </c>
      <c r="H242" s="29">
        <v>24</v>
      </c>
      <c r="I242" s="29">
        <v>0</v>
      </c>
      <c r="J242" s="15" t="s">
        <v>66</v>
      </c>
      <c r="K242" s="30">
        <v>40.813206666600003</v>
      </c>
      <c r="L242" s="30">
        <v>72.109205000000003</v>
      </c>
      <c r="M242" s="15">
        <v>100</v>
      </c>
    </row>
    <row r="243" spans="1:14" ht="30" customHeight="1">
      <c r="A243" s="16" t="s">
        <v>13</v>
      </c>
      <c r="B243" s="30" t="s">
        <v>391</v>
      </c>
      <c r="C243" s="30" t="s">
        <v>337</v>
      </c>
      <c r="D243" s="27">
        <v>11035.750737624705</v>
      </c>
      <c r="E243" s="28">
        <v>8493.3627526821638</v>
      </c>
      <c r="F243" s="27">
        <f t="shared" si="7"/>
        <v>2542.3879849425412</v>
      </c>
      <c r="G243" s="27">
        <f t="shared" si="6"/>
        <v>23.037743832638935</v>
      </c>
      <c r="H243" s="29">
        <v>49</v>
      </c>
      <c r="I243" s="29">
        <v>0</v>
      </c>
      <c r="J243" s="15" t="s">
        <v>59</v>
      </c>
      <c r="K243" s="30">
        <v>40.813206666600003</v>
      </c>
      <c r="L243" s="30">
        <v>72.109205000000003</v>
      </c>
      <c r="M243" s="15">
        <v>100</v>
      </c>
    </row>
    <row r="244" spans="1:14" ht="30" customHeight="1">
      <c r="A244" s="16" t="s">
        <v>13</v>
      </c>
      <c r="B244" s="30" t="s">
        <v>391</v>
      </c>
      <c r="C244" s="30" t="s">
        <v>338</v>
      </c>
      <c r="D244" s="27">
        <v>13890.951477624707</v>
      </c>
      <c r="E244" s="28">
        <v>11396.013752682164</v>
      </c>
      <c r="F244" s="27">
        <f t="shared" si="7"/>
        <v>2494.9377249425434</v>
      </c>
      <c r="G244" s="27">
        <f t="shared" si="6"/>
        <v>17.960884313514043</v>
      </c>
      <c r="H244" s="29">
        <v>28</v>
      </c>
      <c r="I244" s="29">
        <v>2</v>
      </c>
      <c r="J244" s="15" t="s">
        <v>66</v>
      </c>
      <c r="K244" s="30">
        <v>40.813206666600003</v>
      </c>
      <c r="L244" s="30">
        <v>72.109205000000003</v>
      </c>
      <c r="M244" s="15">
        <v>25</v>
      </c>
    </row>
    <row r="245" spans="1:14" ht="30" customHeight="1">
      <c r="A245" s="16" t="s">
        <v>13</v>
      </c>
      <c r="B245" s="30" t="s">
        <v>387</v>
      </c>
      <c r="C245" s="30" t="s">
        <v>339</v>
      </c>
      <c r="D245" s="27">
        <v>13490.474757624701</v>
      </c>
      <c r="E245" s="28">
        <v>11045.640419348831</v>
      </c>
      <c r="F245" s="27">
        <f t="shared" si="7"/>
        <v>2444.8343382758703</v>
      </c>
      <c r="G245" s="27">
        <f t="shared" si="6"/>
        <v>18.122670863707526</v>
      </c>
      <c r="H245" s="29">
        <v>36</v>
      </c>
      <c r="I245" s="29">
        <v>4</v>
      </c>
      <c r="J245" s="15" t="s">
        <v>66</v>
      </c>
      <c r="K245" s="30">
        <v>40.887124999999997</v>
      </c>
      <c r="L245" s="30">
        <v>71.961399</v>
      </c>
      <c r="M245" s="15">
        <v>63</v>
      </c>
    </row>
    <row r="246" spans="1:14" ht="30" customHeight="1">
      <c r="A246" s="16" t="s">
        <v>13</v>
      </c>
      <c r="B246" s="30" t="s">
        <v>388</v>
      </c>
      <c r="C246" s="30" t="s">
        <v>340</v>
      </c>
      <c r="D246" s="27">
        <v>13517.941047624705</v>
      </c>
      <c r="E246" s="28">
        <v>11069.670419348829</v>
      </c>
      <c r="F246" s="27">
        <f t="shared" si="7"/>
        <v>2448.2706282758754</v>
      </c>
      <c r="G246" s="27">
        <f t="shared" si="6"/>
        <v>18.111268717998083</v>
      </c>
      <c r="H246" s="29">
        <v>99</v>
      </c>
      <c r="I246" s="29">
        <v>0</v>
      </c>
      <c r="J246" s="15" t="s">
        <v>67</v>
      </c>
      <c r="K246" s="30">
        <v>40.890337000000002</v>
      </c>
      <c r="L246" s="30">
        <v>72.009943000000007</v>
      </c>
      <c r="M246" s="15">
        <v>160</v>
      </c>
      <c r="N246" s="32">
        <v>7</v>
      </c>
    </row>
    <row r="247" spans="1:14" ht="30" customHeight="1">
      <c r="A247" s="16" t="s">
        <v>13</v>
      </c>
      <c r="B247" s="30" t="s">
        <v>390</v>
      </c>
      <c r="C247" s="30" t="s">
        <v>341</v>
      </c>
      <c r="D247" s="27">
        <v>13592.479887624706</v>
      </c>
      <c r="E247" s="28">
        <v>11134.883752682163</v>
      </c>
      <c r="F247" s="27">
        <f t="shared" si="7"/>
        <v>2457.5961349425434</v>
      </c>
      <c r="G247" s="27">
        <f t="shared" si="6"/>
        <v>18.080557449859207</v>
      </c>
      <c r="H247" s="29">
        <v>58</v>
      </c>
      <c r="I247" s="29">
        <v>0</v>
      </c>
      <c r="J247" s="15" t="s">
        <v>60</v>
      </c>
      <c r="K247" s="13"/>
      <c r="L247" s="13"/>
      <c r="M247" s="15">
        <v>63</v>
      </c>
    </row>
    <row r="248" spans="1:14" ht="30" customHeight="1">
      <c r="A248" s="16" t="s">
        <v>13</v>
      </c>
      <c r="B248" s="30" t="s">
        <v>384</v>
      </c>
      <c r="C248" s="30" t="s">
        <v>122</v>
      </c>
      <c r="D248" s="27">
        <v>13490.474757624701</v>
      </c>
      <c r="E248" s="28">
        <v>11045.640419348831</v>
      </c>
      <c r="F248" s="27">
        <f t="shared" si="7"/>
        <v>2444.8343382758703</v>
      </c>
      <c r="G248" s="27">
        <f t="shared" si="6"/>
        <v>18.122670863707526</v>
      </c>
      <c r="H248" s="29">
        <v>19</v>
      </c>
      <c r="I248" s="29">
        <v>2</v>
      </c>
      <c r="J248" s="15" t="s">
        <v>75</v>
      </c>
      <c r="K248" s="13"/>
      <c r="L248" s="13"/>
      <c r="M248" s="15">
        <v>160</v>
      </c>
    </row>
    <row r="249" spans="1:14" ht="30" customHeight="1">
      <c r="A249" s="16" t="s">
        <v>13</v>
      </c>
      <c r="B249" s="30" t="s">
        <v>387</v>
      </c>
      <c r="C249" s="30" t="s">
        <v>342</v>
      </c>
      <c r="D249" s="27">
        <v>30891.720117624711</v>
      </c>
      <c r="E249" s="28">
        <v>26269.827086015503</v>
      </c>
      <c r="F249" s="27">
        <f t="shared" si="7"/>
        <v>4621.8930316092083</v>
      </c>
      <c r="G249" s="27">
        <f t="shared" si="6"/>
        <v>14.961591695155464</v>
      </c>
      <c r="H249" s="29">
        <v>75</v>
      </c>
      <c r="I249" s="29">
        <v>2</v>
      </c>
      <c r="J249" s="15" t="s">
        <v>75</v>
      </c>
      <c r="K249" s="13"/>
      <c r="L249" s="13"/>
      <c r="M249" s="15">
        <v>63</v>
      </c>
    </row>
    <row r="250" spans="1:14" ht="30" customHeight="1">
      <c r="A250" s="16" t="s">
        <v>13</v>
      </c>
      <c r="B250" s="30" t="s">
        <v>388</v>
      </c>
      <c r="C250" s="30" t="s">
        <v>343</v>
      </c>
      <c r="D250" s="27">
        <v>20183.958957624705</v>
      </c>
      <c r="E250" s="28">
        <v>16901.7070860155</v>
      </c>
      <c r="F250" s="27">
        <f t="shared" si="7"/>
        <v>3282.2518716092054</v>
      </c>
      <c r="G250" s="27">
        <f t="shared" si="6"/>
        <v>16.261685224886467</v>
      </c>
      <c r="H250" s="29">
        <v>38</v>
      </c>
      <c r="I250" s="29">
        <v>0</v>
      </c>
      <c r="J250" s="15" t="s">
        <v>75</v>
      </c>
      <c r="K250" s="13">
        <v>40.876370000000001</v>
      </c>
      <c r="L250" s="13">
        <v>71.934290000000004</v>
      </c>
      <c r="M250" s="15">
        <v>63</v>
      </c>
    </row>
    <row r="251" spans="1:14" ht="30" customHeight="1">
      <c r="A251" s="16" t="s">
        <v>13</v>
      </c>
      <c r="B251" s="30" t="s">
        <v>389</v>
      </c>
      <c r="C251" s="30" t="s">
        <v>344</v>
      </c>
      <c r="D251" s="27">
        <v>16037.520717624704</v>
      </c>
      <c r="E251" s="28">
        <v>13274.027086015496</v>
      </c>
      <c r="F251" s="27">
        <f t="shared" si="7"/>
        <v>2763.493631609208</v>
      </c>
      <c r="G251" s="27">
        <f t="shared" si="6"/>
        <v>17.231426729021898</v>
      </c>
      <c r="H251" s="29">
        <v>29</v>
      </c>
      <c r="I251" s="29">
        <v>0</v>
      </c>
      <c r="J251" s="15" t="s">
        <v>75</v>
      </c>
      <c r="K251" s="13"/>
      <c r="L251" s="13"/>
      <c r="M251" s="15">
        <v>160</v>
      </c>
    </row>
    <row r="252" spans="1:14" ht="30" customHeight="1">
      <c r="A252" s="16" t="s">
        <v>13</v>
      </c>
      <c r="B252" s="30" t="s">
        <v>389</v>
      </c>
      <c r="C252" s="30" t="s">
        <v>345</v>
      </c>
      <c r="D252" s="27">
        <v>16266.509337624708</v>
      </c>
      <c r="E252" s="28">
        <v>13474.367086015496</v>
      </c>
      <c r="F252" s="27">
        <f t="shared" si="7"/>
        <v>2792.1422516092116</v>
      </c>
      <c r="G252" s="27">
        <f t="shared" si="6"/>
        <v>17.164974941187534</v>
      </c>
      <c r="H252" s="29">
        <v>58</v>
      </c>
      <c r="I252" s="29">
        <v>2</v>
      </c>
      <c r="J252" s="15" t="s">
        <v>75</v>
      </c>
      <c r="K252" s="13"/>
      <c r="L252" s="13"/>
      <c r="M252" s="15">
        <v>63</v>
      </c>
    </row>
    <row r="253" spans="1:14" ht="30" customHeight="1">
      <c r="A253" s="16" t="s">
        <v>13</v>
      </c>
      <c r="B253" s="30" t="s">
        <v>386</v>
      </c>
      <c r="C253" s="30" t="s">
        <v>346</v>
      </c>
      <c r="D253" s="27">
        <v>17288.8085376247</v>
      </c>
      <c r="E253" s="28">
        <v>14368.767086015499</v>
      </c>
      <c r="F253" s="27">
        <f t="shared" si="7"/>
        <v>2920.0414516092005</v>
      </c>
      <c r="G253" s="27">
        <f t="shared" si="6"/>
        <v>16.889778409278303</v>
      </c>
      <c r="H253" s="29">
        <v>55</v>
      </c>
      <c r="I253" s="29">
        <v>0</v>
      </c>
      <c r="J253" s="15" t="s">
        <v>59</v>
      </c>
      <c r="K253" s="13"/>
      <c r="L253" s="13"/>
      <c r="M253" s="15">
        <v>250</v>
      </c>
    </row>
    <row r="254" spans="1:14" ht="30" customHeight="1">
      <c r="A254" s="16" t="s">
        <v>13</v>
      </c>
      <c r="B254" s="30" t="s">
        <v>388</v>
      </c>
      <c r="C254" s="30" t="s">
        <v>347</v>
      </c>
      <c r="D254" s="27">
        <v>19877.356827624706</v>
      </c>
      <c r="E254" s="28">
        <v>16633.463752682168</v>
      </c>
      <c r="F254" s="27">
        <f t="shared" si="7"/>
        <v>3243.8930749425381</v>
      </c>
      <c r="G254" s="27">
        <f t="shared" si="6"/>
        <v>16.319539378768475</v>
      </c>
      <c r="H254" s="29">
        <v>84</v>
      </c>
      <c r="I254" s="29">
        <v>2</v>
      </c>
      <c r="J254" s="15" t="s">
        <v>72</v>
      </c>
      <c r="K254" s="13"/>
      <c r="L254" s="13"/>
      <c r="M254" s="15">
        <v>25</v>
      </c>
    </row>
    <row r="255" spans="1:14" ht="30" customHeight="1">
      <c r="A255" s="16" t="s">
        <v>13</v>
      </c>
      <c r="B255" s="30" t="s">
        <v>387</v>
      </c>
      <c r="C255" s="30" t="s">
        <v>348</v>
      </c>
      <c r="D255" s="27">
        <v>17395.370427624704</v>
      </c>
      <c r="E255" s="28">
        <v>14461.997086015499</v>
      </c>
      <c r="F255" s="27">
        <f t="shared" si="7"/>
        <v>2933.3733416092055</v>
      </c>
      <c r="G255" s="27">
        <f t="shared" si="6"/>
        <v>16.862954162510182</v>
      </c>
      <c r="H255" s="29">
        <v>59</v>
      </c>
      <c r="I255" s="29">
        <v>0</v>
      </c>
      <c r="J255" s="15" t="s">
        <v>76</v>
      </c>
      <c r="K255" s="13"/>
      <c r="L255" s="13"/>
      <c r="M255" s="15">
        <v>630</v>
      </c>
    </row>
    <row r="256" spans="1:14" ht="30" customHeight="1">
      <c r="A256" s="16" t="s">
        <v>30</v>
      </c>
      <c r="B256" s="30" t="s">
        <v>388</v>
      </c>
      <c r="C256" s="30" t="s">
        <v>349</v>
      </c>
      <c r="D256" s="27">
        <v>16311.455907624701</v>
      </c>
      <c r="E256" s="28">
        <v>13513.69041934883</v>
      </c>
      <c r="F256" s="27">
        <f t="shared" si="7"/>
        <v>2797.7654882758707</v>
      </c>
      <c r="G256" s="27">
        <f t="shared" si="6"/>
        <v>17.152150636462011</v>
      </c>
      <c r="H256" s="29">
        <v>58</v>
      </c>
      <c r="I256" s="29">
        <v>0</v>
      </c>
      <c r="J256" s="15" t="s">
        <v>76</v>
      </c>
      <c r="K256" s="13"/>
      <c r="L256" s="13"/>
      <c r="M256" s="15">
        <v>400</v>
      </c>
    </row>
    <row r="257" spans="1:13" ht="30" customHeight="1">
      <c r="A257" s="16" t="s">
        <v>13</v>
      </c>
      <c r="B257" s="30" t="s">
        <v>387</v>
      </c>
      <c r="C257" s="30" t="s">
        <v>350</v>
      </c>
      <c r="D257" s="27">
        <v>18618.628077624704</v>
      </c>
      <c r="E257" s="28">
        <v>15532.213752682166</v>
      </c>
      <c r="F257" s="27">
        <f t="shared" si="7"/>
        <v>3086.4143249425379</v>
      </c>
      <c r="G257" s="27">
        <f t="shared" si="6"/>
        <v>16.577023355720264</v>
      </c>
      <c r="H257" s="29">
        <v>23</v>
      </c>
      <c r="I257" s="29">
        <v>2</v>
      </c>
      <c r="J257" s="15" t="s">
        <v>55</v>
      </c>
      <c r="K257" s="13"/>
      <c r="L257" s="13"/>
      <c r="M257" s="15">
        <v>160</v>
      </c>
    </row>
    <row r="258" spans="1:13" ht="30" customHeight="1">
      <c r="A258" s="16" t="s">
        <v>13</v>
      </c>
      <c r="B258" s="30" t="s">
        <v>384</v>
      </c>
      <c r="C258" s="30" t="s">
        <v>99</v>
      </c>
      <c r="D258" s="27">
        <v>14780.274057624707</v>
      </c>
      <c r="E258" s="28">
        <v>12174.073752682165</v>
      </c>
      <c r="F258" s="27">
        <f t="shared" si="7"/>
        <v>2606.2003049425421</v>
      </c>
      <c r="G258" s="27">
        <f t="shared" si="6"/>
        <v>17.632963331949046</v>
      </c>
      <c r="H258" s="29">
        <v>40</v>
      </c>
      <c r="I258" s="29">
        <v>2</v>
      </c>
      <c r="J258" s="15" t="s">
        <v>75</v>
      </c>
      <c r="K258" s="13"/>
      <c r="L258" s="13"/>
      <c r="M258" s="15">
        <v>160</v>
      </c>
    </row>
    <row r="259" spans="1:13" ht="30" customHeight="1">
      <c r="A259" s="16" t="s">
        <v>13</v>
      </c>
      <c r="B259" s="30" t="s">
        <v>390</v>
      </c>
      <c r="C259" s="30" t="s">
        <v>351</v>
      </c>
      <c r="D259" s="27">
        <v>13492.985547624701</v>
      </c>
      <c r="E259" s="28">
        <v>11047.837086015497</v>
      </c>
      <c r="F259" s="27">
        <f t="shared" si="7"/>
        <v>2445.1484616092039</v>
      </c>
      <c r="G259" s="27">
        <f t="shared" ref="G259:G293" si="8">+F259*100/D259</f>
        <v>18.121626625766652</v>
      </c>
      <c r="H259" s="29">
        <v>42</v>
      </c>
      <c r="I259" s="29">
        <v>2</v>
      </c>
      <c r="J259" s="15" t="s">
        <v>75</v>
      </c>
      <c r="K259" s="13">
        <v>40.865291666700003</v>
      </c>
      <c r="L259" s="13">
        <v>71.961494999999999</v>
      </c>
      <c r="M259" s="15">
        <v>100</v>
      </c>
    </row>
    <row r="260" spans="1:13" ht="30" customHeight="1">
      <c r="A260" s="16" t="s">
        <v>30</v>
      </c>
      <c r="B260" s="30" t="s">
        <v>388</v>
      </c>
      <c r="C260" s="30" t="s">
        <v>352</v>
      </c>
      <c r="D260" s="27">
        <v>15110.852517624704</v>
      </c>
      <c r="E260" s="28">
        <v>12463.293752682162</v>
      </c>
      <c r="F260" s="27">
        <f t="shared" si="7"/>
        <v>2647.5587649425415</v>
      </c>
      <c r="G260" s="27">
        <f t="shared" si="8"/>
        <v>17.520909305775653</v>
      </c>
      <c r="H260" s="29">
        <v>39</v>
      </c>
      <c r="I260" s="29">
        <v>2</v>
      </c>
      <c r="J260" s="15" t="s">
        <v>68</v>
      </c>
      <c r="K260" s="13"/>
      <c r="L260" s="13"/>
      <c r="M260" s="15">
        <v>100</v>
      </c>
    </row>
    <row r="261" spans="1:13" ht="30" customHeight="1">
      <c r="A261" s="16" t="s">
        <v>13</v>
      </c>
      <c r="B261" s="30" t="s">
        <v>389</v>
      </c>
      <c r="C261" s="30" t="s">
        <v>353</v>
      </c>
      <c r="D261" s="27">
        <v>18275.328027624706</v>
      </c>
      <c r="E261" s="28">
        <v>15231.863752682164</v>
      </c>
      <c r="F261" s="27">
        <f t="shared" ref="F261:F324" si="9">+D261-E261</f>
        <v>3043.464274942542</v>
      </c>
      <c r="G261" s="27">
        <f t="shared" si="8"/>
        <v>16.653404362110972</v>
      </c>
      <c r="H261" s="29">
        <v>70</v>
      </c>
      <c r="I261" s="29">
        <v>0</v>
      </c>
      <c r="J261" s="15" t="s">
        <v>72</v>
      </c>
      <c r="K261" s="13"/>
      <c r="L261" s="13"/>
      <c r="M261" s="15">
        <v>250</v>
      </c>
    </row>
    <row r="262" spans="1:13" ht="30" customHeight="1">
      <c r="A262" s="16" t="s">
        <v>30</v>
      </c>
      <c r="B262" s="30" t="s">
        <v>390</v>
      </c>
      <c r="C262" s="30" t="s">
        <v>354</v>
      </c>
      <c r="D262" s="27">
        <v>13490.474757624701</v>
      </c>
      <c r="E262" s="28">
        <v>11045.640419348831</v>
      </c>
      <c r="F262" s="27">
        <f t="shared" si="9"/>
        <v>2444.8343382758703</v>
      </c>
      <c r="G262" s="27">
        <f t="shared" si="8"/>
        <v>18.122670863707526</v>
      </c>
      <c r="H262" s="29">
        <v>51</v>
      </c>
      <c r="I262" s="29">
        <v>0</v>
      </c>
      <c r="J262" s="15" t="s">
        <v>72</v>
      </c>
      <c r="K262" s="13"/>
      <c r="L262" s="13"/>
      <c r="M262" s="15">
        <v>160</v>
      </c>
    </row>
    <row r="263" spans="1:13" ht="30" customHeight="1">
      <c r="A263" s="16" t="s">
        <v>30</v>
      </c>
      <c r="B263" s="30" t="s">
        <v>387</v>
      </c>
      <c r="C263" s="30" t="s">
        <v>355</v>
      </c>
      <c r="D263" s="27">
        <v>120486.80762762472</v>
      </c>
      <c r="E263" s="28">
        <v>104655.73041934887</v>
      </c>
      <c r="F263" s="27">
        <f t="shared" si="9"/>
        <v>15831.077208275849</v>
      </c>
      <c r="G263" s="27">
        <f t="shared" si="8"/>
        <v>13.13926189928047</v>
      </c>
      <c r="H263" s="29">
        <v>78</v>
      </c>
      <c r="I263" s="29">
        <v>2</v>
      </c>
      <c r="J263" s="15" t="s">
        <v>71</v>
      </c>
      <c r="K263" s="13"/>
      <c r="L263" s="13"/>
      <c r="M263" s="15">
        <v>160</v>
      </c>
    </row>
    <row r="264" spans="1:13" ht="30" customHeight="1">
      <c r="A264" s="16" t="s">
        <v>30</v>
      </c>
      <c r="B264" s="30" t="s">
        <v>384</v>
      </c>
      <c r="C264" s="30" t="s">
        <v>120</v>
      </c>
      <c r="D264" s="27">
        <v>16969.035237624699</v>
      </c>
      <c r="E264" s="28">
        <v>14089.000419348833</v>
      </c>
      <c r="F264" s="27">
        <f t="shared" si="9"/>
        <v>2880.0348182758662</v>
      </c>
      <c r="G264" s="27">
        <f t="shared" si="8"/>
        <v>16.972295583959252</v>
      </c>
      <c r="H264" s="29">
        <v>29</v>
      </c>
      <c r="I264" s="29">
        <v>0</v>
      </c>
      <c r="J264" s="15" t="s">
        <v>71</v>
      </c>
      <c r="K264" s="13"/>
      <c r="L264" s="13"/>
      <c r="M264" s="15">
        <v>100</v>
      </c>
    </row>
    <row r="265" spans="1:13" ht="30" customHeight="1">
      <c r="A265" s="16" t="s">
        <v>30</v>
      </c>
      <c r="B265" s="30" t="s">
        <v>384</v>
      </c>
      <c r="C265" s="30" t="s">
        <v>103</v>
      </c>
      <c r="D265" s="27">
        <v>16135.540587624708</v>
      </c>
      <c r="E265" s="28">
        <v>13359.783752682164</v>
      </c>
      <c r="F265" s="27">
        <f t="shared" si="9"/>
        <v>2775.7568349425437</v>
      </c>
      <c r="G265" s="27">
        <f t="shared" si="8"/>
        <v>17.202750784014231</v>
      </c>
      <c r="H265" s="29">
        <v>88</v>
      </c>
      <c r="I265" s="29">
        <v>0</v>
      </c>
      <c r="J265" s="15" t="s">
        <v>77</v>
      </c>
      <c r="K265" s="13">
        <v>40.858196666700003</v>
      </c>
      <c r="L265" s="13">
        <v>72.1313583333</v>
      </c>
      <c r="M265" s="15">
        <v>250</v>
      </c>
    </row>
    <row r="266" spans="1:13" ht="30" customHeight="1">
      <c r="A266" s="16" t="s">
        <v>13</v>
      </c>
      <c r="B266" s="30" t="s">
        <v>388</v>
      </c>
      <c r="C266" s="30" t="s">
        <v>356</v>
      </c>
      <c r="D266" s="27">
        <v>13493.492277624702</v>
      </c>
      <c r="E266" s="28">
        <v>11048.28041934883</v>
      </c>
      <c r="F266" s="27">
        <f t="shared" si="9"/>
        <v>2445.2118582758721</v>
      </c>
      <c r="G266" s="27">
        <f t="shared" si="8"/>
        <v>18.121415923812346</v>
      </c>
      <c r="H266" s="29">
        <v>15</v>
      </c>
      <c r="I266" s="29">
        <v>2</v>
      </c>
      <c r="J266" s="15" t="s">
        <v>69</v>
      </c>
      <c r="K266" s="13"/>
      <c r="L266" s="13"/>
      <c r="M266" s="15">
        <v>160</v>
      </c>
    </row>
    <row r="267" spans="1:13" ht="30" customHeight="1">
      <c r="A267" s="16" t="s">
        <v>30</v>
      </c>
      <c r="B267" s="30" t="s">
        <v>392</v>
      </c>
      <c r="C267" s="30" t="s">
        <v>357</v>
      </c>
      <c r="D267" s="27">
        <v>15676.915647624706</v>
      </c>
      <c r="E267" s="28">
        <v>12958.537086015498</v>
      </c>
      <c r="F267" s="27">
        <f t="shared" si="9"/>
        <v>2718.3785616092082</v>
      </c>
      <c r="G267" s="27">
        <f t="shared" si="8"/>
        <v>17.340008855766754</v>
      </c>
      <c r="H267" s="29">
        <v>43</v>
      </c>
      <c r="I267" s="29">
        <v>0</v>
      </c>
      <c r="J267" s="15" t="s">
        <v>73</v>
      </c>
      <c r="K267" s="13"/>
      <c r="L267" s="13"/>
      <c r="M267" s="15">
        <v>160</v>
      </c>
    </row>
    <row r="268" spans="1:13" ht="30" customHeight="1">
      <c r="A268" s="16" t="s">
        <v>30</v>
      </c>
      <c r="B268" s="30" t="s">
        <v>389</v>
      </c>
      <c r="C268" s="30" t="s">
        <v>358</v>
      </c>
      <c r="D268" s="27">
        <v>15699.006027624708</v>
      </c>
      <c r="E268" s="28">
        <v>12977.863752682162</v>
      </c>
      <c r="F268" s="27">
        <f t="shared" si="9"/>
        <v>2721.1422749425456</v>
      </c>
      <c r="G268" s="27">
        <f t="shared" si="8"/>
        <v>17.333213772606339</v>
      </c>
      <c r="H268" s="29">
        <v>36</v>
      </c>
      <c r="I268" s="29">
        <v>0</v>
      </c>
      <c r="J268" s="15" t="s">
        <v>78</v>
      </c>
      <c r="K268" s="13"/>
      <c r="L268" s="13"/>
      <c r="M268" s="15">
        <v>250</v>
      </c>
    </row>
    <row r="269" spans="1:13" ht="30" customHeight="1">
      <c r="A269" s="16" t="s">
        <v>30</v>
      </c>
      <c r="B269" s="30" t="s">
        <v>391</v>
      </c>
      <c r="C269" s="30" t="s">
        <v>359</v>
      </c>
      <c r="D269" s="27">
        <v>15181.920447624701</v>
      </c>
      <c r="E269" s="28">
        <v>12525.470419348832</v>
      </c>
      <c r="F269" s="27">
        <f t="shared" si="9"/>
        <v>2656.450028275869</v>
      </c>
      <c r="G269" s="27">
        <f t="shared" si="8"/>
        <v>17.497457172432267</v>
      </c>
      <c r="H269" s="29">
        <v>23</v>
      </c>
      <c r="I269" s="29">
        <v>0</v>
      </c>
      <c r="J269" s="15" t="s">
        <v>79</v>
      </c>
      <c r="K269" s="13">
        <v>40.883151666700002</v>
      </c>
      <c r="L269" s="13">
        <v>72.085181666699995</v>
      </c>
      <c r="M269" s="15">
        <v>160</v>
      </c>
    </row>
    <row r="270" spans="1:13" ht="30" customHeight="1">
      <c r="A270" s="16" t="s">
        <v>30</v>
      </c>
      <c r="B270" s="30" t="s">
        <v>384</v>
      </c>
      <c r="C270" s="30" t="s">
        <v>102</v>
      </c>
      <c r="D270" s="27">
        <v>14338.005447624708</v>
      </c>
      <c r="E270" s="28">
        <v>11787.137086015497</v>
      </c>
      <c r="F270" s="27">
        <f t="shared" si="9"/>
        <v>2550.8683616092112</v>
      </c>
      <c r="G270" s="27">
        <f t="shared" si="8"/>
        <v>17.790956844920146</v>
      </c>
      <c r="H270" s="29">
        <v>31</v>
      </c>
      <c r="I270" s="29">
        <v>0</v>
      </c>
      <c r="J270" s="15" t="s">
        <v>80</v>
      </c>
      <c r="K270" s="13"/>
      <c r="L270" s="13"/>
      <c r="M270" s="15">
        <v>63</v>
      </c>
    </row>
    <row r="271" spans="1:13" ht="30" customHeight="1">
      <c r="A271" s="16" t="s">
        <v>30</v>
      </c>
      <c r="B271" s="30" t="s">
        <v>392</v>
      </c>
      <c r="C271" s="30" t="s">
        <v>360</v>
      </c>
      <c r="D271" s="27">
        <v>18425.148657624701</v>
      </c>
      <c r="E271" s="28">
        <v>15362.940419348832</v>
      </c>
      <c r="F271" s="27">
        <f t="shared" si="9"/>
        <v>3062.208238275869</v>
      </c>
      <c r="G271" s="27">
        <f t="shared" si="8"/>
        <v>16.619720661025251</v>
      </c>
      <c r="H271" s="29">
        <v>76</v>
      </c>
      <c r="I271" s="29">
        <v>0</v>
      </c>
      <c r="J271" s="15" t="s">
        <v>75</v>
      </c>
      <c r="K271" s="13"/>
      <c r="L271" s="13"/>
      <c r="M271" s="15">
        <v>400</v>
      </c>
    </row>
    <row r="272" spans="1:13" ht="30" customHeight="1">
      <c r="A272" s="16" t="s">
        <v>13</v>
      </c>
      <c r="B272" s="30" t="s">
        <v>388</v>
      </c>
      <c r="C272" s="30" t="s">
        <v>361</v>
      </c>
      <c r="D272" s="27">
        <v>14997.832677624703</v>
      </c>
      <c r="E272" s="28">
        <v>12364.413752682165</v>
      </c>
      <c r="F272" s="27">
        <f t="shared" si="9"/>
        <v>2633.4189249425381</v>
      </c>
      <c r="G272" s="27">
        <f t="shared" si="8"/>
        <v>17.558663185190358</v>
      </c>
      <c r="H272" s="29">
        <v>51</v>
      </c>
      <c r="I272" s="29">
        <v>0</v>
      </c>
      <c r="J272" s="15" t="s">
        <v>75</v>
      </c>
      <c r="K272" s="13"/>
      <c r="L272" s="13"/>
      <c r="M272" s="15">
        <v>400</v>
      </c>
    </row>
    <row r="273" spans="1:13" ht="30" customHeight="1">
      <c r="A273" s="16" t="s">
        <v>13</v>
      </c>
      <c r="B273" s="30" t="s">
        <v>387</v>
      </c>
      <c r="C273" s="30" t="s">
        <v>362</v>
      </c>
      <c r="D273" s="27">
        <v>25072.379457624709</v>
      </c>
      <c r="E273" s="28">
        <v>21178.540419348836</v>
      </c>
      <c r="F273" s="27">
        <f t="shared" si="9"/>
        <v>3893.8390382758735</v>
      </c>
      <c r="G273" s="27">
        <f t="shared" si="8"/>
        <v>15.530392896521541</v>
      </c>
      <c r="H273" s="29">
        <v>52</v>
      </c>
      <c r="I273" s="29">
        <v>0</v>
      </c>
      <c r="J273" s="15" t="s">
        <v>68</v>
      </c>
      <c r="K273" s="13">
        <v>40.890700000000002</v>
      </c>
      <c r="L273" s="13">
        <v>71.955235000000002</v>
      </c>
      <c r="M273" s="15">
        <v>40</v>
      </c>
    </row>
    <row r="274" spans="1:13" ht="30" customHeight="1">
      <c r="A274" s="16" t="s">
        <v>13</v>
      </c>
      <c r="B274" s="30" t="s">
        <v>388</v>
      </c>
      <c r="C274" s="30" t="s">
        <v>363</v>
      </c>
      <c r="D274" s="27">
        <v>13874.309397624702</v>
      </c>
      <c r="E274" s="28">
        <v>11381.453752682162</v>
      </c>
      <c r="F274" s="27">
        <f t="shared" si="9"/>
        <v>2492.8556449425396</v>
      </c>
      <c r="G274" s="27">
        <f t="shared" si="8"/>
        <v>17.967421465815946</v>
      </c>
      <c r="H274" s="29">
        <v>29</v>
      </c>
      <c r="I274" s="29">
        <v>2</v>
      </c>
      <c r="J274" s="15" t="s">
        <v>74</v>
      </c>
      <c r="K274" s="13">
        <v>40.883293333300003</v>
      </c>
      <c r="L274" s="13">
        <v>71.964291666700007</v>
      </c>
      <c r="M274" s="15">
        <v>63</v>
      </c>
    </row>
    <row r="275" spans="1:13" ht="30" customHeight="1">
      <c r="A275" s="16" t="s">
        <v>13</v>
      </c>
      <c r="B275" s="30" t="s">
        <v>389</v>
      </c>
      <c r="C275" s="30" t="s">
        <v>364</v>
      </c>
      <c r="D275" s="27">
        <v>17370.247287624701</v>
      </c>
      <c r="E275" s="28">
        <v>14440.017086015499</v>
      </c>
      <c r="F275" s="27">
        <f t="shared" si="9"/>
        <v>2930.2302016092017</v>
      </c>
      <c r="G275" s="27">
        <f t="shared" si="8"/>
        <v>16.869248624323394</v>
      </c>
      <c r="H275" s="29">
        <v>73</v>
      </c>
      <c r="I275" s="29">
        <v>0</v>
      </c>
      <c r="J275" s="15" t="s">
        <v>76</v>
      </c>
      <c r="K275" s="13">
        <v>40.875286666699999</v>
      </c>
      <c r="L275" s="13">
        <v>71.9537066667</v>
      </c>
      <c r="M275" s="15">
        <v>25</v>
      </c>
    </row>
    <row r="276" spans="1:13" ht="30" customHeight="1">
      <c r="A276" s="16" t="s">
        <v>13</v>
      </c>
      <c r="B276" s="30" t="s">
        <v>386</v>
      </c>
      <c r="C276" s="30" t="s">
        <v>365</v>
      </c>
      <c r="D276" s="27">
        <v>15669.402327624701</v>
      </c>
      <c r="E276" s="28">
        <v>12951.963752682164</v>
      </c>
      <c r="F276" s="27">
        <f t="shared" si="9"/>
        <v>2717.4385749425364</v>
      </c>
      <c r="G276" s="27">
        <f t="shared" si="8"/>
        <v>17.342324347315859</v>
      </c>
      <c r="H276" s="29">
        <v>41</v>
      </c>
      <c r="I276" s="29">
        <v>0</v>
      </c>
      <c r="J276" s="15" t="s">
        <v>81</v>
      </c>
      <c r="K276" s="13"/>
      <c r="L276" s="13"/>
      <c r="M276" s="15">
        <v>160</v>
      </c>
    </row>
    <row r="277" spans="1:13" ht="30" customHeight="1">
      <c r="A277" s="16" t="s">
        <v>13</v>
      </c>
      <c r="B277" s="30" t="s">
        <v>389</v>
      </c>
      <c r="C277" s="30" t="s">
        <v>366</v>
      </c>
      <c r="D277" s="27">
        <v>15390.270297624707</v>
      </c>
      <c r="E277" s="28">
        <v>12707.753752682165</v>
      </c>
      <c r="F277" s="27">
        <f t="shared" si="9"/>
        <v>2682.5165449425422</v>
      </c>
      <c r="G277" s="27">
        <f t="shared" si="8"/>
        <v>17.42995082650728</v>
      </c>
      <c r="H277" s="29">
        <v>18</v>
      </c>
      <c r="I277" s="29">
        <v>0</v>
      </c>
      <c r="J277" s="15" t="s">
        <v>77</v>
      </c>
      <c r="K277" s="13"/>
      <c r="L277" s="13"/>
      <c r="M277" s="15">
        <v>60</v>
      </c>
    </row>
    <row r="278" spans="1:13" ht="30" customHeight="1">
      <c r="A278" s="16" t="s">
        <v>30</v>
      </c>
      <c r="B278" s="30" t="s">
        <v>384</v>
      </c>
      <c r="C278" s="30" t="s">
        <v>91</v>
      </c>
      <c r="D278" s="27">
        <v>14594.761347624704</v>
      </c>
      <c r="E278" s="28">
        <v>12011.770419348832</v>
      </c>
      <c r="F278" s="27">
        <f t="shared" si="9"/>
        <v>2582.9909282758726</v>
      </c>
      <c r="G278" s="27">
        <f t="shared" si="8"/>
        <v>17.69806896291767</v>
      </c>
      <c r="H278" s="29">
        <v>20</v>
      </c>
      <c r="I278" s="29">
        <v>0</v>
      </c>
      <c r="J278" s="15" t="s">
        <v>82</v>
      </c>
      <c r="K278" s="13"/>
      <c r="L278" s="13"/>
      <c r="M278" s="15">
        <v>250</v>
      </c>
    </row>
    <row r="279" spans="1:13" ht="30" customHeight="1">
      <c r="A279" s="16" t="s">
        <v>30</v>
      </c>
      <c r="B279" s="30" t="s">
        <v>390</v>
      </c>
      <c r="C279" s="30" t="s">
        <v>367</v>
      </c>
      <c r="D279" s="27">
        <v>21439.93688762471</v>
      </c>
      <c r="E279" s="28">
        <v>18000.55041934883</v>
      </c>
      <c r="F279" s="27">
        <f t="shared" si="9"/>
        <v>3439.3864682758795</v>
      </c>
      <c r="G279" s="27">
        <f t="shared" si="8"/>
        <v>16.041961719864574</v>
      </c>
      <c r="H279" s="29">
        <v>52</v>
      </c>
      <c r="I279" s="29">
        <v>0</v>
      </c>
      <c r="J279" s="15" t="s">
        <v>70</v>
      </c>
      <c r="K279" s="13">
        <v>40.870626666699998</v>
      </c>
      <c r="L279" s="13">
        <v>72.030681666700005</v>
      </c>
      <c r="M279" s="15">
        <v>40</v>
      </c>
    </row>
    <row r="280" spans="1:13" ht="30" customHeight="1">
      <c r="A280" s="16" t="s">
        <v>30</v>
      </c>
      <c r="B280" s="30" t="s">
        <v>384</v>
      </c>
      <c r="C280" s="30" t="s">
        <v>106</v>
      </c>
      <c r="D280" s="27">
        <v>15132.939087624703</v>
      </c>
      <c r="E280" s="28">
        <v>12482.617086015496</v>
      </c>
      <c r="F280" s="27">
        <f t="shared" si="9"/>
        <v>2650.3220016092073</v>
      </c>
      <c r="G280" s="27">
        <f t="shared" si="8"/>
        <v>17.513597234899116</v>
      </c>
      <c r="H280" s="29">
        <v>46</v>
      </c>
      <c r="I280" s="29">
        <v>2</v>
      </c>
      <c r="J280" s="15" t="s">
        <v>59</v>
      </c>
      <c r="K280" s="13"/>
      <c r="L280" s="13"/>
      <c r="M280" s="15">
        <v>250</v>
      </c>
    </row>
    <row r="281" spans="1:13" ht="30" customHeight="1">
      <c r="A281" s="16" t="s">
        <v>13</v>
      </c>
      <c r="B281" s="30" t="s">
        <v>388</v>
      </c>
      <c r="C281" s="30" t="s">
        <v>368</v>
      </c>
      <c r="D281" s="27">
        <v>14749.965507624705</v>
      </c>
      <c r="E281" s="28">
        <v>12147.557086015498</v>
      </c>
      <c r="F281" s="27">
        <f t="shared" si="9"/>
        <v>2602.4084216092069</v>
      </c>
      <c r="G281" s="27">
        <f t="shared" si="8"/>
        <v>17.643488184863504</v>
      </c>
      <c r="H281" s="29">
        <v>36</v>
      </c>
      <c r="I281" s="29">
        <v>0</v>
      </c>
      <c r="J281" s="15" t="s">
        <v>83</v>
      </c>
      <c r="K281" s="13"/>
      <c r="L281" s="13"/>
      <c r="M281" s="15">
        <v>63</v>
      </c>
    </row>
    <row r="282" spans="1:13" ht="30" customHeight="1">
      <c r="A282" s="16" t="s">
        <v>13</v>
      </c>
      <c r="B282" s="30" t="s">
        <v>389</v>
      </c>
      <c r="C282" s="30" t="s">
        <v>369</v>
      </c>
      <c r="D282" s="27">
        <v>19172.872587624708</v>
      </c>
      <c r="E282" s="28">
        <v>16017.117086015498</v>
      </c>
      <c r="F282" s="27">
        <f t="shared" si="9"/>
        <v>3155.7555016092101</v>
      </c>
      <c r="G282" s="27">
        <f t="shared" si="8"/>
        <v>16.459481943494055</v>
      </c>
      <c r="H282" s="29">
        <v>75</v>
      </c>
      <c r="I282" s="29">
        <v>0</v>
      </c>
      <c r="J282" s="15" t="s">
        <v>55</v>
      </c>
      <c r="K282" s="13"/>
      <c r="L282" s="13"/>
      <c r="M282" s="15">
        <v>400</v>
      </c>
    </row>
    <row r="283" spans="1:13" ht="30" customHeight="1">
      <c r="A283" s="16" t="s">
        <v>13</v>
      </c>
      <c r="B283" s="30" t="s">
        <v>390</v>
      </c>
      <c r="C283" s="30" t="s">
        <v>370</v>
      </c>
      <c r="D283" s="27">
        <v>16436.785857624705</v>
      </c>
      <c r="E283" s="28">
        <v>13623.340419348831</v>
      </c>
      <c r="F283" s="27">
        <f t="shared" si="9"/>
        <v>2813.445438275874</v>
      </c>
      <c r="G283" s="27">
        <f t="shared" si="8"/>
        <v>17.11676152896262</v>
      </c>
      <c r="H283" s="29">
        <v>53</v>
      </c>
      <c r="I283" s="29">
        <v>2</v>
      </c>
      <c r="J283" s="15" t="s">
        <v>56</v>
      </c>
      <c r="K283" s="13"/>
      <c r="L283" s="13"/>
      <c r="M283" s="15">
        <v>25</v>
      </c>
    </row>
    <row r="284" spans="1:13" ht="30" customHeight="1">
      <c r="A284" s="16" t="s">
        <v>13</v>
      </c>
      <c r="B284" s="30" t="s">
        <v>391</v>
      </c>
      <c r="C284" s="30" t="s">
        <v>371</v>
      </c>
      <c r="D284" s="27">
        <v>14799.941277624703</v>
      </c>
      <c r="E284" s="28">
        <v>12191.28041934883</v>
      </c>
      <c r="F284" s="27">
        <f t="shared" si="9"/>
        <v>2608.6608582758727</v>
      </c>
      <c r="G284" s="27">
        <f t="shared" si="8"/>
        <v>17.626156816039384</v>
      </c>
      <c r="H284" s="29">
        <v>45</v>
      </c>
      <c r="I284" s="29">
        <v>0</v>
      </c>
      <c r="J284" s="15" t="s">
        <v>75</v>
      </c>
      <c r="K284" s="13"/>
      <c r="L284" s="13"/>
      <c r="M284" s="15">
        <v>25</v>
      </c>
    </row>
    <row r="285" spans="1:13" ht="30" customHeight="1">
      <c r="A285" s="16" t="s">
        <v>13</v>
      </c>
      <c r="B285" s="30" t="s">
        <v>388</v>
      </c>
      <c r="C285" s="30" t="s">
        <v>372</v>
      </c>
      <c r="D285" s="27">
        <v>15094.667637624703</v>
      </c>
      <c r="E285" s="28">
        <v>12449.133752682163</v>
      </c>
      <c r="F285" s="27">
        <f t="shared" si="9"/>
        <v>2645.5338849425407</v>
      </c>
      <c r="G285" s="27">
        <f t="shared" si="8"/>
        <v>17.526281124258276</v>
      </c>
      <c r="H285" s="29">
        <v>28</v>
      </c>
      <c r="I285" s="29">
        <v>2</v>
      </c>
      <c r="J285" s="15" t="s">
        <v>55</v>
      </c>
      <c r="K285" s="13">
        <v>40.882366666700001</v>
      </c>
      <c r="L285" s="13">
        <v>72.011693333300002</v>
      </c>
      <c r="M285" s="15">
        <v>63</v>
      </c>
    </row>
    <row r="286" spans="1:13" ht="30" customHeight="1">
      <c r="A286" s="16" t="s">
        <v>30</v>
      </c>
      <c r="B286" s="30" t="s">
        <v>392</v>
      </c>
      <c r="C286" s="30" t="s">
        <v>373</v>
      </c>
      <c r="D286" s="27">
        <v>21377.330967624708</v>
      </c>
      <c r="E286" s="28">
        <v>17945.7770860155</v>
      </c>
      <c r="F286" s="27">
        <f t="shared" si="9"/>
        <v>3431.5538816092085</v>
      </c>
      <c r="G286" s="27">
        <f t="shared" si="8"/>
        <v>16.052302725752753</v>
      </c>
      <c r="H286" s="29">
        <v>170</v>
      </c>
      <c r="I286" s="29">
        <v>2</v>
      </c>
      <c r="J286" s="15" t="s">
        <v>84</v>
      </c>
      <c r="K286" s="13"/>
      <c r="L286" s="13"/>
      <c r="M286" s="15">
        <v>100</v>
      </c>
    </row>
    <row r="287" spans="1:13" ht="30" customHeight="1">
      <c r="A287" s="16" t="s">
        <v>13</v>
      </c>
      <c r="B287" s="30" t="s">
        <v>388</v>
      </c>
      <c r="C287" s="30" t="s">
        <v>26</v>
      </c>
      <c r="D287" s="27">
        <v>14757.817917624705</v>
      </c>
      <c r="E287" s="28">
        <v>12154.427086015497</v>
      </c>
      <c r="F287" s="27">
        <f t="shared" si="9"/>
        <v>2603.3908316092075</v>
      </c>
      <c r="G287" s="27">
        <f t="shared" si="8"/>
        <v>17.640757232138473</v>
      </c>
      <c r="H287" s="29">
        <v>33</v>
      </c>
      <c r="I287" s="29">
        <v>0</v>
      </c>
      <c r="J287" s="15" t="s">
        <v>85</v>
      </c>
      <c r="K287" s="13"/>
      <c r="L287" s="13"/>
      <c r="M287" s="15">
        <v>100</v>
      </c>
    </row>
    <row r="288" spans="1:13" ht="30" customHeight="1">
      <c r="A288" s="16" t="s">
        <v>13</v>
      </c>
      <c r="B288" s="30" t="s">
        <v>390</v>
      </c>
      <c r="C288" s="30" t="s">
        <v>374</v>
      </c>
      <c r="D288" s="27">
        <v>16513.713567624702</v>
      </c>
      <c r="E288" s="28">
        <v>13690.643752682165</v>
      </c>
      <c r="F288" s="27">
        <f t="shared" si="9"/>
        <v>2823.0698149425371</v>
      </c>
      <c r="G288" s="27">
        <f t="shared" si="8"/>
        <v>17.095305688704652</v>
      </c>
      <c r="H288" s="29">
        <v>45</v>
      </c>
      <c r="I288" s="29">
        <v>0</v>
      </c>
      <c r="J288" s="15" t="s">
        <v>81</v>
      </c>
      <c r="K288" s="13"/>
      <c r="L288" s="13"/>
      <c r="M288" s="15">
        <v>100</v>
      </c>
    </row>
    <row r="289" spans="1:13" ht="30" customHeight="1">
      <c r="A289" s="16" t="s">
        <v>13</v>
      </c>
      <c r="B289" s="30" t="s">
        <v>390</v>
      </c>
      <c r="C289" s="30" t="s">
        <v>375</v>
      </c>
      <c r="D289" s="27">
        <v>15944.072847624708</v>
      </c>
      <c r="E289" s="28">
        <v>13192.270419348832</v>
      </c>
      <c r="F289" s="27">
        <f t="shared" si="9"/>
        <v>2751.8024282758761</v>
      </c>
      <c r="G289" s="27">
        <f t="shared" si="8"/>
        <v>17.259093423458797</v>
      </c>
      <c r="H289" s="29">
        <v>52</v>
      </c>
      <c r="I289" s="29">
        <v>5</v>
      </c>
      <c r="J289" s="15" t="s">
        <v>65</v>
      </c>
      <c r="K289" s="13"/>
      <c r="L289" s="13"/>
      <c r="M289" s="15">
        <v>63</v>
      </c>
    </row>
    <row r="290" spans="1:13" ht="30" customHeight="1">
      <c r="A290" s="16" t="s">
        <v>13</v>
      </c>
      <c r="B290" s="30" t="s">
        <v>390</v>
      </c>
      <c r="C290" s="30" t="s">
        <v>376</v>
      </c>
      <c r="D290" s="27">
        <v>16783.594917624705</v>
      </c>
      <c r="E290" s="28">
        <v>13926.76041934883</v>
      </c>
      <c r="F290" s="27">
        <f t="shared" si="9"/>
        <v>2856.8344982758754</v>
      </c>
      <c r="G290" s="27">
        <f t="shared" si="8"/>
        <v>17.021588713845031</v>
      </c>
      <c r="H290" s="29">
        <v>65</v>
      </c>
      <c r="I290" s="29">
        <v>0</v>
      </c>
      <c r="J290" s="15" t="s">
        <v>60</v>
      </c>
      <c r="K290" s="13"/>
      <c r="L290" s="13"/>
      <c r="M290" s="15">
        <v>160</v>
      </c>
    </row>
    <row r="291" spans="1:13" ht="30" customHeight="1">
      <c r="A291" s="16" t="s">
        <v>13</v>
      </c>
      <c r="B291" s="30" t="s">
        <v>389</v>
      </c>
      <c r="C291" s="30" t="s">
        <v>377</v>
      </c>
      <c r="D291" s="27">
        <v>19818.549477624703</v>
      </c>
      <c r="E291" s="28">
        <v>16582.013752682164</v>
      </c>
      <c r="F291" s="27">
        <f t="shared" si="9"/>
        <v>3236.5357249425397</v>
      </c>
      <c r="G291" s="27">
        <f t="shared" si="8"/>
        <v>16.330840602621368</v>
      </c>
      <c r="H291" s="29">
        <v>100</v>
      </c>
      <c r="I291" s="29">
        <v>0</v>
      </c>
      <c r="J291" s="15" t="s">
        <v>60</v>
      </c>
      <c r="K291" s="13">
        <v>40.881914999999999</v>
      </c>
      <c r="L291" s="13">
        <v>71.997399999999999</v>
      </c>
      <c r="M291" s="15">
        <v>100</v>
      </c>
    </row>
    <row r="292" spans="1:13" ht="30" customHeight="1">
      <c r="A292" s="16" t="s">
        <v>13</v>
      </c>
      <c r="B292" s="30" t="s">
        <v>392</v>
      </c>
      <c r="C292" s="30" t="s">
        <v>378</v>
      </c>
      <c r="D292" s="27">
        <v>15111.945987624704</v>
      </c>
      <c r="E292" s="28">
        <v>12464.250419348831</v>
      </c>
      <c r="F292" s="27">
        <f t="shared" si="9"/>
        <v>2647.6955682758726</v>
      </c>
      <c r="G292" s="27">
        <f t="shared" si="8"/>
        <v>17.520546794199053</v>
      </c>
      <c r="H292" s="29">
        <v>35</v>
      </c>
      <c r="I292" s="29">
        <v>0</v>
      </c>
      <c r="J292" s="15" t="s">
        <v>55</v>
      </c>
      <c r="K292" s="13"/>
      <c r="L292" s="13"/>
      <c r="M292" s="15">
        <v>160</v>
      </c>
    </row>
    <row r="293" spans="1:13" ht="30" customHeight="1">
      <c r="A293" s="16" t="s">
        <v>30</v>
      </c>
      <c r="B293" s="30" t="s">
        <v>391</v>
      </c>
      <c r="C293" s="30" t="s">
        <v>379</v>
      </c>
      <c r="D293" s="27">
        <v>16943.031987624705</v>
      </c>
      <c r="E293" s="28">
        <v>14066.250419348833</v>
      </c>
      <c r="F293" s="27">
        <f t="shared" si="9"/>
        <v>2876.7815682758719</v>
      </c>
      <c r="G293" s="27">
        <f t="shared" si="8"/>
        <v>16.979142637380907</v>
      </c>
      <c r="H293" s="29">
        <v>32</v>
      </c>
      <c r="I293" s="29">
        <v>0</v>
      </c>
      <c r="J293" s="15" t="s">
        <v>75</v>
      </c>
      <c r="K293" s="13">
        <v>40.837551666700001</v>
      </c>
      <c r="L293" s="13">
        <v>72.172751666699995</v>
      </c>
      <c r="M293" s="15">
        <v>100</v>
      </c>
    </row>
    <row r="294" spans="1:13" ht="30" customHeight="1">
      <c r="A294" s="16" t="s">
        <v>30</v>
      </c>
      <c r="B294" s="30" t="s">
        <v>388</v>
      </c>
      <c r="C294" s="30" t="s">
        <v>380</v>
      </c>
      <c r="D294" s="27">
        <v>14497.591107624705</v>
      </c>
      <c r="E294" s="28">
        <v>11926.757086015496</v>
      </c>
      <c r="F294" s="27">
        <f t="shared" si="9"/>
        <v>2570.8340216092092</v>
      </c>
      <c r="G294" s="27">
        <f t="shared" ref="G294:G357" si="10">+F294*100/D294</f>
        <v>17.732835769227432</v>
      </c>
      <c r="H294" s="29">
        <v>30</v>
      </c>
      <c r="I294" s="29">
        <v>0</v>
      </c>
      <c r="J294" s="15" t="s">
        <v>86</v>
      </c>
      <c r="K294" s="13">
        <v>40.883151666700002</v>
      </c>
      <c r="L294" s="13">
        <v>72.085181666699995</v>
      </c>
      <c r="M294" s="15">
        <v>63</v>
      </c>
    </row>
    <row r="295" spans="1:13" ht="30" customHeight="1">
      <c r="A295" s="16" t="s">
        <v>13</v>
      </c>
      <c r="B295" s="30" t="s">
        <v>390</v>
      </c>
      <c r="C295" s="30" t="s">
        <v>381</v>
      </c>
      <c r="D295" s="27">
        <v>14292.331167624701</v>
      </c>
      <c r="E295" s="28">
        <v>11747.177086015497</v>
      </c>
      <c r="F295" s="27">
        <f t="shared" si="9"/>
        <v>2545.1540816092038</v>
      </c>
      <c r="G295" s="27">
        <f t="shared" si="10"/>
        <v>17.807830309547697</v>
      </c>
      <c r="H295" s="29">
        <v>18</v>
      </c>
      <c r="I295" s="29">
        <v>0</v>
      </c>
      <c r="J295" s="15" t="s">
        <v>70</v>
      </c>
      <c r="K295" s="13">
        <v>40.883535000000002</v>
      </c>
      <c r="L295" s="13">
        <v>71.979993333300001</v>
      </c>
      <c r="M295" s="15">
        <v>100</v>
      </c>
    </row>
    <row r="296" spans="1:13" ht="30" customHeight="1">
      <c r="A296" s="16" t="s">
        <v>30</v>
      </c>
      <c r="B296" s="30" t="s">
        <v>385</v>
      </c>
      <c r="C296" s="30" t="s">
        <v>382</v>
      </c>
      <c r="D296" s="27">
        <v>19638.999417624702</v>
      </c>
      <c r="E296" s="28">
        <v>16424.927086015501</v>
      </c>
      <c r="F296" s="27">
        <f t="shared" si="9"/>
        <v>3214.0723316092008</v>
      </c>
      <c r="G296" s="27">
        <f t="shared" si="10"/>
        <v>16.365764178009922</v>
      </c>
      <c r="H296" s="29">
        <v>137</v>
      </c>
      <c r="I296" s="29">
        <v>14</v>
      </c>
      <c r="J296" s="15" t="s">
        <v>56</v>
      </c>
      <c r="K296" s="13">
        <v>40.858853333299997</v>
      </c>
      <c r="L296" s="13">
        <v>72.0770083333</v>
      </c>
      <c r="M296" s="15">
        <v>100</v>
      </c>
    </row>
    <row r="297" spans="1:13" ht="30" customHeight="1">
      <c r="A297" s="16" t="s">
        <v>45</v>
      </c>
      <c r="B297" s="30" t="s">
        <v>385</v>
      </c>
      <c r="C297" s="30" t="s">
        <v>383</v>
      </c>
      <c r="D297" s="27">
        <v>13878.461515715919</v>
      </c>
      <c r="E297" s="28">
        <v>11385.181292096579</v>
      </c>
      <c r="F297" s="27">
        <f t="shared" si="9"/>
        <v>2493.2802236193402</v>
      </c>
      <c r="G297" s="27">
        <f t="shared" si="10"/>
        <v>17.965105287758004</v>
      </c>
      <c r="H297" s="29">
        <v>3</v>
      </c>
      <c r="I297" s="29">
        <v>4</v>
      </c>
      <c r="J297" s="15" t="s">
        <v>87</v>
      </c>
      <c r="K297" s="13">
        <v>40.833135628299999</v>
      </c>
      <c r="L297" s="13">
        <v>72.203557438199994</v>
      </c>
      <c r="M297" s="15">
        <v>630</v>
      </c>
    </row>
    <row r="298" spans="1:13" ht="30" customHeight="1">
      <c r="A298" s="16" t="s">
        <v>30</v>
      </c>
      <c r="B298" s="30" t="s">
        <v>384</v>
      </c>
      <c r="C298" s="30" t="s">
        <v>114</v>
      </c>
      <c r="D298" s="27">
        <v>13803.210987624703</v>
      </c>
      <c r="E298" s="28">
        <v>11319.250419348831</v>
      </c>
      <c r="F298" s="27">
        <f t="shared" si="9"/>
        <v>2483.960568275872</v>
      </c>
      <c r="G298" s="27">
        <f t="shared" si="10"/>
        <v>17.995527058905871</v>
      </c>
      <c r="H298" s="29">
        <v>20</v>
      </c>
      <c r="I298" s="29">
        <v>0</v>
      </c>
      <c r="J298" s="15" t="s">
        <v>88</v>
      </c>
      <c r="K298" s="13">
        <v>40.8940533333</v>
      </c>
      <c r="L298" s="13">
        <v>71.926556666699994</v>
      </c>
      <c r="M298" s="15">
        <v>40</v>
      </c>
    </row>
    <row r="299" spans="1:13" ht="30" customHeight="1">
      <c r="A299" s="16" t="s">
        <v>13</v>
      </c>
      <c r="B299" s="30" t="s">
        <v>388</v>
      </c>
      <c r="C299" s="30" t="s">
        <v>402</v>
      </c>
      <c r="D299" s="44">
        <v>2800.5969999999998</v>
      </c>
      <c r="E299" s="44">
        <v>2800.5969999999998</v>
      </c>
      <c r="F299" s="27">
        <f t="shared" si="9"/>
        <v>0</v>
      </c>
      <c r="G299" s="27">
        <f t="shared" si="10"/>
        <v>0</v>
      </c>
      <c r="H299" s="29">
        <v>1</v>
      </c>
      <c r="I299" s="35"/>
      <c r="J299" s="12"/>
      <c r="K299" s="13"/>
      <c r="L299" s="13"/>
      <c r="M299" s="36"/>
    </row>
    <row r="300" spans="1:13" ht="30" customHeight="1">
      <c r="A300" s="16" t="s">
        <v>13</v>
      </c>
      <c r="B300" s="30" t="s">
        <v>387</v>
      </c>
      <c r="C300" s="30" t="s">
        <v>404</v>
      </c>
      <c r="D300" s="44">
        <v>3085.8604999999998</v>
      </c>
      <c r="E300" s="44">
        <v>3085.8604999999998</v>
      </c>
      <c r="F300" s="27">
        <f t="shared" si="9"/>
        <v>0</v>
      </c>
      <c r="G300" s="27">
        <f t="shared" si="10"/>
        <v>0</v>
      </c>
      <c r="H300" s="29">
        <v>1</v>
      </c>
      <c r="I300" s="12"/>
      <c r="J300" s="12"/>
      <c r="K300" s="13"/>
      <c r="L300" s="13"/>
      <c r="M300" s="36"/>
    </row>
    <row r="301" spans="1:13" ht="30" customHeight="1">
      <c r="A301" s="16" t="s">
        <v>13</v>
      </c>
      <c r="B301" s="30" t="s">
        <v>388</v>
      </c>
      <c r="C301" s="30" t="s">
        <v>405</v>
      </c>
      <c r="D301" s="44">
        <v>969.44200000000001</v>
      </c>
      <c r="E301" s="44">
        <v>969.44200000000001</v>
      </c>
      <c r="F301" s="27">
        <f t="shared" si="9"/>
        <v>0</v>
      </c>
      <c r="G301" s="27">
        <f t="shared" si="10"/>
        <v>0</v>
      </c>
      <c r="H301" s="29">
        <v>1</v>
      </c>
      <c r="I301" s="12"/>
      <c r="J301" s="12"/>
      <c r="K301" s="13"/>
      <c r="L301" s="13"/>
      <c r="M301" s="36"/>
    </row>
    <row r="302" spans="1:13" ht="30" customHeight="1">
      <c r="A302" s="16" t="s">
        <v>13</v>
      </c>
      <c r="B302" s="30" t="s">
        <v>388</v>
      </c>
      <c r="C302" s="30" t="s">
        <v>407</v>
      </c>
      <c r="D302" s="44">
        <v>3126.8564999999999</v>
      </c>
      <c r="E302" s="44">
        <v>3126.8564999999999</v>
      </c>
      <c r="F302" s="27">
        <f t="shared" si="9"/>
        <v>0</v>
      </c>
      <c r="G302" s="27">
        <f t="shared" si="10"/>
        <v>0</v>
      </c>
      <c r="H302" s="29">
        <v>1</v>
      </c>
      <c r="I302" s="12"/>
      <c r="J302" s="12"/>
      <c r="K302" s="13"/>
      <c r="L302" s="13"/>
      <c r="M302" s="36"/>
    </row>
    <row r="303" spans="1:13" ht="30" customHeight="1">
      <c r="A303" s="16" t="s">
        <v>13</v>
      </c>
      <c r="B303" s="30" t="s">
        <v>388</v>
      </c>
      <c r="C303" s="30" t="s">
        <v>408</v>
      </c>
      <c r="D303" s="44">
        <v>3137.1054999999997</v>
      </c>
      <c r="E303" s="44">
        <v>3137.1054999999997</v>
      </c>
      <c r="F303" s="27">
        <f t="shared" si="9"/>
        <v>0</v>
      </c>
      <c r="G303" s="27">
        <f t="shared" si="10"/>
        <v>0</v>
      </c>
      <c r="H303" s="29">
        <v>1</v>
      </c>
      <c r="I303" s="35"/>
      <c r="J303" s="12"/>
      <c r="K303" s="13"/>
      <c r="L303" s="13"/>
      <c r="M303" s="36"/>
    </row>
    <row r="304" spans="1:13" ht="30" customHeight="1">
      <c r="A304" s="16" t="s">
        <v>13</v>
      </c>
      <c r="B304" s="30" t="s">
        <v>388</v>
      </c>
      <c r="C304" s="30" t="s">
        <v>410</v>
      </c>
      <c r="D304" s="44">
        <v>3270.1149999999998</v>
      </c>
      <c r="E304" s="44">
        <v>3270.1149999999998</v>
      </c>
      <c r="F304" s="27">
        <f t="shared" si="9"/>
        <v>0</v>
      </c>
      <c r="G304" s="27">
        <f t="shared" si="10"/>
        <v>0</v>
      </c>
      <c r="H304" s="29">
        <v>1</v>
      </c>
      <c r="I304" s="12"/>
      <c r="J304" s="12"/>
      <c r="K304" s="13"/>
      <c r="L304" s="13"/>
      <c r="M304" s="36"/>
    </row>
    <row r="305" spans="1:13" ht="30" customHeight="1">
      <c r="A305" s="16" t="s">
        <v>13</v>
      </c>
      <c r="B305" s="30" t="s">
        <v>387</v>
      </c>
      <c r="C305" s="30" t="s">
        <v>411</v>
      </c>
      <c r="D305" s="44">
        <v>3919.0149999999999</v>
      </c>
      <c r="E305" s="44">
        <v>3919.0149999999999</v>
      </c>
      <c r="F305" s="27">
        <f t="shared" si="9"/>
        <v>0</v>
      </c>
      <c r="G305" s="27">
        <f t="shared" si="10"/>
        <v>0</v>
      </c>
      <c r="H305" s="29">
        <v>1</v>
      </c>
      <c r="I305" s="12"/>
      <c r="J305" s="12"/>
      <c r="K305" s="13"/>
      <c r="L305" s="13"/>
      <c r="M305" s="36"/>
    </row>
    <row r="306" spans="1:13" ht="30" customHeight="1">
      <c r="A306" s="16" t="s">
        <v>13</v>
      </c>
      <c r="B306" s="30" t="s">
        <v>387</v>
      </c>
      <c r="C306" s="30" t="s">
        <v>412</v>
      </c>
      <c r="D306" s="44">
        <v>5033.5150000000003</v>
      </c>
      <c r="E306" s="44">
        <v>5033.5150000000003</v>
      </c>
      <c r="F306" s="27">
        <f t="shared" si="9"/>
        <v>0</v>
      </c>
      <c r="G306" s="27">
        <f t="shared" si="10"/>
        <v>0</v>
      </c>
      <c r="H306" s="29">
        <v>1</v>
      </c>
      <c r="I306" s="12"/>
      <c r="J306" s="12"/>
      <c r="K306" s="13"/>
      <c r="L306" s="13"/>
      <c r="M306" s="36"/>
    </row>
    <row r="307" spans="1:13" ht="30" customHeight="1">
      <c r="A307" s="16" t="s">
        <v>13</v>
      </c>
      <c r="B307" s="30" t="s">
        <v>388</v>
      </c>
      <c r="C307" s="30" t="s">
        <v>413</v>
      </c>
      <c r="D307" s="44">
        <v>5776.0150000000003</v>
      </c>
      <c r="E307" s="44">
        <v>5776.0150000000003</v>
      </c>
      <c r="F307" s="27">
        <f t="shared" si="9"/>
        <v>0</v>
      </c>
      <c r="G307" s="27">
        <f t="shared" si="10"/>
        <v>0</v>
      </c>
      <c r="H307" s="29">
        <v>1</v>
      </c>
      <c r="I307" s="12"/>
      <c r="J307" s="12"/>
      <c r="K307" s="13"/>
      <c r="L307" s="13"/>
      <c r="M307" s="36"/>
    </row>
    <row r="308" spans="1:13" ht="30" customHeight="1">
      <c r="A308" s="16" t="s">
        <v>13</v>
      </c>
      <c r="B308" s="30" t="s">
        <v>388</v>
      </c>
      <c r="C308" s="30" t="s">
        <v>414</v>
      </c>
      <c r="D308" s="44">
        <v>3090.9849999999997</v>
      </c>
      <c r="E308" s="44">
        <v>3090.9849999999997</v>
      </c>
      <c r="F308" s="27">
        <f t="shared" si="9"/>
        <v>0</v>
      </c>
      <c r="G308" s="27">
        <f t="shared" si="10"/>
        <v>0</v>
      </c>
      <c r="H308" s="29">
        <v>1</v>
      </c>
      <c r="I308" s="12"/>
      <c r="J308" s="12"/>
      <c r="K308" s="13"/>
      <c r="L308" s="13"/>
      <c r="M308" s="36"/>
    </row>
    <row r="309" spans="1:13" ht="30" customHeight="1">
      <c r="A309" s="16" t="s">
        <v>13</v>
      </c>
      <c r="B309" s="30" t="s">
        <v>388</v>
      </c>
      <c r="C309" s="30" t="s">
        <v>415</v>
      </c>
      <c r="D309" s="44">
        <v>2030.2135000000003</v>
      </c>
      <c r="E309" s="44">
        <v>2030.2135000000003</v>
      </c>
      <c r="F309" s="27">
        <f t="shared" si="9"/>
        <v>0</v>
      </c>
      <c r="G309" s="27">
        <f t="shared" si="10"/>
        <v>0</v>
      </c>
      <c r="H309" s="29">
        <v>1</v>
      </c>
      <c r="I309" s="12"/>
      <c r="J309" s="12"/>
      <c r="K309" s="13"/>
      <c r="L309" s="13"/>
      <c r="M309" s="36"/>
    </row>
    <row r="310" spans="1:13" ht="30" customHeight="1">
      <c r="A310" s="16" t="s">
        <v>13</v>
      </c>
      <c r="B310" s="30" t="s">
        <v>388</v>
      </c>
      <c r="C310" s="30" t="s">
        <v>416</v>
      </c>
      <c r="D310" s="44">
        <v>2004.5909999999999</v>
      </c>
      <c r="E310" s="44">
        <v>2004.5909999999999</v>
      </c>
      <c r="F310" s="27">
        <f t="shared" si="9"/>
        <v>0</v>
      </c>
      <c r="G310" s="27">
        <f t="shared" si="10"/>
        <v>0</v>
      </c>
      <c r="H310" s="29">
        <v>1</v>
      </c>
      <c r="I310" s="12"/>
      <c r="J310" s="12"/>
      <c r="K310" s="13"/>
      <c r="L310" s="13"/>
      <c r="M310" s="36"/>
    </row>
    <row r="311" spans="1:13" ht="30" customHeight="1">
      <c r="A311" s="16" t="s">
        <v>13</v>
      </c>
      <c r="B311" s="30" t="s">
        <v>388</v>
      </c>
      <c r="C311" s="30" t="s">
        <v>417</v>
      </c>
      <c r="D311" s="44">
        <v>3101.2339999999999</v>
      </c>
      <c r="E311" s="44">
        <v>3101.2339999999999</v>
      </c>
      <c r="F311" s="27">
        <f t="shared" si="9"/>
        <v>0</v>
      </c>
      <c r="G311" s="27">
        <f t="shared" si="10"/>
        <v>0</v>
      </c>
      <c r="H311" s="29">
        <v>1</v>
      </c>
      <c r="I311" s="12"/>
      <c r="J311" s="12"/>
      <c r="K311" s="13"/>
      <c r="L311" s="13"/>
      <c r="M311" s="36"/>
    </row>
    <row r="312" spans="1:13" ht="30" customHeight="1">
      <c r="A312" s="16" t="s">
        <v>13</v>
      </c>
      <c r="B312" s="30" t="s">
        <v>388</v>
      </c>
      <c r="C312" s="30" t="s">
        <v>431</v>
      </c>
      <c r="D312" s="44">
        <v>3121.732</v>
      </c>
      <c r="E312" s="44">
        <v>3121.732</v>
      </c>
      <c r="F312" s="27">
        <f t="shared" si="9"/>
        <v>0</v>
      </c>
      <c r="G312" s="27">
        <f t="shared" si="10"/>
        <v>0</v>
      </c>
      <c r="H312" s="29">
        <v>1</v>
      </c>
      <c r="I312" s="12"/>
      <c r="J312" s="12"/>
      <c r="K312" s="13"/>
      <c r="L312" s="13"/>
      <c r="M312" s="36"/>
    </row>
    <row r="313" spans="1:13" ht="30" customHeight="1">
      <c r="A313" s="16" t="s">
        <v>13</v>
      </c>
      <c r="B313" s="30" t="s">
        <v>388</v>
      </c>
      <c r="C313" s="30" t="s">
        <v>418</v>
      </c>
      <c r="D313" s="44">
        <v>1210.2935</v>
      </c>
      <c r="E313" s="44">
        <v>1210.2935</v>
      </c>
      <c r="F313" s="27">
        <f t="shared" si="9"/>
        <v>0</v>
      </c>
      <c r="G313" s="27">
        <f t="shared" si="10"/>
        <v>0</v>
      </c>
      <c r="H313" s="29">
        <v>1</v>
      </c>
      <c r="I313" s="12"/>
      <c r="J313" s="12"/>
      <c r="K313" s="13"/>
      <c r="L313" s="13"/>
      <c r="M313" s="36"/>
    </row>
    <row r="314" spans="1:13" ht="30" customHeight="1">
      <c r="A314" s="16" t="s">
        <v>13</v>
      </c>
      <c r="B314" s="30" t="s">
        <v>387</v>
      </c>
      <c r="C314" s="30" t="s">
        <v>419</v>
      </c>
      <c r="D314" s="44">
        <v>3106.3584999999998</v>
      </c>
      <c r="E314" s="44">
        <v>3106.3584999999998</v>
      </c>
      <c r="F314" s="27">
        <f t="shared" si="9"/>
        <v>0</v>
      </c>
      <c r="G314" s="27">
        <f t="shared" si="10"/>
        <v>0</v>
      </c>
      <c r="H314" s="29">
        <v>1</v>
      </c>
      <c r="I314" s="12"/>
      <c r="J314" s="12"/>
      <c r="K314" s="13"/>
      <c r="L314" s="13"/>
      <c r="M314" s="36"/>
    </row>
    <row r="315" spans="1:13" ht="30" customHeight="1">
      <c r="A315" s="16" t="s">
        <v>13</v>
      </c>
      <c r="B315" s="30" t="s">
        <v>387</v>
      </c>
      <c r="C315" s="30" t="s">
        <v>420</v>
      </c>
      <c r="D315" s="44">
        <v>3172.9769999999999</v>
      </c>
      <c r="E315" s="44">
        <v>3172.9769999999999</v>
      </c>
      <c r="F315" s="27">
        <f t="shared" si="9"/>
        <v>0</v>
      </c>
      <c r="G315" s="27">
        <f t="shared" si="10"/>
        <v>0</v>
      </c>
      <c r="H315" s="29">
        <v>1</v>
      </c>
      <c r="I315" s="12"/>
      <c r="J315" s="12"/>
      <c r="K315" s="13"/>
      <c r="L315" s="13"/>
      <c r="M315" s="36"/>
    </row>
    <row r="316" spans="1:13" ht="30" customHeight="1">
      <c r="A316" s="16" t="s">
        <v>13</v>
      </c>
      <c r="B316" s="30" t="s">
        <v>387</v>
      </c>
      <c r="C316" s="30" t="s">
        <v>421</v>
      </c>
      <c r="D316" s="44">
        <v>3183.2259999999997</v>
      </c>
      <c r="E316" s="44">
        <v>3183.2259999999997</v>
      </c>
      <c r="F316" s="27">
        <f t="shared" si="9"/>
        <v>0</v>
      </c>
      <c r="G316" s="27">
        <f t="shared" si="10"/>
        <v>0</v>
      </c>
      <c r="H316" s="29">
        <v>1</v>
      </c>
      <c r="I316" s="12"/>
      <c r="J316" s="12"/>
      <c r="K316" s="13"/>
      <c r="L316" s="13"/>
      <c r="M316" s="36"/>
    </row>
    <row r="317" spans="1:13" ht="30" customHeight="1">
      <c r="A317" s="16" t="s">
        <v>13</v>
      </c>
      <c r="B317" s="30" t="s">
        <v>387</v>
      </c>
      <c r="C317" s="30" t="s">
        <v>422</v>
      </c>
      <c r="D317" s="44">
        <v>3249.8444999999997</v>
      </c>
      <c r="E317" s="44">
        <v>3249.8444999999997</v>
      </c>
      <c r="F317" s="27">
        <f t="shared" si="9"/>
        <v>0</v>
      </c>
      <c r="G317" s="27">
        <f t="shared" si="10"/>
        <v>0</v>
      </c>
      <c r="H317" s="29">
        <v>1</v>
      </c>
      <c r="I317" s="12"/>
      <c r="J317" s="12"/>
      <c r="K317" s="13"/>
      <c r="L317" s="13"/>
      <c r="M317" s="36"/>
    </row>
    <row r="318" spans="1:13" ht="30" customHeight="1">
      <c r="A318" s="16" t="s">
        <v>13</v>
      </c>
      <c r="B318" s="30" t="s">
        <v>387</v>
      </c>
      <c r="C318" s="30" t="s">
        <v>423</v>
      </c>
      <c r="D318" s="44">
        <v>4074.9149999999995</v>
      </c>
      <c r="E318" s="44">
        <v>4074.9149999999995</v>
      </c>
      <c r="F318" s="27">
        <f t="shared" si="9"/>
        <v>0</v>
      </c>
      <c r="G318" s="27">
        <f t="shared" si="10"/>
        <v>0</v>
      </c>
      <c r="H318" s="29">
        <v>1</v>
      </c>
      <c r="I318" s="12"/>
      <c r="J318" s="12"/>
      <c r="K318" s="13"/>
      <c r="L318" s="13"/>
      <c r="M318" s="36"/>
    </row>
    <row r="319" spans="1:13" ht="30" customHeight="1">
      <c r="A319" s="16" t="s">
        <v>13</v>
      </c>
      <c r="B319" s="30" t="s">
        <v>386</v>
      </c>
      <c r="C319" s="30" t="s">
        <v>424</v>
      </c>
      <c r="D319" s="44">
        <v>2948.3149999999996</v>
      </c>
      <c r="E319" s="44">
        <v>2948.3149999999996</v>
      </c>
      <c r="F319" s="27">
        <f t="shared" si="9"/>
        <v>0</v>
      </c>
      <c r="G319" s="27">
        <f t="shared" si="10"/>
        <v>0</v>
      </c>
      <c r="H319" s="29">
        <v>1</v>
      </c>
      <c r="I319" s="12"/>
      <c r="J319" s="12"/>
      <c r="K319" s="13"/>
      <c r="L319" s="13"/>
      <c r="M319" s="36"/>
    </row>
    <row r="320" spans="1:13" ht="30" customHeight="1">
      <c r="A320" s="16" t="s">
        <v>13</v>
      </c>
      <c r="B320" s="30"/>
      <c r="C320" s="30" t="s">
        <v>394</v>
      </c>
      <c r="D320" s="44">
        <v>5034.915</v>
      </c>
      <c r="E320" s="44">
        <v>5034.915</v>
      </c>
      <c r="F320" s="27">
        <f t="shared" si="9"/>
        <v>0</v>
      </c>
      <c r="G320" s="27">
        <f t="shared" si="10"/>
        <v>0</v>
      </c>
      <c r="H320" s="29">
        <v>1</v>
      </c>
      <c r="I320" s="12"/>
      <c r="J320" s="12"/>
      <c r="K320" s="13"/>
      <c r="L320" s="13"/>
      <c r="M320" s="36"/>
    </row>
    <row r="321" spans="1:13" ht="30" customHeight="1">
      <c r="A321" s="16" t="s">
        <v>13</v>
      </c>
      <c r="B321" s="30" t="s">
        <v>386</v>
      </c>
      <c r="C321" s="30" t="s">
        <v>395</v>
      </c>
      <c r="D321" s="44">
        <v>2306.9365000000003</v>
      </c>
      <c r="E321" s="44">
        <v>2306.9365000000003</v>
      </c>
      <c r="F321" s="27">
        <f t="shared" si="9"/>
        <v>0</v>
      </c>
      <c r="G321" s="27">
        <f t="shared" si="10"/>
        <v>0</v>
      </c>
      <c r="H321" s="29">
        <v>1</v>
      </c>
      <c r="I321" s="12"/>
      <c r="J321" s="12"/>
      <c r="K321" s="13"/>
      <c r="L321" s="13"/>
      <c r="M321" s="36"/>
    </row>
    <row r="322" spans="1:13" ht="30" customHeight="1">
      <c r="A322" s="16" t="s">
        <v>13</v>
      </c>
      <c r="B322" s="30" t="s">
        <v>384</v>
      </c>
      <c r="C322" s="30" t="s">
        <v>396</v>
      </c>
      <c r="D322" s="44">
        <v>2491.4184999999998</v>
      </c>
      <c r="E322" s="44">
        <v>2491.4184999999998</v>
      </c>
      <c r="F322" s="27">
        <f t="shared" si="9"/>
        <v>0</v>
      </c>
      <c r="G322" s="27">
        <f t="shared" si="10"/>
        <v>0</v>
      </c>
      <c r="H322" s="29">
        <v>1</v>
      </c>
      <c r="I322" s="12"/>
      <c r="J322" s="12"/>
      <c r="K322" s="13"/>
      <c r="L322" s="13"/>
      <c r="M322" s="36"/>
    </row>
    <row r="323" spans="1:13" ht="30" customHeight="1">
      <c r="A323" s="16" t="s">
        <v>13</v>
      </c>
      <c r="B323" s="30" t="s">
        <v>386</v>
      </c>
      <c r="C323" s="30" t="s">
        <v>397</v>
      </c>
      <c r="D323" s="44">
        <v>3065.3624999999997</v>
      </c>
      <c r="E323" s="44">
        <v>3065.3624999999997</v>
      </c>
      <c r="F323" s="27">
        <f t="shared" si="9"/>
        <v>0</v>
      </c>
      <c r="G323" s="27">
        <f t="shared" si="10"/>
        <v>0</v>
      </c>
      <c r="H323" s="29">
        <v>1</v>
      </c>
      <c r="I323" s="12"/>
      <c r="J323" s="12"/>
      <c r="K323" s="13"/>
      <c r="L323" s="13"/>
      <c r="M323" s="36"/>
    </row>
    <row r="324" spans="1:13" ht="30" customHeight="1">
      <c r="A324" s="16" t="s">
        <v>13</v>
      </c>
      <c r="B324" s="30" t="s">
        <v>387</v>
      </c>
      <c r="C324" s="30" t="s">
        <v>398</v>
      </c>
      <c r="D324" s="44">
        <v>4970.0150000000003</v>
      </c>
      <c r="E324" s="44">
        <v>4970.0150000000003</v>
      </c>
      <c r="F324" s="27">
        <f t="shared" si="9"/>
        <v>0</v>
      </c>
      <c r="G324" s="27">
        <f t="shared" si="10"/>
        <v>0</v>
      </c>
      <c r="H324" s="29">
        <v>1</v>
      </c>
      <c r="I324" s="12"/>
      <c r="J324" s="12"/>
      <c r="K324" s="13"/>
      <c r="L324" s="13"/>
      <c r="M324" s="36"/>
    </row>
    <row r="325" spans="1:13" ht="30" customHeight="1">
      <c r="A325" s="16" t="s">
        <v>13</v>
      </c>
      <c r="B325" s="30" t="s">
        <v>387</v>
      </c>
      <c r="C325" s="30" t="s">
        <v>399</v>
      </c>
      <c r="D325" s="44">
        <v>3131.9809999999998</v>
      </c>
      <c r="E325" s="44">
        <v>3131.9809999999998</v>
      </c>
      <c r="F325" s="27">
        <f t="shared" ref="F325:F362" si="11">+D325-E325</f>
        <v>0</v>
      </c>
      <c r="G325" s="27">
        <f t="shared" si="10"/>
        <v>0</v>
      </c>
      <c r="H325" s="29">
        <v>1</v>
      </c>
      <c r="I325" s="12"/>
      <c r="J325" s="12"/>
      <c r="K325" s="13"/>
      <c r="L325" s="13"/>
      <c r="M325" s="36"/>
    </row>
    <row r="326" spans="1:13" ht="30" customHeight="1">
      <c r="A326" s="16" t="s">
        <v>13</v>
      </c>
      <c r="B326" s="30" t="s">
        <v>387</v>
      </c>
      <c r="C326" s="30" t="s">
        <v>400</v>
      </c>
      <c r="D326" s="44">
        <v>1912.35</v>
      </c>
      <c r="E326" s="44">
        <v>1912.35</v>
      </c>
      <c r="F326" s="27">
        <f t="shared" si="11"/>
        <v>0</v>
      </c>
      <c r="G326" s="27">
        <f t="shared" si="10"/>
        <v>0</v>
      </c>
      <c r="H326" s="29">
        <v>1</v>
      </c>
      <c r="I326" s="12"/>
      <c r="J326" s="12"/>
      <c r="K326" s="13"/>
      <c r="L326" s="13"/>
      <c r="M326" s="36"/>
    </row>
    <row r="327" spans="1:13" ht="30" customHeight="1">
      <c r="A327" s="16" t="s">
        <v>13</v>
      </c>
      <c r="B327" s="30" t="s">
        <v>387</v>
      </c>
      <c r="C327" s="30" t="s">
        <v>401</v>
      </c>
      <c r="D327" s="44">
        <v>4158.915</v>
      </c>
      <c r="E327" s="44">
        <v>4158.915</v>
      </c>
      <c r="F327" s="27">
        <f t="shared" si="11"/>
        <v>0</v>
      </c>
      <c r="G327" s="27">
        <f t="shared" si="10"/>
        <v>0</v>
      </c>
      <c r="H327" s="29">
        <v>1</v>
      </c>
      <c r="I327" s="12"/>
      <c r="J327" s="12"/>
      <c r="K327" s="13"/>
      <c r="L327" s="13"/>
      <c r="M327" s="36"/>
    </row>
    <row r="328" spans="1:13" ht="30" customHeight="1">
      <c r="A328" s="16" t="s">
        <v>13</v>
      </c>
      <c r="B328" s="30" t="s">
        <v>387</v>
      </c>
      <c r="C328" s="30" t="s">
        <v>403</v>
      </c>
      <c r="D328" s="44">
        <v>2271.0650000000001</v>
      </c>
      <c r="E328" s="44">
        <v>2271.0650000000001</v>
      </c>
      <c r="F328" s="27">
        <f t="shared" si="11"/>
        <v>0</v>
      </c>
      <c r="G328" s="27">
        <f t="shared" si="10"/>
        <v>0</v>
      </c>
      <c r="H328" s="29">
        <v>1</v>
      </c>
      <c r="I328" s="12"/>
      <c r="J328" s="12"/>
      <c r="K328" s="13"/>
      <c r="L328" s="13"/>
      <c r="M328" s="36"/>
    </row>
    <row r="329" spans="1:13" ht="30" customHeight="1">
      <c r="A329" s="16" t="s">
        <v>13</v>
      </c>
      <c r="B329" s="30" t="s">
        <v>386</v>
      </c>
      <c r="C329" s="30" t="s">
        <v>425</v>
      </c>
      <c r="D329" s="44">
        <v>2597.0149999999999</v>
      </c>
      <c r="E329" s="44">
        <v>2597.0149999999999</v>
      </c>
      <c r="F329" s="27">
        <f t="shared" si="11"/>
        <v>0</v>
      </c>
      <c r="G329" s="27">
        <f t="shared" si="10"/>
        <v>0</v>
      </c>
      <c r="H329" s="29">
        <v>1</v>
      </c>
      <c r="I329" s="12"/>
      <c r="J329" s="12"/>
      <c r="K329" s="13"/>
      <c r="L329" s="13"/>
      <c r="M329" s="36"/>
    </row>
    <row r="330" spans="1:13" ht="30" customHeight="1">
      <c r="A330" s="16" t="s">
        <v>13</v>
      </c>
      <c r="B330" s="30" t="s">
        <v>386</v>
      </c>
      <c r="C330" s="30" t="s">
        <v>427</v>
      </c>
      <c r="D330" s="44">
        <v>3075.6115</v>
      </c>
      <c r="E330" s="44">
        <v>3075.6115</v>
      </c>
      <c r="F330" s="27">
        <f t="shared" si="11"/>
        <v>0</v>
      </c>
      <c r="G330" s="27">
        <f t="shared" si="10"/>
        <v>0</v>
      </c>
      <c r="H330" s="29">
        <v>1</v>
      </c>
      <c r="I330" s="12"/>
      <c r="J330" s="12"/>
      <c r="K330" s="13"/>
      <c r="L330" s="13"/>
      <c r="M330" s="36"/>
    </row>
    <row r="331" spans="1:13" ht="30" customHeight="1">
      <c r="A331" s="16" t="s">
        <v>13</v>
      </c>
      <c r="B331" s="30" t="s">
        <v>386</v>
      </c>
      <c r="C331" s="30" t="s">
        <v>428</v>
      </c>
      <c r="D331" s="44">
        <v>1937.9725000000003</v>
      </c>
      <c r="E331" s="44">
        <v>1937.9725000000003</v>
      </c>
      <c r="F331" s="27">
        <f t="shared" si="11"/>
        <v>0</v>
      </c>
      <c r="G331" s="27">
        <f t="shared" si="10"/>
        <v>0</v>
      </c>
      <c r="H331" s="29">
        <v>1</v>
      </c>
      <c r="I331" s="12"/>
      <c r="J331" s="12"/>
      <c r="K331" s="13"/>
      <c r="L331" s="13"/>
      <c r="M331" s="36"/>
    </row>
    <row r="332" spans="1:13" ht="30" customHeight="1">
      <c r="A332" s="16" t="s">
        <v>13</v>
      </c>
      <c r="B332" s="30" t="s">
        <v>384</v>
      </c>
      <c r="C332" s="30" t="s">
        <v>406</v>
      </c>
      <c r="D332" s="44">
        <v>3116.6074999999996</v>
      </c>
      <c r="E332" s="44">
        <v>3116.6074999999996</v>
      </c>
      <c r="F332" s="27">
        <f t="shared" si="11"/>
        <v>0</v>
      </c>
      <c r="G332" s="27">
        <f t="shared" si="10"/>
        <v>0</v>
      </c>
      <c r="H332" s="29">
        <v>1</v>
      </c>
      <c r="I332" s="12"/>
      <c r="J332" s="12"/>
      <c r="K332" s="13"/>
      <c r="L332" s="13"/>
      <c r="M332" s="36"/>
    </row>
    <row r="333" spans="1:13" ht="30" customHeight="1">
      <c r="A333" s="16" t="s">
        <v>13</v>
      </c>
      <c r="B333" s="30" t="s">
        <v>384</v>
      </c>
      <c r="C333" s="30" t="s">
        <v>409</v>
      </c>
      <c r="D333" s="44">
        <v>3162.7279999999996</v>
      </c>
      <c r="E333" s="44">
        <v>3162.7279999999996</v>
      </c>
      <c r="F333" s="27">
        <f t="shared" si="11"/>
        <v>0</v>
      </c>
      <c r="G333" s="27">
        <f t="shared" si="10"/>
        <v>0</v>
      </c>
      <c r="H333" s="29">
        <v>1</v>
      </c>
      <c r="I333" s="12"/>
      <c r="J333" s="12"/>
      <c r="K333" s="13"/>
      <c r="L333" s="13"/>
      <c r="M333" s="36"/>
    </row>
    <row r="334" spans="1:13" ht="30" customHeight="1">
      <c r="A334" s="16" t="s">
        <v>13</v>
      </c>
      <c r="B334" s="30" t="s">
        <v>384</v>
      </c>
      <c r="C334" s="30" t="s">
        <v>429</v>
      </c>
      <c r="D334" s="44">
        <v>759.33749999999998</v>
      </c>
      <c r="E334" s="44">
        <v>759.33749999999998</v>
      </c>
      <c r="F334" s="27">
        <f t="shared" si="11"/>
        <v>0</v>
      </c>
      <c r="G334" s="27">
        <f t="shared" si="10"/>
        <v>0</v>
      </c>
      <c r="H334" s="29">
        <v>1</v>
      </c>
      <c r="I334" s="12"/>
      <c r="J334" s="12"/>
      <c r="K334" s="13"/>
      <c r="L334" s="13"/>
      <c r="M334" s="36"/>
    </row>
    <row r="335" spans="1:13" ht="30" customHeight="1">
      <c r="A335" s="16" t="s">
        <v>13</v>
      </c>
      <c r="B335" s="30" t="s">
        <v>386</v>
      </c>
      <c r="C335" s="30" t="s">
        <v>430</v>
      </c>
      <c r="D335" s="44">
        <v>2076.3340000000003</v>
      </c>
      <c r="E335" s="44">
        <v>2076.3340000000003</v>
      </c>
      <c r="F335" s="27">
        <f t="shared" si="11"/>
        <v>0</v>
      </c>
      <c r="G335" s="27">
        <f t="shared" si="10"/>
        <v>0</v>
      </c>
      <c r="H335" s="29">
        <v>1</v>
      </c>
      <c r="I335" s="12"/>
      <c r="J335" s="12"/>
      <c r="K335" s="13"/>
      <c r="L335" s="13"/>
      <c r="M335" s="36"/>
    </row>
    <row r="336" spans="1:13" ht="30" customHeight="1">
      <c r="A336" s="16" t="s">
        <v>13</v>
      </c>
      <c r="B336" s="30" t="s">
        <v>386</v>
      </c>
      <c r="C336" s="30" t="s">
        <v>436</v>
      </c>
      <c r="D336" s="44">
        <v>846.45399999999995</v>
      </c>
      <c r="E336" s="44">
        <v>846.45399999999995</v>
      </c>
      <c r="F336" s="27">
        <f t="shared" si="11"/>
        <v>0</v>
      </c>
      <c r="G336" s="27">
        <f t="shared" si="10"/>
        <v>0</v>
      </c>
      <c r="H336" s="29">
        <v>1</v>
      </c>
      <c r="I336" s="12"/>
      <c r="J336" s="12"/>
      <c r="K336" s="13"/>
      <c r="L336" s="13"/>
      <c r="M336" s="36"/>
    </row>
    <row r="337" spans="1:13" ht="30" customHeight="1">
      <c r="A337" s="16" t="s">
        <v>13</v>
      </c>
      <c r="B337" s="30" t="s">
        <v>386</v>
      </c>
      <c r="C337" s="30" t="s">
        <v>432</v>
      </c>
      <c r="D337" s="44">
        <v>3152.4789999999998</v>
      </c>
      <c r="E337" s="44">
        <v>3152.4789999999998</v>
      </c>
      <c r="F337" s="27">
        <f t="shared" si="11"/>
        <v>0</v>
      </c>
      <c r="G337" s="27">
        <f t="shared" si="10"/>
        <v>0</v>
      </c>
      <c r="H337" s="29">
        <v>1</v>
      </c>
      <c r="I337" s="12"/>
      <c r="J337" s="12"/>
      <c r="K337" s="13"/>
      <c r="L337" s="13"/>
      <c r="M337" s="36"/>
    </row>
    <row r="338" spans="1:13" ht="30" customHeight="1">
      <c r="A338" s="16" t="s">
        <v>13</v>
      </c>
      <c r="B338" s="30" t="s">
        <v>384</v>
      </c>
      <c r="C338" s="30" t="s">
        <v>433</v>
      </c>
      <c r="D338" s="44">
        <v>3111.4829999999997</v>
      </c>
      <c r="E338" s="44">
        <v>3111.4829999999997</v>
      </c>
      <c r="F338" s="27">
        <f t="shared" si="11"/>
        <v>0</v>
      </c>
      <c r="G338" s="27">
        <f t="shared" si="10"/>
        <v>0</v>
      </c>
      <c r="H338" s="29">
        <v>1</v>
      </c>
      <c r="I338" s="12"/>
      <c r="J338" s="12"/>
      <c r="K338" s="13"/>
      <c r="L338" s="13"/>
      <c r="M338" s="36"/>
    </row>
    <row r="339" spans="1:13" ht="30" customHeight="1">
      <c r="A339" s="16" t="s">
        <v>13</v>
      </c>
      <c r="B339" s="30" t="s">
        <v>386</v>
      </c>
      <c r="C339" s="30" t="s">
        <v>434</v>
      </c>
      <c r="D339" s="44">
        <v>3208.8484999999996</v>
      </c>
      <c r="E339" s="44">
        <v>3208.8484999999996</v>
      </c>
      <c r="F339" s="27">
        <f t="shared" si="11"/>
        <v>0</v>
      </c>
      <c r="G339" s="27">
        <f t="shared" si="10"/>
        <v>0</v>
      </c>
      <c r="H339" s="29">
        <v>1</v>
      </c>
      <c r="I339" s="12"/>
      <c r="J339" s="12"/>
      <c r="K339" s="13"/>
      <c r="L339" s="13"/>
      <c r="M339" s="36"/>
    </row>
    <row r="340" spans="1:13" ht="30" customHeight="1">
      <c r="A340" s="16" t="s">
        <v>13</v>
      </c>
      <c r="B340" s="30" t="s">
        <v>384</v>
      </c>
      <c r="C340" s="30" t="s">
        <v>393</v>
      </c>
      <c r="D340" s="27">
        <v>2276.1895</v>
      </c>
      <c r="E340" s="27">
        <v>2276.1895</v>
      </c>
      <c r="F340" s="27">
        <f t="shared" si="11"/>
        <v>0</v>
      </c>
      <c r="G340" s="27">
        <f t="shared" si="10"/>
        <v>0</v>
      </c>
      <c r="H340" s="29">
        <v>1</v>
      </c>
      <c r="I340" s="12"/>
      <c r="J340" s="12"/>
      <c r="K340" s="13"/>
      <c r="L340" s="13"/>
      <c r="M340" s="36"/>
    </row>
    <row r="341" spans="1:13" ht="30" customHeight="1">
      <c r="A341" s="16" t="s">
        <v>13</v>
      </c>
      <c r="B341" s="30" t="s">
        <v>384</v>
      </c>
      <c r="C341" s="30" t="s">
        <v>435</v>
      </c>
      <c r="D341" s="27">
        <v>3193.4749999999999</v>
      </c>
      <c r="E341" s="27">
        <v>3193.4749999999999</v>
      </c>
      <c r="F341" s="27">
        <f t="shared" si="11"/>
        <v>0</v>
      </c>
      <c r="G341" s="27">
        <f t="shared" si="10"/>
        <v>0</v>
      </c>
      <c r="H341" s="29">
        <v>1</v>
      </c>
      <c r="I341" s="12"/>
      <c r="J341" s="12"/>
      <c r="K341" s="13"/>
      <c r="L341" s="13"/>
      <c r="M341" s="36"/>
    </row>
    <row r="342" spans="1:13" ht="30" customHeight="1">
      <c r="A342" s="16" t="s">
        <v>13</v>
      </c>
      <c r="B342" s="30" t="s">
        <v>384</v>
      </c>
      <c r="C342" s="30" t="s">
        <v>426</v>
      </c>
      <c r="D342" s="27">
        <v>2255.6914999999999</v>
      </c>
      <c r="E342" s="27">
        <v>2255.6914999999999</v>
      </c>
      <c r="F342" s="27">
        <f t="shared" si="11"/>
        <v>0</v>
      </c>
      <c r="G342" s="27">
        <f t="shared" si="10"/>
        <v>0</v>
      </c>
      <c r="H342" s="29">
        <v>1</v>
      </c>
      <c r="I342" s="12"/>
      <c r="J342" s="12"/>
      <c r="K342" s="13"/>
      <c r="L342" s="13"/>
      <c r="M342" s="36"/>
    </row>
    <row r="343" spans="1:13" ht="30" customHeight="1">
      <c r="A343" s="5" t="s">
        <v>45</v>
      </c>
      <c r="B343" s="30" t="s">
        <v>392</v>
      </c>
      <c r="C343" s="30" t="s">
        <v>437</v>
      </c>
      <c r="D343" s="27">
        <v>2506.7919999999999</v>
      </c>
      <c r="E343" s="27">
        <v>2506.7919999999999</v>
      </c>
      <c r="F343" s="27">
        <f t="shared" si="11"/>
        <v>0</v>
      </c>
      <c r="G343" s="27">
        <f t="shared" si="10"/>
        <v>0</v>
      </c>
      <c r="H343" s="29">
        <v>1</v>
      </c>
      <c r="I343" s="12"/>
      <c r="J343" s="12"/>
      <c r="K343" s="13"/>
      <c r="L343" s="13"/>
      <c r="M343" s="36"/>
    </row>
    <row r="344" spans="1:13" ht="30" customHeight="1">
      <c r="A344" s="5" t="s">
        <v>45</v>
      </c>
      <c r="B344" s="30" t="s">
        <v>392</v>
      </c>
      <c r="C344" s="30" t="s">
        <v>438</v>
      </c>
      <c r="D344" s="27">
        <v>3254.9690000000001</v>
      </c>
      <c r="E344" s="27">
        <v>3254.9690000000001</v>
      </c>
      <c r="F344" s="27">
        <f t="shared" si="11"/>
        <v>0</v>
      </c>
      <c r="G344" s="27">
        <f t="shared" si="10"/>
        <v>0</v>
      </c>
      <c r="H344" s="29">
        <v>1</v>
      </c>
      <c r="I344" s="12"/>
      <c r="J344" s="12"/>
      <c r="K344" s="13"/>
      <c r="L344" s="13"/>
      <c r="M344" s="36"/>
    </row>
    <row r="345" spans="1:13" ht="30" customHeight="1">
      <c r="A345" s="5" t="s">
        <v>45</v>
      </c>
      <c r="B345" s="30" t="s">
        <v>392</v>
      </c>
      <c r="C345" s="30" t="s">
        <v>440</v>
      </c>
      <c r="D345" s="27">
        <v>1814.9845</v>
      </c>
      <c r="E345" s="27">
        <v>1814.9845</v>
      </c>
      <c r="F345" s="27">
        <f t="shared" si="11"/>
        <v>0</v>
      </c>
      <c r="G345" s="27">
        <f t="shared" si="10"/>
        <v>0</v>
      </c>
      <c r="H345" s="29">
        <v>1</v>
      </c>
      <c r="I345" s="12"/>
      <c r="J345" s="12"/>
      <c r="K345" s="13"/>
      <c r="L345" s="13"/>
      <c r="M345" s="36"/>
    </row>
    <row r="346" spans="1:13" ht="30" customHeight="1">
      <c r="A346" s="5" t="s">
        <v>45</v>
      </c>
      <c r="B346" s="30" t="s">
        <v>392</v>
      </c>
      <c r="C346" s="30" t="s">
        <v>439</v>
      </c>
      <c r="D346" s="27">
        <v>1820.1089999999999</v>
      </c>
      <c r="E346" s="27">
        <v>1820.1089999999999</v>
      </c>
      <c r="F346" s="27">
        <f t="shared" si="11"/>
        <v>0</v>
      </c>
      <c r="G346" s="27">
        <f t="shared" si="10"/>
        <v>0</v>
      </c>
      <c r="H346" s="29">
        <v>1</v>
      </c>
      <c r="I346" s="12"/>
      <c r="J346" s="12"/>
      <c r="K346" s="13"/>
      <c r="L346" s="13"/>
      <c r="M346" s="36"/>
    </row>
    <row r="347" spans="1:13" ht="30" customHeight="1">
      <c r="A347" s="16" t="s">
        <v>30</v>
      </c>
      <c r="B347" s="30" t="s">
        <v>389</v>
      </c>
      <c r="C347" s="30" t="s">
        <v>441</v>
      </c>
      <c r="D347" s="27">
        <v>3157.6034999999997</v>
      </c>
      <c r="E347" s="27">
        <v>3157.6034999999997</v>
      </c>
      <c r="F347" s="27">
        <f t="shared" si="11"/>
        <v>0</v>
      </c>
      <c r="G347" s="27">
        <f t="shared" si="10"/>
        <v>0</v>
      </c>
      <c r="H347" s="29">
        <v>1</v>
      </c>
      <c r="I347" s="12"/>
      <c r="J347" s="12"/>
      <c r="K347" s="13"/>
      <c r="L347" s="13"/>
      <c r="M347" s="36"/>
    </row>
    <row r="348" spans="1:13" ht="30" customHeight="1">
      <c r="A348" s="16" t="s">
        <v>30</v>
      </c>
      <c r="B348" s="30" t="s">
        <v>391</v>
      </c>
      <c r="C348" s="30" t="s">
        <v>442</v>
      </c>
      <c r="D348" s="27">
        <v>3096.1095</v>
      </c>
      <c r="E348" s="27">
        <v>3096.1095</v>
      </c>
      <c r="F348" s="27">
        <f t="shared" si="11"/>
        <v>0</v>
      </c>
      <c r="G348" s="27">
        <f t="shared" si="10"/>
        <v>0</v>
      </c>
      <c r="H348" s="29">
        <v>1</v>
      </c>
      <c r="I348" s="12"/>
      <c r="J348" s="12"/>
      <c r="K348" s="13"/>
      <c r="L348" s="13"/>
      <c r="M348" s="36"/>
    </row>
    <row r="349" spans="1:13" ht="30" customHeight="1">
      <c r="A349" s="16" t="s">
        <v>30</v>
      </c>
      <c r="B349" s="30" t="s">
        <v>389</v>
      </c>
      <c r="C349" s="30" t="s">
        <v>443</v>
      </c>
      <c r="D349" s="27">
        <v>3147.3544999999999</v>
      </c>
      <c r="E349" s="27">
        <v>3147.3544999999999</v>
      </c>
      <c r="F349" s="27">
        <f t="shared" si="11"/>
        <v>0</v>
      </c>
      <c r="G349" s="27">
        <f t="shared" si="10"/>
        <v>0</v>
      </c>
      <c r="H349" s="29">
        <v>1</v>
      </c>
      <c r="I349" s="12"/>
      <c r="J349" s="12"/>
      <c r="K349" s="13"/>
      <c r="L349" s="13"/>
      <c r="M349" s="36"/>
    </row>
    <row r="350" spans="1:13" ht="30" customHeight="1">
      <c r="A350" s="16" t="s">
        <v>30</v>
      </c>
      <c r="B350" s="30" t="s">
        <v>389</v>
      </c>
      <c r="C350" s="30" t="s">
        <v>444</v>
      </c>
      <c r="D350" s="27">
        <v>1702.2455</v>
      </c>
      <c r="E350" s="27">
        <v>1702.2455</v>
      </c>
      <c r="F350" s="27">
        <f t="shared" si="11"/>
        <v>0</v>
      </c>
      <c r="G350" s="27">
        <f t="shared" si="10"/>
        <v>0</v>
      </c>
      <c r="H350" s="29">
        <v>1</v>
      </c>
      <c r="I350" s="12"/>
      <c r="J350" s="12"/>
      <c r="K350" s="13"/>
      <c r="L350" s="13"/>
      <c r="M350" s="36"/>
    </row>
    <row r="351" spans="1:13" ht="30" customHeight="1">
      <c r="A351" s="16" t="s">
        <v>30</v>
      </c>
      <c r="B351" s="30" t="s">
        <v>391</v>
      </c>
      <c r="C351" s="30" t="s">
        <v>445</v>
      </c>
      <c r="D351" s="27">
        <v>3167.8525</v>
      </c>
      <c r="E351" s="27">
        <v>3167.8525</v>
      </c>
      <c r="F351" s="27">
        <f t="shared" si="11"/>
        <v>0</v>
      </c>
      <c r="G351" s="27">
        <f t="shared" si="10"/>
        <v>0</v>
      </c>
      <c r="H351" s="29">
        <v>1</v>
      </c>
      <c r="I351" s="12"/>
      <c r="J351" s="12"/>
      <c r="K351" s="13"/>
      <c r="L351" s="13"/>
      <c r="M351" s="36"/>
    </row>
    <row r="352" spans="1:13" ht="30" customHeight="1">
      <c r="A352" s="16" t="s">
        <v>30</v>
      </c>
      <c r="B352" s="30" t="s">
        <v>391</v>
      </c>
      <c r="C352" s="30" t="s">
        <v>446</v>
      </c>
      <c r="D352" s="27">
        <v>1563.884</v>
      </c>
      <c r="E352" s="27">
        <v>1563.884</v>
      </c>
      <c r="F352" s="27">
        <f t="shared" si="11"/>
        <v>0</v>
      </c>
      <c r="G352" s="27">
        <f t="shared" si="10"/>
        <v>0</v>
      </c>
      <c r="H352" s="29">
        <v>1</v>
      </c>
      <c r="I352" s="12"/>
      <c r="J352" s="12"/>
      <c r="K352" s="13"/>
      <c r="L352" s="13"/>
      <c r="M352" s="36"/>
    </row>
    <row r="353" spans="1:13" ht="30" customHeight="1">
      <c r="A353" s="16" t="s">
        <v>30</v>
      </c>
      <c r="B353" s="30" t="s">
        <v>389</v>
      </c>
      <c r="C353" s="30" t="s">
        <v>447</v>
      </c>
      <c r="D353" s="27">
        <v>3229.3464999999997</v>
      </c>
      <c r="E353" s="27">
        <v>3229.3464999999997</v>
      </c>
      <c r="F353" s="27">
        <f t="shared" si="11"/>
        <v>0</v>
      </c>
      <c r="G353" s="27">
        <f t="shared" si="10"/>
        <v>0</v>
      </c>
      <c r="H353" s="29">
        <v>1</v>
      </c>
      <c r="I353" s="12"/>
      <c r="J353" s="12"/>
      <c r="K353" s="13"/>
      <c r="L353" s="13"/>
      <c r="M353" s="36"/>
    </row>
    <row r="354" spans="1:13" ht="30" customHeight="1">
      <c r="A354" s="16" t="s">
        <v>30</v>
      </c>
      <c r="B354" s="30" t="s">
        <v>391</v>
      </c>
      <c r="C354" s="30" t="s">
        <v>448</v>
      </c>
      <c r="D354" s="27">
        <v>2450.4224999999997</v>
      </c>
      <c r="E354" s="27">
        <v>2450.4224999999997</v>
      </c>
      <c r="F354" s="27">
        <f t="shared" si="11"/>
        <v>0</v>
      </c>
      <c r="G354" s="27">
        <f t="shared" si="10"/>
        <v>0</v>
      </c>
      <c r="H354" s="29">
        <v>1</v>
      </c>
      <c r="I354" s="12"/>
      <c r="J354" s="12"/>
      <c r="K354" s="13"/>
      <c r="L354" s="13"/>
      <c r="M354" s="36"/>
    </row>
    <row r="355" spans="1:13" ht="30" customHeight="1">
      <c r="A355" s="16" t="s">
        <v>30</v>
      </c>
      <c r="B355" s="30" t="s">
        <v>391</v>
      </c>
      <c r="C355" s="30" t="s">
        <v>449</v>
      </c>
      <c r="D355" s="27">
        <v>3265.2179999999998</v>
      </c>
      <c r="E355" s="27">
        <v>3265.2179999999998</v>
      </c>
      <c r="F355" s="27">
        <f t="shared" si="11"/>
        <v>0</v>
      </c>
      <c r="G355" s="27">
        <f t="shared" si="10"/>
        <v>0</v>
      </c>
      <c r="H355" s="29">
        <v>1</v>
      </c>
      <c r="I355" s="12"/>
      <c r="J355" s="12"/>
      <c r="K355" s="13"/>
      <c r="L355" s="13"/>
      <c r="M355" s="36"/>
    </row>
    <row r="356" spans="1:13" ht="30" customHeight="1">
      <c r="A356" s="16" t="s">
        <v>30</v>
      </c>
      <c r="B356" s="30" t="s">
        <v>389</v>
      </c>
      <c r="C356" s="30" t="s">
        <v>450</v>
      </c>
      <c r="D356" s="27">
        <v>1384.5264999999999</v>
      </c>
      <c r="E356" s="27">
        <v>1384.5264999999999</v>
      </c>
      <c r="F356" s="27">
        <f t="shared" si="11"/>
        <v>0</v>
      </c>
      <c r="G356" s="27">
        <f t="shared" si="10"/>
        <v>0</v>
      </c>
      <c r="H356" s="29">
        <v>1</v>
      </c>
      <c r="I356" s="12"/>
      <c r="J356" s="12"/>
      <c r="K356" s="13"/>
      <c r="L356" s="13"/>
      <c r="M356" s="36"/>
    </row>
    <row r="357" spans="1:13" ht="30" customHeight="1">
      <c r="A357" s="16" t="s">
        <v>30</v>
      </c>
      <c r="B357" s="30" t="s">
        <v>390</v>
      </c>
      <c r="C357" s="30" t="s">
        <v>451</v>
      </c>
      <c r="D357" s="27">
        <v>1466.5185000000001</v>
      </c>
      <c r="E357" s="27">
        <v>1466.5185000000001</v>
      </c>
      <c r="F357" s="27">
        <f t="shared" si="11"/>
        <v>0</v>
      </c>
      <c r="G357" s="27">
        <f t="shared" si="10"/>
        <v>0</v>
      </c>
      <c r="H357" s="29">
        <v>1</v>
      </c>
      <c r="I357" s="12"/>
      <c r="J357" s="12"/>
      <c r="K357" s="13"/>
      <c r="L357" s="13"/>
      <c r="M357" s="36"/>
    </row>
    <row r="358" spans="1:13" ht="30" customHeight="1">
      <c r="A358" s="16" t="s">
        <v>30</v>
      </c>
      <c r="B358" s="30" t="s">
        <v>391</v>
      </c>
      <c r="C358" s="30" t="s">
        <v>452</v>
      </c>
      <c r="D358" s="27">
        <v>3219.0974999999999</v>
      </c>
      <c r="E358" s="27">
        <v>3219.0974999999999</v>
      </c>
      <c r="F358" s="27">
        <f t="shared" si="11"/>
        <v>0</v>
      </c>
      <c r="G358" s="27">
        <f t="shared" ref="G358:G362" si="12">+F358*100/D358</f>
        <v>0</v>
      </c>
      <c r="H358" s="29">
        <v>1</v>
      </c>
      <c r="I358" s="12"/>
      <c r="J358" s="12"/>
      <c r="K358" s="13"/>
      <c r="L358" s="13"/>
      <c r="M358" s="36"/>
    </row>
    <row r="359" spans="1:13" ht="30" customHeight="1">
      <c r="A359" s="16" t="s">
        <v>30</v>
      </c>
      <c r="B359" s="30" t="s">
        <v>390</v>
      </c>
      <c r="C359" s="30" t="s">
        <v>453</v>
      </c>
      <c r="D359" s="27">
        <v>3270.3424999999997</v>
      </c>
      <c r="E359" s="27">
        <v>3270.3424999999997</v>
      </c>
      <c r="F359" s="27">
        <f t="shared" si="11"/>
        <v>0</v>
      </c>
      <c r="G359" s="27">
        <f t="shared" si="12"/>
        <v>0</v>
      </c>
      <c r="H359" s="29">
        <v>1</v>
      </c>
      <c r="I359" s="12"/>
      <c r="J359" s="12"/>
      <c r="K359" s="13"/>
      <c r="L359" s="13"/>
      <c r="M359" s="36"/>
    </row>
    <row r="360" spans="1:13" ht="30" customHeight="1">
      <c r="A360" s="16" t="s">
        <v>30</v>
      </c>
      <c r="B360" s="30" t="s">
        <v>389</v>
      </c>
      <c r="C360" s="30" t="s">
        <v>454</v>
      </c>
      <c r="D360" s="27">
        <v>3142.23</v>
      </c>
      <c r="E360" s="27">
        <v>3142.23</v>
      </c>
      <c r="F360" s="27">
        <f t="shared" si="11"/>
        <v>0</v>
      </c>
      <c r="G360" s="27">
        <f t="shared" si="12"/>
        <v>0</v>
      </c>
      <c r="H360" s="29">
        <v>1</v>
      </c>
      <c r="I360" s="12"/>
      <c r="J360" s="12"/>
      <c r="K360" s="13"/>
      <c r="L360" s="13"/>
      <c r="M360" s="36"/>
    </row>
    <row r="361" spans="1:13" ht="30" customHeight="1">
      <c r="A361" s="16" t="s">
        <v>30</v>
      </c>
      <c r="B361" s="30" t="s">
        <v>391</v>
      </c>
      <c r="C361" s="30" t="s">
        <v>456</v>
      </c>
      <c r="D361" s="27">
        <v>3244.72</v>
      </c>
      <c r="E361" s="27">
        <v>3244.72</v>
      </c>
      <c r="F361" s="27">
        <f t="shared" si="11"/>
        <v>0</v>
      </c>
      <c r="G361" s="27">
        <f t="shared" si="12"/>
        <v>0</v>
      </c>
      <c r="H361" s="29">
        <v>1</v>
      </c>
      <c r="I361" s="12"/>
      <c r="J361" s="12"/>
      <c r="K361" s="13"/>
      <c r="L361" s="13"/>
      <c r="M361" s="36"/>
    </row>
    <row r="362" spans="1:13" ht="30" customHeight="1">
      <c r="A362" s="16" t="s">
        <v>30</v>
      </c>
      <c r="B362" s="30" t="s">
        <v>391</v>
      </c>
      <c r="C362" s="30" t="s">
        <v>455</v>
      </c>
      <c r="D362" s="27">
        <v>3234.471</v>
      </c>
      <c r="E362" s="27">
        <v>3234.471</v>
      </c>
      <c r="F362" s="27">
        <f t="shared" si="11"/>
        <v>0</v>
      </c>
      <c r="G362" s="27">
        <f t="shared" si="12"/>
        <v>0</v>
      </c>
      <c r="H362" s="29">
        <v>1</v>
      </c>
      <c r="I362" s="12"/>
      <c r="J362" s="12"/>
      <c r="K362" s="13"/>
      <c r="L362" s="13"/>
      <c r="M362" s="36"/>
    </row>
    <row r="363" spans="1:13" ht="30" customHeight="1">
      <c r="A363" s="2"/>
      <c r="B363" s="2"/>
      <c r="C363" s="2"/>
      <c r="D363" s="31"/>
      <c r="E363" s="2"/>
      <c r="F363" s="2"/>
      <c r="G363" s="2"/>
      <c r="H363" s="2"/>
      <c r="I363" s="2"/>
      <c r="J363" s="2"/>
      <c r="K363" s="11"/>
      <c r="L363" s="11"/>
      <c r="M363" s="9"/>
    </row>
    <row r="364" spans="1:13" ht="3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11"/>
      <c r="L364" s="11"/>
      <c r="M364" s="9"/>
    </row>
    <row r="365" spans="1:13" ht="3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11"/>
      <c r="L365" s="11"/>
      <c r="M365" s="9"/>
    </row>
    <row r="366" spans="1:13" ht="3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11"/>
      <c r="L366" s="11"/>
      <c r="M366" s="9"/>
    </row>
    <row r="367" spans="1:13" ht="3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11"/>
      <c r="L367" s="11"/>
      <c r="M367" s="9"/>
    </row>
    <row r="368" spans="1:13" ht="3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11"/>
      <c r="L368" s="11"/>
      <c r="M368" s="9"/>
    </row>
    <row r="369" spans="1:13" ht="3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11"/>
      <c r="L369" s="11"/>
      <c r="M369" s="9"/>
    </row>
    <row r="370" spans="1:13" ht="3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11"/>
      <c r="L370" s="11"/>
      <c r="M370" s="9"/>
    </row>
    <row r="371" spans="1:13" ht="3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11"/>
      <c r="L371" s="11"/>
      <c r="M371" s="9"/>
    </row>
    <row r="372" spans="1:13" ht="3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11"/>
      <c r="L372" s="11"/>
      <c r="M372" s="9"/>
    </row>
    <row r="373" spans="1:13" ht="3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11"/>
      <c r="L373" s="11"/>
      <c r="M373" s="9"/>
    </row>
    <row r="374" spans="1:13" ht="3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11"/>
      <c r="L374" s="11"/>
      <c r="M374" s="9"/>
    </row>
    <row r="375" spans="1:13" ht="3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11"/>
      <c r="L375" s="11"/>
      <c r="M375" s="9"/>
    </row>
    <row r="376" spans="1:13" ht="3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11"/>
      <c r="L376" s="11"/>
      <c r="M376" s="9"/>
    </row>
    <row r="377" spans="1:13" ht="3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11"/>
      <c r="L377" s="11"/>
      <c r="M377" s="9"/>
    </row>
    <row r="378" spans="1:13" ht="3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11"/>
      <c r="L378" s="11"/>
      <c r="M378" s="9"/>
    </row>
    <row r="379" spans="1:13" ht="3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11"/>
      <c r="L379" s="11"/>
      <c r="M379" s="9"/>
    </row>
    <row r="380" spans="1:13" ht="3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11"/>
      <c r="L380" s="11"/>
      <c r="M380" s="9"/>
    </row>
    <row r="381" spans="1:13" ht="3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11"/>
      <c r="L381" s="11"/>
      <c r="M381" s="9"/>
    </row>
    <row r="382" spans="1:13" ht="3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11"/>
      <c r="L382" s="11"/>
      <c r="M382" s="9"/>
    </row>
    <row r="383" spans="1:13" ht="3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11"/>
      <c r="L383" s="11"/>
      <c r="M383" s="9"/>
    </row>
    <row r="384" spans="1:13" ht="3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11"/>
      <c r="L384" s="11"/>
      <c r="M384" s="9"/>
    </row>
    <row r="385" spans="1:13" ht="3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11"/>
      <c r="L385" s="11"/>
      <c r="M385" s="9"/>
    </row>
    <row r="386" spans="1:13" ht="3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11"/>
      <c r="L386" s="11"/>
      <c r="M386" s="9"/>
    </row>
    <row r="387" spans="1:13" ht="3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11"/>
      <c r="L387" s="11"/>
      <c r="M387" s="9"/>
    </row>
    <row r="388" spans="1:13" ht="3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11"/>
      <c r="L388" s="11"/>
      <c r="M388" s="9"/>
    </row>
    <row r="389" spans="1:13" ht="3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11"/>
      <c r="L389" s="11"/>
      <c r="M389" s="9"/>
    </row>
    <row r="390" spans="1:13" ht="3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11"/>
      <c r="L390" s="11"/>
      <c r="M390" s="9"/>
    </row>
    <row r="391" spans="1:13" ht="3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11"/>
      <c r="L391" s="11"/>
      <c r="M391" s="9"/>
    </row>
    <row r="392" spans="1:13" ht="3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11"/>
      <c r="L392" s="11"/>
      <c r="M392" s="9"/>
    </row>
    <row r="393" spans="1:13" ht="3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11"/>
      <c r="L393" s="11"/>
      <c r="M393" s="9"/>
    </row>
    <row r="394" spans="1:13" ht="3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11"/>
      <c r="L394" s="11"/>
      <c r="M394" s="9"/>
    </row>
    <row r="395" spans="1:13" ht="3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11"/>
      <c r="L395" s="11"/>
      <c r="M395" s="9"/>
    </row>
    <row r="396" spans="1:13" ht="3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11"/>
      <c r="L396" s="11"/>
      <c r="M396" s="9"/>
    </row>
    <row r="397" spans="1:13" ht="3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11"/>
      <c r="L397" s="11"/>
      <c r="M397" s="9"/>
    </row>
    <row r="398" spans="1:13" ht="3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11"/>
      <c r="L398" s="11"/>
      <c r="M398" s="9"/>
    </row>
    <row r="399" spans="1:13" ht="3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11"/>
      <c r="L399" s="11"/>
      <c r="M399" s="9"/>
    </row>
    <row r="400" spans="1:13" ht="3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11"/>
      <c r="L400" s="11"/>
      <c r="M400" s="9"/>
    </row>
    <row r="401" spans="1:13" ht="3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11"/>
      <c r="L401" s="11"/>
      <c r="M401" s="9"/>
    </row>
    <row r="402" spans="1:13" ht="3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11"/>
      <c r="L402" s="11"/>
      <c r="M402" s="9"/>
    </row>
    <row r="403" spans="1:13" ht="3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11"/>
      <c r="L403" s="11"/>
      <c r="M403" s="9"/>
    </row>
    <row r="404" spans="1:13" ht="3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11"/>
      <c r="L404" s="11"/>
      <c r="M404" s="9"/>
    </row>
    <row r="405" spans="1:13" ht="3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11"/>
      <c r="L405" s="11"/>
      <c r="M405" s="9"/>
    </row>
    <row r="406" spans="1:13" ht="3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11"/>
      <c r="L406" s="11"/>
      <c r="M406" s="9"/>
    </row>
    <row r="407" spans="1:13" ht="3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11"/>
      <c r="L407" s="11"/>
      <c r="M407" s="9"/>
    </row>
    <row r="408" spans="1:13" ht="3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11"/>
      <c r="L408" s="11"/>
      <c r="M408" s="9"/>
    </row>
    <row r="409" spans="1:13" ht="3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11"/>
      <c r="L409" s="11"/>
      <c r="M409" s="9"/>
    </row>
    <row r="410" spans="1:13" ht="3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11"/>
      <c r="L410" s="11"/>
      <c r="M410" s="9"/>
    </row>
    <row r="411" spans="1:13" ht="3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11"/>
      <c r="L411" s="11"/>
      <c r="M411" s="9"/>
    </row>
    <row r="412" spans="1:13" ht="3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11"/>
      <c r="L412" s="11"/>
      <c r="M412" s="9"/>
    </row>
    <row r="413" spans="1:13" ht="3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11"/>
      <c r="L413" s="11"/>
      <c r="M413" s="9"/>
    </row>
    <row r="414" spans="1:13" ht="3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11"/>
      <c r="L414" s="11"/>
      <c r="M414" s="9"/>
    </row>
    <row r="415" spans="1:13" ht="3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11"/>
      <c r="L415" s="11"/>
      <c r="M415" s="9"/>
    </row>
    <row r="416" spans="1:13" ht="3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11"/>
      <c r="L416" s="11"/>
      <c r="M416" s="9"/>
    </row>
    <row r="417" spans="1:13" ht="3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11"/>
      <c r="L417" s="11"/>
      <c r="M417" s="9"/>
    </row>
    <row r="418" spans="1:13" ht="3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11"/>
      <c r="L418" s="11"/>
      <c r="M418" s="9"/>
    </row>
    <row r="419" spans="1:13" ht="3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11"/>
      <c r="L419" s="11"/>
      <c r="M419" s="9"/>
    </row>
    <row r="420" spans="1:13" ht="3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11"/>
      <c r="L420" s="11"/>
      <c r="M420" s="9"/>
    </row>
    <row r="421" spans="1:13" ht="3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11"/>
      <c r="L421" s="11"/>
      <c r="M421" s="9"/>
    </row>
    <row r="422" spans="1:13" ht="3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11"/>
      <c r="L422" s="11"/>
      <c r="M422" s="9"/>
    </row>
    <row r="423" spans="1:13" ht="3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11"/>
      <c r="L423" s="11"/>
      <c r="M423" s="9"/>
    </row>
    <row r="424" spans="1:13" ht="3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11"/>
      <c r="L424" s="11"/>
      <c r="M424" s="9"/>
    </row>
    <row r="425" spans="1:13" ht="3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11"/>
      <c r="L425" s="11"/>
      <c r="M425" s="9"/>
    </row>
    <row r="426" spans="1:13" ht="3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11"/>
      <c r="L426" s="11"/>
      <c r="M426" s="9"/>
    </row>
    <row r="427" spans="1:13" ht="3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11"/>
      <c r="L427" s="11"/>
      <c r="M427" s="9"/>
    </row>
    <row r="428" spans="1:13" ht="3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11"/>
      <c r="L428" s="11"/>
      <c r="M428" s="9"/>
    </row>
    <row r="429" spans="1:13" ht="3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11"/>
      <c r="L429" s="11"/>
      <c r="M429" s="9"/>
    </row>
    <row r="430" spans="1:13" ht="3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11"/>
      <c r="L430" s="11"/>
      <c r="M430" s="9"/>
    </row>
    <row r="431" spans="1:13" ht="3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11"/>
      <c r="L431" s="11"/>
      <c r="M431" s="9"/>
    </row>
    <row r="432" spans="1:13" ht="3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11"/>
      <c r="L432" s="11"/>
      <c r="M432" s="9"/>
    </row>
    <row r="433" spans="1:13" ht="3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11"/>
      <c r="L433" s="11"/>
      <c r="M433" s="9"/>
    </row>
    <row r="434" spans="1:13" ht="3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11"/>
      <c r="L434" s="11"/>
      <c r="M434" s="9"/>
    </row>
    <row r="435" spans="1:13" ht="3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11"/>
      <c r="L435" s="11"/>
      <c r="M435" s="9"/>
    </row>
    <row r="436" spans="1:13" ht="3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11"/>
      <c r="L436" s="11"/>
      <c r="M436" s="9"/>
    </row>
    <row r="437" spans="1:13" ht="3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11"/>
      <c r="L437" s="11"/>
      <c r="M437" s="9"/>
    </row>
    <row r="438" spans="1:13" ht="3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11"/>
      <c r="L438" s="11"/>
      <c r="M438" s="9"/>
    </row>
    <row r="439" spans="1:13" ht="3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11"/>
      <c r="L439" s="11"/>
      <c r="M439" s="9"/>
    </row>
    <row r="440" spans="1:13" ht="3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11"/>
      <c r="L440" s="11"/>
      <c r="M440" s="9"/>
    </row>
    <row r="441" spans="1:13" ht="3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11"/>
      <c r="L441" s="11"/>
      <c r="M441" s="9"/>
    </row>
    <row r="442" spans="1:13" ht="3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11"/>
      <c r="L442" s="11"/>
      <c r="M442" s="9"/>
    </row>
    <row r="443" spans="1:13" ht="3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11"/>
      <c r="L443" s="11"/>
      <c r="M443" s="9"/>
    </row>
    <row r="444" spans="1:13" ht="3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11"/>
      <c r="L444" s="11"/>
      <c r="M444" s="9"/>
    </row>
    <row r="445" spans="1:13" ht="3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11"/>
      <c r="L445" s="11"/>
      <c r="M445" s="9"/>
    </row>
    <row r="446" spans="1:13" ht="3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11"/>
      <c r="L446" s="11"/>
      <c r="M446" s="9"/>
    </row>
    <row r="447" spans="1:13" ht="3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11"/>
      <c r="L447" s="11"/>
      <c r="M447" s="9"/>
    </row>
    <row r="448" spans="1:13" ht="3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11"/>
      <c r="L448" s="11"/>
      <c r="M448" s="9"/>
    </row>
    <row r="449" spans="1:13" ht="3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11"/>
      <c r="L449" s="11"/>
      <c r="M449" s="9"/>
    </row>
    <row r="450" spans="1:13" ht="3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11"/>
      <c r="L450" s="11"/>
      <c r="M450" s="9"/>
    </row>
    <row r="451" spans="1:13" ht="3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11"/>
      <c r="L451" s="11"/>
      <c r="M451" s="9"/>
    </row>
    <row r="452" spans="1:13" ht="3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11"/>
      <c r="L452" s="11"/>
      <c r="M452" s="9"/>
    </row>
    <row r="453" spans="1:13" ht="3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11"/>
      <c r="L453" s="11"/>
      <c r="M453" s="9"/>
    </row>
    <row r="454" spans="1:13" ht="3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11"/>
      <c r="L454" s="11"/>
      <c r="M454" s="9"/>
    </row>
    <row r="455" spans="1:13" ht="3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11"/>
      <c r="L455" s="11"/>
      <c r="M455" s="9"/>
    </row>
    <row r="456" spans="1:13" ht="3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11"/>
      <c r="L456" s="11"/>
      <c r="M456" s="9"/>
    </row>
    <row r="457" spans="1:13" ht="3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11"/>
      <c r="L457" s="11"/>
      <c r="M457" s="9"/>
    </row>
    <row r="458" spans="1:13" ht="3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11"/>
      <c r="L458" s="11"/>
      <c r="M458" s="9"/>
    </row>
    <row r="459" spans="1:13" ht="3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11"/>
      <c r="L459" s="11"/>
      <c r="M459" s="9"/>
    </row>
    <row r="460" spans="1:13" ht="3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11"/>
      <c r="L460" s="11"/>
      <c r="M460" s="9"/>
    </row>
    <row r="461" spans="1:13" ht="3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11"/>
      <c r="L461" s="11"/>
      <c r="M461" s="9"/>
    </row>
    <row r="462" spans="1:13" ht="3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11"/>
      <c r="L462" s="11"/>
      <c r="M462" s="9"/>
    </row>
    <row r="463" spans="1:13" ht="3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11"/>
      <c r="L463" s="11"/>
      <c r="M463" s="9"/>
    </row>
    <row r="464" spans="1:13" ht="3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11"/>
      <c r="L464" s="11"/>
      <c r="M464" s="9"/>
    </row>
    <row r="465" spans="1:13" ht="3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11"/>
      <c r="L465" s="11"/>
      <c r="M465" s="9"/>
    </row>
    <row r="466" spans="1:13" ht="3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11"/>
      <c r="L466" s="11"/>
      <c r="M466" s="9"/>
    </row>
    <row r="467" spans="1:13" ht="3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11"/>
      <c r="L467" s="11"/>
      <c r="M467" s="9"/>
    </row>
    <row r="468" spans="1:13" ht="3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11"/>
      <c r="L468" s="11"/>
      <c r="M468" s="9"/>
    </row>
    <row r="469" spans="1:13" ht="3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11"/>
      <c r="L469" s="11"/>
      <c r="M469" s="9"/>
    </row>
    <row r="470" spans="1:13" ht="3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11"/>
      <c r="L470" s="11"/>
      <c r="M470" s="9"/>
    </row>
    <row r="471" spans="1:13" ht="3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11"/>
      <c r="L471" s="11"/>
      <c r="M471" s="9"/>
    </row>
    <row r="472" spans="1:13" ht="3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11"/>
      <c r="L472" s="11"/>
      <c r="M472" s="9"/>
    </row>
    <row r="473" spans="1:13" ht="3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11"/>
      <c r="L473" s="11"/>
      <c r="M473" s="9"/>
    </row>
    <row r="474" spans="1:13" ht="3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11"/>
      <c r="L474" s="11"/>
      <c r="M474" s="9"/>
    </row>
    <row r="475" spans="1:13" ht="3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11"/>
      <c r="L475" s="11"/>
      <c r="M475" s="9"/>
    </row>
    <row r="476" spans="1:13" ht="3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11"/>
      <c r="L476" s="11"/>
      <c r="M476" s="9"/>
    </row>
    <row r="477" spans="1:13" ht="3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11"/>
      <c r="L477" s="11"/>
      <c r="M477" s="9"/>
    </row>
    <row r="478" spans="1:13" ht="3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11"/>
      <c r="L478" s="11"/>
      <c r="M478" s="9"/>
    </row>
    <row r="479" spans="1:13" ht="3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11"/>
      <c r="L479" s="11"/>
      <c r="M479" s="9"/>
    </row>
    <row r="480" spans="1:13" ht="3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11"/>
      <c r="L480" s="11"/>
      <c r="M480" s="9"/>
    </row>
    <row r="481" spans="1:13" ht="3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11"/>
      <c r="L481" s="11"/>
      <c r="M481" s="9"/>
    </row>
    <row r="482" spans="1:13" ht="3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11"/>
      <c r="L482" s="11"/>
      <c r="M482" s="9"/>
    </row>
    <row r="483" spans="1:13" ht="3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11"/>
      <c r="L483" s="11"/>
      <c r="M483" s="9"/>
    </row>
    <row r="484" spans="1:13" ht="3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11"/>
      <c r="L484" s="11"/>
      <c r="M484" s="9"/>
    </row>
    <row r="485" spans="1:13" ht="3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11"/>
      <c r="L485" s="11"/>
      <c r="M485" s="9"/>
    </row>
    <row r="486" spans="1:13" ht="3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11"/>
      <c r="L486" s="11"/>
      <c r="M486" s="9"/>
    </row>
    <row r="487" spans="1:13" ht="3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11"/>
      <c r="L487" s="11"/>
      <c r="M487" s="9"/>
    </row>
    <row r="488" spans="1:13" ht="3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11"/>
      <c r="L488" s="11"/>
      <c r="M488" s="9"/>
    </row>
    <row r="489" spans="1:13" ht="3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11"/>
      <c r="L489" s="11"/>
      <c r="M489" s="9"/>
    </row>
    <row r="490" spans="1:13" ht="3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11"/>
      <c r="L490" s="11"/>
      <c r="M490" s="9"/>
    </row>
    <row r="491" spans="1:13" ht="3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11"/>
      <c r="L491" s="11"/>
      <c r="M491" s="9"/>
    </row>
    <row r="492" spans="1:13" ht="3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11"/>
      <c r="L492" s="11"/>
      <c r="M492" s="9"/>
    </row>
    <row r="493" spans="1:13" ht="3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11"/>
      <c r="L493" s="11"/>
      <c r="M493" s="9"/>
    </row>
    <row r="494" spans="1:13" ht="3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11"/>
      <c r="L494" s="11"/>
      <c r="M494" s="9"/>
    </row>
    <row r="495" spans="1:13" ht="3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11"/>
      <c r="L495" s="11"/>
      <c r="M495" s="9"/>
    </row>
    <row r="496" spans="1:13" ht="3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11"/>
      <c r="L496" s="11"/>
      <c r="M496" s="9"/>
    </row>
    <row r="497" spans="1:13" ht="3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11"/>
      <c r="L497" s="11"/>
      <c r="M497" s="9"/>
    </row>
    <row r="498" spans="1:13" ht="3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11"/>
      <c r="L498" s="11"/>
      <c r="M498" s="9"/>
    </row>
    <row r="499" spans="1:13" ht="3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11"/>
      <c r="L499" s="11"/>
      <c r="M499" s="9"/>
    </row>
    <row r="500" spans="1:13" ht="3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11"/>
      <c r="L500" s="11"/>
      <c r="M500" s="9"/>
    </row>
    <row r="501" spans="1:13" ht="3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11"/>
      <c r="L501" s="11"/>
      <c r="M501" s="9"/>
    </row>
    <row r="502" spans="1:13" ht="3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11"/>
      <c r="L502" s="11"/>
      <c r="M502" s="9"/>
    </row>
    <row r="503" spans="1:13" ht="3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11"/>
      <c r="L503" s="11"/>
      <c r="M503" s="9"/>
    </row>
    <row r="504" spans="1:13" ht="3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11"/>
      <c r="L504" s="11"/>
      <c r="M504" s="9"/>
    </row>
    <row r="505" spans="1:13" ht="3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11"/>
      <c r="L505" s="11"/>
      <c r="M505" s="9"/>
    </row>
    <row r="506" spans="1:13" ht="3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11"/>
      <c r="L506" s="11"/>
      <c r="M506" s="9"/>
    </row>
    <row r="507" spans="1:13" ht="3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11"/>
      <c r="L507" s="11"/>
      <c r="M507" s="9"/>
    </row>
    <row r="508" spans="1:13" ht="3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11"/>
      <c r="L508" s="11"/>
      <c r="M508" s="9"/>
    </row>
    <row r="509" spans="1:13" ht="3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11"/>
      <c r="L509" s="11"/>
      <c r="M509" s="9"/>
    </row>
    <row r="510" spans="1:13" ht="3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11"/>
      <c r="L510" s="11"/>
      <c r="M510" s="9"/>
    </row>
    <row r="511" spans="1:13" ht="3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11"/>
      <c r="L511" s="11"/>
      <c r="M511" s="9"/>
    </row>
    <row r="512" spans="1:13" ht="3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11"/>
      <c r="L512" s="11"/>
      <c r="M512" s="9"/>
    </row>
    <row r="513" spans="1:13" ht="3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11"/>
      <c r="L513" s="11"/>
      <c r="M513" s="9"/>
    </row>
    <row r="514" spans="1:13" ht="3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11"/>
      <c r="L514" s="11"/>
      <c r="M514" s="9"/>
    </row>
    <row r="515" spans="1:13" ht="3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11"/>
      <c r="L515" s="11"/>
      <c r="M515" s="9"/>
    </row>
    <row r="516" spans="1:13" ht="3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11"/>
      <c r="L516" s="11"/>
      <c r="M516" s="9"/>
    </row>
    <row r="517" spans="1:13" ht="3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11"/>
      <c r="L517" s="11"/>
      <c r="M517" s="9"/>
    </row>
    <row r="518" spans="1:13" ht="3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11"/>
      <c r="L518" s="11"/>
      <c r="M518" s="9"/>
    </row>
    <row r="519" spans="1:13" ht="3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11"/>
      <c r="L519" s="11"/>
      <c r="M519" s="9"/>
    </row>
    <row r="520" spans="1:13" ht="3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11"/>
      <c r="L520" s="11"/>
      <c r="M520" s="9"/>
    </row>
    <row r="521" spans="1:13" ht="3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11"/>
      <c r="L521" s="11"/>
      <c r="M521" s="9"/>
    </row>
    <row r="522" spans="1:13" ht="3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11"/>
      <c r="L522" s="11"/>
      <c r="M522" s="9"/>
    </row>
    <row r="523" spans="1:13" ht="3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11"/>
      <c r="L523" s="11"/>
      <c r="M523" s="9"/>
    </row>
    <row r="524" spans="1:13" ht="3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11"/>
      <c r="L524" s="11"/>
      <c r="M524" s="9"/>
    </row>
    <row r="525" spans="1:13" ht="3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11"/>
      <c r="L525" s="11"/>
      <c r="M525" s="9"/>
    </row>
    <row r="526" spans="1:13" ht="3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11"/>
      <c r="L526" s="11"/>
      <c r="M526" s="9"/>
    </row>
    <row r="527" spans="1:13" ht="3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11"/>
      <c r="L527" s="11"/>
      <c r="M527" s="9"/>
    </row>
    <row r="528" spans="1:13" ht="3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11"/>
      <c r="L528" s="11"/>
      <c r="M528" s="9"/>
    </row>
    <row r="529" spans="1:13" ht="3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11"/>
      <c r="L529" s="11"/>
      <c r="M529" s="9"/>
    </row>
    <row r="530" spans="1:13" ht="3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11"/>
      <c r="L530" s="11"/>
      <c r="M530" s="9"/>
    </row>
    <row r="531" spans="1:13" ht="3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11"/>
      <c r="L531" s="11"/>
      <c r="M531" s="9"/>
    </row>
    <row r="532" spans="1:13" ht="3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11"/>
      <c r="L532" s="11"/>
      <c r="M532" s="9"/>
    </row>
    <row r="533" spans="1:13" ht="3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11"/>
      <c r="L533" s="11"/>
      <c r="M533" s="9"/>
    </row>
    <row r="534" spans="1:13" ht="3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11"/>
      <c r="L534" s="11"/>
      <c r="M534" s="9"/>
    </row>
    <row r="535" spans="1:13" ht="3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11"/>
      <c r="L535" s="11"/>
      <c r="M535" s="9"/>
    </row>
    <row r="536" spans="1:13" ht="3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11"/>
      <c r="L536" s="11"/>
      <c r="M536" s="9"/>
    </row>
    <row r="537" spans="1:13" ht="3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11"/>
      <c r="L537" s="11"/>
      <c r="M537" s="9"/>
    </row>
    <row r="538" spans="1:13" ht="3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11"/>
      <c r="L538" s="11"/>
      <c r="M538" s="9"/>
    </row>
    <row r="539" spans="1:13" ht="3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11"/>
      <c r="L539" s="11"/>
      <c r="M539" s="9"/>
    </row>
    <row r="540" spans="1:13" ht="3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11"/>
      <c r="L540" s="11"/>
      <c r="M540" s="9"/>
    </row>
    <row r="541" spans="1:13" ht="3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11"/>
      <c r="L541" s="11"/>
      <c r="M541" s="9"/>
    </row>
    <row r="542" spans="1:13" ht="3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11"/>
      <c r="L542" s="11"/>
      <c r="M542" s="9"/>
    </row>
    <row r="543" spans="1:13" ht="3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11"/>
      <c r="L543" s="11"/>
      <c r="M543" s="9"/>
    </row>
    <row r="544" spans="1:13" ht="3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11"/>
      <c r="L544" s="11"/>
      <c r="M544" s="9"/>
    </row>
    <row r="545" spans="1:13" ht="3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11"/>
      <c r="L545" s="11"/>
      <c r="M545" s="9"/>
    </row>
    <row r="546" spans="1:13" ht="3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11"/>
      <c r="L546" s="11"/>
      <c r="M546" s="9"/>
    </row>
    <row r="547" spans="1:13" ht="3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11"/>
      <c r="L547" s="11"/>
      <c r="M547" s="9"/>
    </row>
    <row r="548" spans="1:13" ht="3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11"/>
      <c r="L548" s="11"/>
      <c r="M548" s="9"/>
    </row>
    <row r="549" spans="1:13" ht="3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11"/>
      <c r="L549" s="11"/>
      <c r="M549" s="9"/>
    </row>
    <row r="550" spans="1:13" ht="3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11"/>
      <c r="L550" s="11"/>
      <c r="M550" s="9"/>
    </row>
    <row r="551" spans="1:13" ht="3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11"/>
      <c r="L551" s="11"/>
      <c r="M551" s="9"/>
    </row>
    <row r="552" spans="1:13" ht="3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11"/>
      <c r="L552" s="11"/>
      <c r="M552" s="9"/>
    </row>
    <row r="553" spans="1:13" ht="3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11"/>
      <c r="L553" s="11"/>
      <c r="M553" s="9"/>
    </row>
    <row r="554" spans="1:13" ht="3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11"/>
      <c r="L554" s="11"/>
      <c r="M554" s="9"/>
    </row>
    <row r="555" spans="1:13" ht="3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11"/>
      <c r="L555" s="11"/>
      <c r="M555" s="9"/>
    </row>
    <row r="556" spans="1:13" ht="3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11"/>
      <c r="L556" s="11"/>
      <c r="M556" s="9"/>
    </row>
    <row r="557" spans="1:13" ht="3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11"/>
      <c r="L557" s="11"/>
      <c r="M557" s="9"/>
    </row>
    <row r="558" spans="1:13" ht="3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11"/>
      <c r="L558" s="11"/>
      <c r="M558" s="9"/>
    </row>
    <row r="559" spans="1:13" ht="3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11"/>
      <c r="L559" s="11"/>
      <c r="M559" s="9"/>
    </row>
    <row r="560" spans="1:13" ht="3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11"/>
      <c r="L560" s="11"/>
      <c r="M560" s="9"/>
    </row>
    <row r="561" spans="1:13" ht="3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11"/>
      <c r="L561" s="11"/>
      <c r="M561" s="9"/>
    </row>
    <row r="562" spans="1:13" ht="3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11"/>
      <c r="L562" s="11"/>
      <c r="M562" s="9"/>
    </row>
    <row r="563" spans="1:13" ht="3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11"/>
      <c r="L563" s="11"/>
      <c r="M563" s="9"/>
    </row>
    <row r="564" spans="1:13" ht="3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11"/>
      <c r="L564" s="11"/>
      <c r="M564" s="9"/>
    </row>
    <row r="565" spans="1:13" ht="3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11"/>
      <c r="L565" s="11"/>
      <c r="M565" s="9"/>
    </row>
    <row r="566" spans="1:13" ht="3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11"/>
      <c r="L566" s="11"/>
      <c r="M566" s="9"/>
    </row>
    <row r="567" spans="1:13" ht="3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11"/>
      <c r="L567" s="11"/>
      <c r="M567" s="9"/>
    </row>
    <row r="568" spans="1:13" ht="3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11"/>
      <c r="L568" s="11"/>
      <c r="M568" s="9"/>
    </row>
    <row r="569" spans="1:13" ht="3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11"/>
      <c r="L569" s="11"/>
      <c r="M569" s="9"/>
    </row>
    <row r="570" spans="1:13" ht="3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11"/>
      <c r="L570" s="11"/>
      <c r="M570" s="9"/>
    </row>
    <row r="571" spans="1:13" ht="3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11"/>
      <c r="L571" s="11"/>
      <c r="M571" s="9"/>
    </row>
    <row r="572" spans="1:13" ht="3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11"/>
      <c r="L572" s="11"/>
      <c r="M572" s="9"/>
    </row>
    <row r="573" spans="1:13" ht="3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11"/>
      <c r="L573" s="11"/>
      <c r="M573" s="9"/>
    </row>
    <row r="574" spans="1:13" ht="3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11"/>
      <c r="L574" s="11"/>
      <c r="M574" s="9"/>
    </row>
    <row r="575" spans="1:13" ht="3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11"/>
      <c r="L575" s="11"/>
      <c r="M575" s="9"/>
    </row>
    <row r="576" spans="1:13" ht="3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11"/>
      <c r="L576" s="11"/>
      <c r="M576" s="9"/>
    </row>
    <row r="577" spans="1:13" ht="3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11"/>
      <c r="L577" s="11"/>
      <c r="M577" s="9"/>
    </row>
    <row r="578" spans="1:13" ht="3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11"/>
      <c r="L578" s="11"/>
      <c r="M578" s="9"/>
    </row>
    <row r="579" spans="1:13" ht="3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11"/>
      <c r="L579" s="11"/>
      <c r="M579" s="9"/>
    </row>
    <row r="580" spans="1:13" ht="3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11"/>
      <c r="L580" s="11"/>
      <c r="M580" s="9"/>
    </row>
    <row r="581" spans="1:13" ht="3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11"/>
      <c r="L581" s="11"/>
      <c r="M581" s="9"/>
    </row>
    <row r="582" spans="1:13" ht="3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11"/>
      <c r="L582" s="11"/>
      <c r="M582" s="9"/>
    </row>
    <row r="583" spans="1:13" ht="3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11"/>
      <c r="L583" s="11"/>
      <c r="M583" s="9"/>
    </row>
    <row r="584" spans="1:13" ht="3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11"/>
      <c r="L584" s="11"/>
      <c r="M584" s="9"/>
    </row>
    <row r="585" spans="1:13" ht="3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11"/>
      <c r="L585" s="11"/>
      <c r="M585" s="9"/>
    </row>
  </sheetData>
  <autoFilter ref="A2:M301" xr:uid="{48C3EA1C-1E31-4450-8B8A-792657D07DD1}"/>
  <mergeCells count="1">
    <mergeCell ref="A1:M1"/>
  </mergeCells>
  <conditionalFormatting sqref="C1:C298 C363:C1048576">
    <cfRule type="duplicateValues" dxfId="10" priority="2"/>
  </conditionalFormatting>
  <conditionalFormatting sqref="C299:C362">
    <cfRule type="duplicateValues" dxfId="5" priority="1"/>
  </conditionalFormatting>
  <pageMargins left="0.7" right="0.7" top="0.75" bottom="0.75" header="0.3" footer="0.3"/>
  <pageSetup paperSize="9" orientation="portrait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04586-5523-483A-92CC-FC1F4200AB76}">
  <sheetPr>
    <outlinePr summaryBelow="0" summaryRight="0"/>
  </sheetPr>
  <dimension ref="A1:N585"/>
  <sheetViews>
    <sheetView zoomScale="55" zoomScaleNormal="55" workbookViewId="0">
      <pane xSplit="1" ySplit="2" topLeftCell="B279" activePane="bottomRight" state="frozen"/>
      <selection pane="topRight" activeCell="B1" sqref="B1"/>
      <selection pane="bottomLeft" activeCell="A3" sqref="A3"/>
      <selection pane="bottomRight" activeCell="G305" sqref="G305"/>
    </sheetView>
  </sheetViews>
  <sheetFormatPr defaultColWidth="12.5703125" defaultRowHeight="15.75" customHeight="1"/>
  <cols>
    <col min="1" max="10" width="31.5703125" style="32" customWidth="1"/>
    <col min="11" max="12" width="31.5703125" style="33" customWidth="1"/>
    <col min="13" max="13" width="31.5703125" style="34" customWidth="1"/>
    <col min="14" max="16384" width="12.5703125" style="32"/>
  </cols>
  <sheetData>
    <row r="1" spans="1:14" ht="30" customHeight="1">
      <c r="A1" s="37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9"/>
      <c r="L1" s="39"/>
      <c r="M1" s="40"/>
    </row>
    <row r="2" spans="1:14" ht="3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/>
      <c r="H2" s="1" t="s">
        <v>7</v>
      </c>
      <c r="I2" s="1" t="s">
        <v>8</v>
      </c>
      <c r="J2" s="1" t="s">
        <v>9</v>
      </c>
      <c r="K2" s="10" t="s">
        <v>10</v>
      </c>
      <c r="L2" s="10" t="s">
        <v>11</v>
      </c>
      <c r="M2" s="8" t="s">
        <v>12</v>
      </c>
    </row>
    <row r="3" spans="1:14" ht="30" customHeight="1">
      <c r="A3" s="7" t="s">
        <v>13</v>
      </c>
      <c r="B3" s="30" t="s">
        <v>384</v>
      </c>
      <c r="C3" s="30" t="s">
        <v>89</v>
      </c>
      <c r="D3" s="27">
        <v>20513.356145192251</v>
      </c>
      <c r="E3" s="28">
        <v>16922.070734664143</v>
      </c>
      <c r="F3" s="27">
        <f>+D3-E3</f>
        <v>3591.2854105281076</v>
      </c>
      <c r="G3" s="27">
        <f t="shared" ref="G3:G66" si="0">+F3*100/D3</f>
        <v>17.507059230626204</v>
      </c>
      <c r="H3" s="29">
        <v>60</v>
      </c>
      <c r="I3" s="29">
        <v>4</v>
      </c>
      <c r="J3" s="18" t="s">
        <v>14</v>
      </c>
      <c r="K3" s="30">
        <v>40.865291666700003</v>
      </c>
      <c r="L3" s="30">
        <v>71.961494999999999</v>
      </c>
      <c r="M3" s="15">
        <v>160</v>
      </c>
      <c r="N3" s="32">
        <v>3</v>
      </c>
    </row>
    <row r="4" spans="1:14" ht="30" customHeight="1">
      <c r="A4" s="7" t="s">
        <v>13</v>
      </c>
      <c r="B4" s="30" t="s">
        <v>385</v>
      </c>
      <c r="C4" s="30" t="s">
        <v>123</v>
      </c>
      <c r="D4" s="27">
        <v>22267.826855192248</v>
      </c>
      <c r="E4" s="28">
        <v>18457.040734664144</v>
      </c>
      <c r="F4" s="27">
        <f>+D4-E4</f>
        <v>3810.7861205281042</v>
      </c>
      <c r="G4" s="27">
        <f t="shared" si="0"/>
        <v>17.113417242327504</v>
      </c>
      <c r="H4" s="29">
        <v>34</v>
      </c>
      <c r="I4" s="29">
        <v>5</v>
      </c>
      <c r="J4" s="4" t="s">
        <v>16</v>
      </c>
      <c r="K4" s="30">
        <v>40.859666666700001</v>
      </c>
      <c r="L4" s="30">
        <v>72.121076666700006</v>
      </c>
      <c r="M4" s="15">
        <v>63</v>
      </c>
    </row>
    <row r="5" spans="1:14" ht="30" customHeight="1">
      <c r="A5" s="7" t="s">
        <v>13</v>
      </c>
      <c r="B5" s="30" t="s">
        <v>386</v>
      </c>
      <c r="C5" s="30" t="s">
        <v>124</v>
      </c>
      <c r="D5" s="27">
        <v>23946.859565192248</v>
      </c>
      <c r="E5" s="28">
        <v>19926.010734664142</v>
      </c>
      <c r="F5" s="27">
        <f t="shared" ref="F5:F68" si="1">+D5-E5</f>
        <v>4020.8488305281062</v>
      </c>
      <c r="G5" s="27">
        <f t="shared" si="0"/>
        <v>16.790714538504986</v>
      </c>
      <c r="H5" s="29">
        <v>18</v>
      </c>
      <c r="I5" s="29">
        <v>5</v>
      </c>
      <c r="J5" s="4" t="s">
        <v>15</v>
      </c>
      <c r="K5" s="30">
        <v>40.875443333299998</v>
      </c>
      <c r="L5" s="30">
        <v>71.966825</v>
      </c>
      <c r="M5" s="15">
        <v>250</v>
      </c>
    </row>
    <row r="6" spans="1:14" ht="30" customHeight="1">
      <c r="A6" s="7" t="s">
        <v>13</v>
      </c>
      <c r="B6" s="30" t="s">
        <v>387</v>
      </c>
      <c r="C6" s="30" t="s">
        <v>125</v>
      </c>
      <c r="D6" s="27">
        <v>23480.469845192249</v>
      </c>
      <c r="E6" s="28">
        <v>19517.970734664144</v>
      </c>
      <c r="F6" s="27">
        <f t="shared" si="1"/>
        <v>3962.4991105281042</v>
      </c>
      <c r="G6" s="27">
        <f t="shared" si="0"/>
        <v>16.875723257043116</v>
      </c>
      <c r="H6" s="29">
        <v>68</v>
      </c>
      <c r="I6" s="29">
        <v>4</v>
      </c>
      <c r="J6" s="4" t="s">
        <v>15</v>
      </c>
      <c r="K6" s="30">
        <v>40.879336666500002</v>
      </c>
      <c r="L6" s="30">
        <v>71.986581666700005</v>
      </c>
      <c r="M6" s="15">
        <v>160</v>
      </c>
    </row>
    <row r="7" spans="1:14" ht="30" customHeight="1">
      <c r="A7" s="7" t="s">
        <v>13</v>
      </c>
      <c r="B7" s="30" t="s">
        <v>388</v>
      </c>
      <c r="C7" s="30" t="s">
        <v>126</v>
      </c>
      <c r="D7" s="27">
        <v>19642.108205192249</v>
      </c>
      <c r="E7" s="28">
        <v>16159.824067997477</v>
      </c>
      <c r="F7" s="27">
        <f t="shared" si="1"/>
        <v>3482.2841371947725</v>
      </c>
      <c r="G7" s="27">
        <f t="shared" si="0"/>
        <v>17.728667925137771</v>
      </c>
      <c r="H7" s="29">
        <v>12</v>
      </c>
      <c r="I7" s="29">
        <v>4</v>
      </c>
      <c r="J7" s="4" t="s">
        <v>15</v>
      </c>
      <c r="K7" s="30">
        <v>40.874026666600002</v>
      </c>
      <c r="L7" s="30">
        <v>72.094549999700007</v>
      </c>
      <c r="M7" s="15">
        <v>400</v>
      </c>
    </row>
    <row r="8" spans="1:14" ht="30" customHeight="1">
      <c r="A8" s="7" t="s">
        <v>13</v>
      </c>
      <c r="B8" s="30" t="s">
        <v>385</v>
      </c>
      <c r="C8" s="30" t="s">
        <v>127</v>
      </c>
      <c r="D8" s="27">
        <v>23165.981015192247</v>
      </c>
      <c r="E8" s="28">
        <v>19242.827401330811</v>
      </c>
      <c r="F8" s="27">
        <f t="shared" si="1"/>
        <v>3923.1536138614356</v>
      </c>
      <c r="G8" s="27">
        <f t="shared" si="0"/>
        <v>16.934977246543678</v>
      </c>
      <c r="H8" s="29">
        <v>61</v>
      </c>
      <c r="I8" s="29">
        <v>3</v>
      </c>
      <c r="J8" s="4" t="s">
        <v>17</v>
      </c>
      <c r="K8" s="30">
        <v>40.859666666700001</v>
      </c>
      <c r="L8" s="30">
        <v>72.121076666700006</v>
      </c>
      <c r="M8" s="15">
        <v>100</v>
      </c>
    </row>
    <row r="9" spans="1:14" ht="30" customHeight="1">
      <c r="A9" s="7" t="s">
        <v>13</v>
      </c>
      <c r="B9" s="30" t="s">
        <v>385</v>
      </c>
      <c r="C9" s="30" t="s">
        <v>128</v>
      </c>
      <c r="D9" s="27">
        <v>26111.888255192251</v>
      </c>
      <c r="E9" s="28">
        <v>21820.174067997483</v>
      </c>
      <c r="F9" s="27">
        <f t="shared" si="1"/>
        <v>4291.7141871947679</v>
      </c>
      <c r="G9" s="27">
        <f t="shared" si="0"/>
        <v>16.435863026264968</v>
      </c>
      <c r="H9" s="29">
        <v>83</v>
      </c>
      <c r="I9" s="29">
        <v>9</v>
      </c>
      <c r="J9" s="4" t="s">
        <v>17</v>
      </c>
      <c r="K9" s="30">
        <v>40.861923333299998</v>
      </c>
      <c r="L9" s="30">
        <v>72.000451666700002</v>
      </c>
      <c r="M9" s="15">
        <v>250</v>
      </c>
    </row>
    <row r="10" spans="1:14" ht="30" customHeight="1">
      <c r="A10" s="7" t="s">
        <v>13</v>
      </c>
      <c r="B10" s="30" t="s">
        <v>388</v>
      </c>
      <c r="C10" s="30" t="s">
        <v>129</v>
      </c>
      <c r="D10" s="27">
        <v>24786.328295192248</v>
      </c>
      <c r="E10" s="28">
        <v>20660.454067997478</v>
      </c>
      <c r="F10" s="27">
        <f t="shared" si="1"/>
        <v>4125.8742271947704</v>
      </c>
      <c r="G10" s="27">
        <f t="shared" si="0"/>
        <v>16.645766077402669</v>
      </c>
      <c r="H10" s="29">
        <v>100</v>
      </c>
      <c r="I10" s="29">
        <v>0</v>
      </c>
      <c r="J10" s="4" t="s">
        <v>17</v>
      </c>
      <c r="K10" s="30">
        <v>40.876303333300001</v>
      </c>
      <c r="L10" s="30">
        <v>71.989218333300002</v>
      </c>
      <c r="M10" s="15">
        <v>160</v>
      </c>
    </row>
    <row r="11" spans="1:14" ht="30" customHeight="1">
      <c r="A11" s="7" t="s">
        <v>13</v>
      </c>
      <c r="B11" s="30" t="s">
        <v>387</v>
      </c>
      <c r="C11" s="30" t="s">
        <v>130</v>
      </c>
      <c r="D11" s="27">
        <v>25167.72453519225</v>
      </c>
      <c r="E11" s="28">
        <v>20994.134067997482</v>
      </c>
      <c r="F11" s="27">
        <f t="shared" si="1"/>
        <v>4173.5904671947683</v>
      </c>
      <c r="G11" s="27">
        <f t="shared" si="0"/>
        <v>16.583106118150649</v>
      </c>
      <c r="H11" s="29">
        <v>69</v>
      </c>
      <c r="I11" s="29">
        <v>0</v>
      </c>
      <c r="J11" s="4" t="s">
        <v>14</v>
      </c>
      <c r="K11" s="30">
        <v>40.880254999999998</v>
      </c>
      <c r="L11" s="30">
        <v>71.986491666700005</v>
      </c>
      <c r="M11" s="15">
        <v>400</v>
      </c>
    </row>
    <row r="12" spans="1:14" ht="30" customHeight="1">
      <c r="A12" s="7" t="s">
        <v>13</v>
      </c>
      <c r="B12" s="30" t="s">
        <v>388</v>
      </c>
      <c r="C12" s="30" t="s">
        <v>131</v>
      </c>
      <c r="D12" s="27">
        <v>22592.686505192247</v>
      </c>
      <c r="E12" s="28">
        <v>18741.257401330811</v>
      </c>
      <c r="F12" s="27">
        <f t="shared" si="1"/>
        <v>3851.4291038614356</v>
      </c>
      <c r="G12" s="27">
        <f t="shared" si="0"/>
        <v>17.047238286497272</v>
      </c>
      <c r="H12" s="29">
        <v>64</v>
      </c>
      <c r="I12" s="29">
        <v>2</v>
      </c>
      <c r="J12" s="4" t="s">
        <v>16</v>
      </c>
      <c r="K12" s="30">
        <v>40.881878333300001</v>
      </c>
      <c r="L12" s="30">
        <v>71.992743333299998</v>
      </c>
      <c r="M12" s="15">
        <v>60</v>
      </c>
    </row>
    <row r="13" spans="1:14" ht="30" customHeight="1">
      <c r="A13" s="7" t="s">
        <v>13</v>
      </c>
      <c r="B13" s="30" t="s">
        <v>388</v>
      </c>
      <c r="C13" s="30" t="s">
        <v>132</v>
      </c>
      <c r="D13" s="27">
        <v>27191.356505192256</v>
      </c>
      <c r="E13" s="28">
        <v>22764.590734664147</v>
      </c>
      <c r="F13" s="27">
        <f t="shared" si="1"/>
        <v>4426.765770528109</v>
      </c>
      <c r="G13" s="27">
        <f t="shared" si="0"/>
        <v>16.280047557328768</v>
      </c>
      <c r="H13" s="29">
        <v>25</v>
      </c>
      <c r="I13" s="29">
        <v>2</v>
      </c>
      <c r="J13" s="4" t="s">
        <v>18</v>
      </c>
      <c r="K13" s="30">
        <v>40.8861933333</v>
      </c>
      <c r="L13" s="30">
        <v>71.991990000000001</v>
      </c>
      <c r="M13" s="15">
        <v>100</v>
      </c>
    </row>
    <row r="14" spans="1:14" ht="30" customHeight="1">
      <c r="A14" s="7" t="s">
        <v>13</v>
      </c>
      <c r="B14" s="30" t="s">
        <v>388</v>
      </c>
      <c r="C14" s="30" t="s">
        <v>133</v>
      </c>
      <c r="D14" s="27">
        <v>27247.561625192255</v>
      </c>
      <c r="E14" s="28">
        <v>22813.764067997479</v>
      </c>
      <c r="F14" s="27">
        <f t="shared" si="1"/>
        <v>4433.7975571947754</v>
      </c>
      <c r="G14" s="27">
        <f t="shared" si="0"/>
        <v>16.272272793376942</v>
      </c>
      <c r="H14" s="29">
        <v>108</v>
      </c>
      <c r="I14" s="29">
        <v>2</v>
      </c>
      <c r="J14" s="4" t="s">
        <v>18</v>
      </c>
      <c r="K14" s="30">
        <v>40.871985000000002</v>
      </c>
      <c r="L14" s="30">
        <v>72.001351666700003</v>
      </c>
      <c r="M14" s="15">
        <v>100</v>
      </c>
    </row>
    <row r="15" spans="1:14" ht="30" customHeight="1">
      <c r="A15" s="7" t="s">
        <v>13</v>
      </c>
      <c r="B15" s="30" t="s">
        <v>384</v>
      </c>
      <c r="C15" s="30" t="s">
        <v>109</v>
      </c>
      <c r="D15" s="27">
        <v>25350.242585192249</v>
      </c>
      <c r="E15" s="28">
        <v>21153.817401330816</v>
      </c>
      <c r="F15" s="27">
        <f t="shared" si="1"/>
        <v>4196.4251838614327</v>
      </c>
      <c r="G15" s="27">
        <f t="shared" si="0"/>
        <v>16.553787088067853</v>
      </c>
      <c r="H15" s="29">
        <v>70</v>
      </c>
      <c r="I15" s="29">
        <v>0</v>
      </c>
      <c r="J15" s="4" t="s">
        <v>14</v>
      </c>
      <c r="K15" s="30">
        <v>40.863475000000001</v>
      </c>
      <c r="L15" s="30">
        <v>71.947638333300006</v>
      </c>
      <c r="M15" s="15">
        <v>400</v>
      </c>
    </row>
    <row r="16" spans="1:14" ht="30" customHeight="1">
      <c r="A16" s="7" t="s">
        <v>13</v>
      </c>
      <c r="B16" s="30" t="s">
        <v>386</v>
      </c>
      <c r="C16" s="30" t="s">
        <v>134</v>
      </c>
      <c r="D16" s="27">
        <v>25918.073555192248</v>
      </c>
      <c r="E16" s="28">
        <v>21650.60740133081</v>
      </c>
      <c r="F16" s="27">
        <f t="shared" si="1"/>
        <v>4267.4661538614382</v>
      </c>
      <c r="G16" s="27">
        <f t="shared" si="0"/>
        <v>16.465213530526938</v>
      </c>
      <c r="H16" s="29">
        <v>44</v>
      </c>
      <c r="I16" s="29">
        <v>0</v>
      </c>
      <c r="J16" s="4" t="s">
        <v>17</v>
      </c>
      <c r="K16" s="30">
        <v>40.867853333299998</v>
      </c>
      <c r="L16" s="30">
        <v>71.9555883333</v>
      </c>
      <c r="M16" s="15">
        <v>160</v>
      </c>
    </row>
    <row r="17" spans="1:13" ht="30" customHeight="1">
      <c r="A17" s="7" t="s">
        <v>13</v>
      </c>
      <c r="B17" s="30" t="s">
        <v>386</v>
      </c>
      <c r="C17" s="30" t="s">
        <v>135</v>
      </c>
      <c r="D17" s="27">
        <v>29138.07981519225</v>
      </c>
      <c r="E17" s="28">
        <v>24467.760734664145</v>
      </c>
      <c r="F17" s="27">
        <f t="shared" si="1"/>
        <v>4670.3190805281047</v>
      </c>
      <c r="G17" s="27">
        <f t="shared" si="0"/>
        <v>16.028232162687178</v>
      </c>
      <c r="H17" s="29">
        <v>80</v>
      </c>
      <c r="I17" s="29">
        <v>2</v>
      </c>
      <c r="J17" s="4" t="s">
        <v>19</v>
      </c>
      <c r="K17" s="30">
        <v>40.871698333300003</v>
      </c>
      <c r="L17" s="30">
        <v>71.957906666699998</v>
      </c>
      <c r="M17" s="15">
        <v>160</v>
      </c>
    </row>
    <row r="18" spans="1:13" ht="30" customHeight="1">
      <c r="A18" s="7" t="s">
        <v>13</v>
      </c>
      <c r="B18" s="30" t="s">
        <v>388</v>
      </c>
      <c r="C18" s="30" t="s">
        <v>136</v>
      </c>
      <c r="D18" s="27">
        <v>25903.107875192254</v>
      </c>
      <c r="E18" s="28">
        <v>21637.514067997479</v>
      </c>
      <c r="F18" s="27">
        <f t="shared" si="1"/>
        <v>4265.5938071947749</v>
      </c>
      <c r="G18" s="27">
        <f t="shared" si="0"/>
        <v>16.467498138630653</v>
      </c>
      <c r="H18" s="29">
        <v>83</v>
      </c>
      <c r="I18" s="29">
        <v>4</v>
      </c>
      <c r="J18" s="4" t="s">
        <v>16</v>
      </c>
      <c r="K18" s="30">
        <v>40.881491666700001</v>
      </c>
      <c r="L18" s="30">
        <v>72.005658333300005</v>
      </c>
      <c r="M18" s="15">
        <v>400</v>
      </c>
    </row>
    <row r="19" spans="1:13" ht="30" customHeight="1">
      <c r="A19" s="7" t="s">
        <v>13</v>
      </c>
      <c r="B19" s="30" t="s">
        <v>388</v>
      </c>
      <c r="C19" s="30" t="s">
        <v>137</v>
      </c>
      <c r="D19" s="27">
        <v>23550.318575192246</v>
      </c>
      <c r="E19" s="28">
        <v>19579.080734664141</v>
      </c>
      <c r="F19" s="27">
        <f t="shared" si="1"/>
        <v>3971.2378405281052</v>
      </c>
      <c r="G19" s="27">
        <f t="shared" si="0"/>
        <v>16.862777579201758</v>
      </c>
      <c r="H19" s="29">
        <v>105</v>
      </c>
      <c r="I19" s="29">
        <v>0</v>
      </c>
      <c r="J19" s="4" t="s">
        <v>16</v>
      </c>
      <c r="K19" s="30">
        <v>40.882366666700001</v>
      </c>
      <c r="L19" s="30">
        <v>72.011693333300002</v>
      </c>
      <c r="M19" s="15">
        <v>63</v>
      </c>
    </row>
    <row r="20" spans="1:13" ht="30" customHeight="1">
      <c r="A20" s="7" t="s">
        <v>13</v>
      </c>
      <c r="B20" s="30" t="s">
        <v>387</v>
      </c>
      <c r="C20" s="30" t="s">
        <v>138</v>
      </c>
      <c r="D20" s="27">
        <v>33959.977715192254</v>
      </c>
      <c r="E20" s="28">
        <v>28686.394067997484</v>
      </c>
      <c r="F20" s="27">
        <f t="shared" si="1"/>
        <v>5273.5836471947696</v>
      </c>
      <c r="G20" s="27">
        <f t="shared" si="0"/>
        <v>15.528819516379107</v>
      </c>
      <c r="H20" s="29">
        <v>7</v>
      </c>
      <c r="I20" s="29">
        <v>2</v>
      </c>
      <c r="J20" s="4" t="s">
        <v>16</v>
      </c>
      <c r="K20" s="30">
        <v>40.867094999999999</v>
      </c>
      <c r="L20" s="30">
        <v>71.968564999999998</v>
      </c>
      <c r="M20" s="15">
        <v>160</v>
      </c>
    </row>
    <row r="21" spans="1:13" ht="30" customHeight="1">
      <c r="A21" s="7" t="s">
        <v>13</v>
      </c>
      <c r="B21" s="30" t="s">
        <v>388</v>
      </c>
      <c r="C21" s="30" t="s">
        <v>139</v>
      </c>
      <c r="D21" s="27">
        <v>19500.841025192254</v>
      </c>
      <c r="E21" s="28">
        <v>16036.230734664143</v>
      </c>
      <c r="F21" s="27">
        <f t="shared" si="1"/>
        <v>3464.6102905281114</v>
      </c>
      <c r="G21" s="27">
        <f t="shared" si="0"/>
        <v>17.766466000375768</v>
      </c>
      <c r="H21" s="29">
        <v>37</v>
      </c>
      <c r="I21" s="29">
        <v>2</v>
      </c>
      <c r="J21" s="4" t="s">
        <v>16</v>
      </c>
      <c r="K21" s="30">
        <v>40.865857601199998</v>
      </c>
      <c r="L21" s="30">
        <v>71.963380873199995</v>
      </c>
      <c r="M21" s="15">
        <v>160</v>
      </c>
    </row>
    <row r="22" spans="1:13" ht="30" customHeight="1">
      <c r="A22" s="7" t="s">
        <v>13</v>
      </c>
      <c r="B22" s="30" t="s">
        <v>387</v>
      </c>
      <c r="C22" s="30" t="s">
        <v>140</v>
      </c>
      <c r="D22" s="27">
        <v>21469.540415192248</v>
      </c>
      <c r="E22" s="28">
        <v>17758.62740133081</v>
      </c>
      <c r="F22" s="27">
        <f t="shared" si="1"/>
        <v>3710.9130138614382</v>
      </c>
      <c r="G22" s="27">
        <f t="shared" si="0"/>
        <v>17.284547978658765</v>
      </c>
      <c r="H22" s="29">
        <v>36</v>
      </c>
      <c r="I22" s="29">
        <v>0</v>
      </c>
      <c r="J22" s="4" t="s">
        <v>16</v>
      </c>
      <c r="K22" s="30">
        <v>40.868364999999997</v>
      </c>
      <c r="L22" s="30">
        <v>71.977401666700004</v>
      </c>
      <c r="M22" s="15">
        <v>160</v>
      </c>
    </row>
    <row r="23" spans="1:13" ht="30" customHeight="1">
      <c r="A23" s="7" t="s">
        <v>13</v>
      </c>
      <c r="B23" s="30" t="s">
        <v>385</v>
      </c>
      <c r="C23" s="30" t="s">
        <v>141</v>
      </c>
      <c r="D23" s="27">
        <v>29982.833015192256</v>
      </c>
      <c r="E23" s="28">
        <v>25206.827401330818</v>
      </c>
      <c r="F23" s="27">
        <f t="shared" si="1"/>
        <v>4776.0056138614382</v>
      </c>
      <c r="G23" s="27">
        <f t="shared" si="0"/>
        <v>15.929133886185616</v>
      </c>
      <c r="H23" s="29">
        <v>146</v>
      </c>
      <c r="I23" s="29">
        <v>4</v>
      </c>
      <c r="J23" s="3" t="s">
        <v>16</v>
      </c>
      <c r="K23" s="30">
        <v>40.866354999999999</v>
      </c>
      <c r="L23" s="30">
        <v>71.987798333300006</v>
      </c>
      <c r="M23" s="15">
        <v>63</v>
      </c>
    </row>
    <row r="24" spans="1:13" ht="30" customHeight="1">
      <c r="A24" s="7" t="s">
        <v>13</v>
      </c>
      <c r="B24" s="30" t="s">
        <v>385</v>
      </c>
      <c r="C24" s="30" t="s">
        <v>142</v>
      </c>
      <c r="D24" s="27">
        <v>35380.661945192252</v>
      </c>
      <c r="E24" s="28">
        <v>29929.337401330813</v>
      </c>
      <c r="F24" s="27">
        <f t="shared" si="1"/>
        <v>5451.3245438614395</v>
      </c>
      <c r="G24" s="27">
        <f t="shared" si="0"/>
        <v>15.407638648214155</v>
      </c>
      <c r="H24" s="29">
        <v>201</v>
      </c>
      <c r="I24" s="29">
        <v>0</v>
      </c>
      <c r="J24" s="3" t="s">
        <v>16</v>
      </c>
      <c r="K24" s="30">
        <v>40.8589916667</v>
      </c>
      <c r="L24" s="30">
        <v>72.007035000000002</v>
      </c>
      <c r="M24" s="15">
        <v>63</v>
      </c>
    </row>
    <row r="25" spans="1:13" ht="30" customHeight="1">
      <c r="A25" s="7" t="s">
        <v>13</v>
      </c>
      <c r="B25" s="30" t="s">
        <v>387</v>
      </c>
      <c r="C25" s="30" t="s">
        <v>143</v>
      </c>
      <c r="D25" s="27">
        <v>37548.635765192252</v>
      </c>
      <c r="E25" s="28">
        <v>31826.077401330818</v>
      </c>
      <c r="F25" s="27">
        <f t="shared" si="1"/>
        <v>5722.5583638614335</v>
      </c>
      <c r="G25" s="27">
        <f t="shared" si="0"/>
        <v>15.240389556752605</v>
      </c>
      <c r="H25" s="29">
        <v>48</v>
      </c>
      <c r="I25" s="29">
        <v>0</v>
      </c>
      <c r="J25" s="3" t="s">
        <v>14</v>
      </c>
      <c r="K25" s="30">
        <v>40.8780866667</v>
      </c>
      <c r="L25" s="30">
        <v>71.986896666700005</v>
      </c>
      <c r="M25" s="15">
        <v>250</v>
      </c>
    </row>
    <row r="26" spans="1:13" ht="30" customHeight="1">
      <c r="A26" s="7" t="s">
        <v>13</v>
      </c>
      <c r="B26" s="30" t="s">
        <v>388</v>
      </c>
      <c r="C26" s="30" t="s">
        <v>144</v>
      </c>
      <c r="D26" s="27">
        <v>25604.358155192251</v>
      </c>
      <c r="E26" s="28">
        <v>21376.14073466415</v>
      </c>
      <c r="F26" s="27">
        <f t="shared" si="1"/>
        <v>4228.2174205281008</v>
      </c>
      <c r="G26" s="27">
        <f t="shared" si="0"/>
        <v>16.51366300572807</v>
      </c>
      <c r="H26" s="29">
        <v>177</v>
      </c>
      <c r="I26" s="29">
        <v>2</v>
      </c>
      <c r="J26" s="3" t="s">
        <v>14</v>
      </c>
      <c r="K26" s="30">
        <v>40.888159999999999</v>
      </c>
      <c r="L26" s="30">
        <v>72.008324999999999</v>
      </c>
      <c r="M26" s="15">
        <v>100</v>
      </c>
    </row>
    <row r="27" spans="1:13" ht="30" customHeight="1">
      <c r="A27" s="7" t="s">
        <v>13</v>
      </c>
      <c r="B27" s="30" t="s">
        <v>388</v>
      </c>
      <c r="C27" s="30" t="s">
        <v>145</v>
      </c>
      <c r="D27" s="27">
        <v>26837.407505192248</v>
      </c>
      <c r="E27" s="28">
        <v>22454.924067997483</v>
      </c>
      <c r="F27" s="27">
        <f t="shared" si="1"/>
        <v>4382.4834371947654</v>
      </c>
      <c r="G27" s="27">
        <f t="shared" si="0"/>
        <v>16.329757024209151</v>
      </c>
      <c r="H27" s="29">
        <v>95</v>
      </c>
      <c r="I27" s="29">
        <v>10</v>
      </c>
      <c r="J27" s="17" t="s">
        <v>14</v>
      </c>
      <c r="K27" s="30">
        <v>40.879911666700004</v>
      </c>
      <c r="L27" s="30">
        <v>72.022811666699994</v>
      </c>
      <c r="M27" s="15">
        <v>100</v>
      </c>
    </row>
    <row r="28" spans="1:13" ht="30" customHeight="1">
      <c r="A28" s="7" t="s">
        <v>13</v>
      </c>
      <c r="B28" s="30" t="s">
        <v>389</v>
      </c>
      <c r="C28" s="30" t="s">
        <v>146</v>
      </c>
      <c r="D28" s="27">
        <v>26934.703475192255</v>
      </c>
      <c r="E28" s="28">
        <v>22540.047401330812</v>
      </c>
      <c r="F28" s="27">
        <f t="shared" si="1"/>
        <v>4394.6560738614426</v>
      </c>
      <c r="G28" s="27">
        <f t="shared" si="0"/>
        <v>16.315962334276538</v>
      </c>
      <c r="H28" s="29">
        <v>133</v>
      </c>
      <c r="I28" s="29">
        <v>2</v>
      </c>
      <c r="J28" s="3" t="s">
        <v>14</v>
      </c>
      <c r="K28" s="30">
        <v>40.880920000000003</v>
      </c>
      <c r="L28" s="30">
        <v>72.040239999999997</v>
      </c>
      <c r="M28" s="20">
        <v>100</v>
      </c>
    </row>
    <row r="29" spans="1:13" ht="30" customHeight="1">
      <c r="A29" s="7" t="s">
        <v>13</v>
      </c>
      <c r="B29" s="30" t="s">
        <v>389</v>
      </c>
      <c r="C29" s="30" t="s">
        <v>147</v>
      </c>
      <c r="D29" s="27">
        <v>24704.969555192252</v>
      </c>
      <c r="E29" s="28">
        <v>20589.274067997478</v>
      </c>
      <c r="F29" s="27">
        <f t="shared" si="1"/>
        <v>4115.6954871947746</v>
      </c>
      <c r="G29" s="27">
        <f t="shared" si="0"/>
        <v>16.659382955320332</v>
      </c>
      <c r="H29" s="29">
        <v>126</v>
      </c>
      <c r="I29" s="29">
        <v>0</v>
      </c>
      <c r="J29" s="3"/>
      <c r="K29" s="30">
        <v>40.881768333300002</v>
      </c>
      <c r="L29" s="30">
        <v>72.055153333299998</v>
      </c>
      <c r="M29" s="20">
        <v>63</v>
      </c>
    </row>
    <row r="30" spans="1:13" ht="30" customHeight="1">
      <c r="A30" s="7" t="s">
        <v>13</v>
      </c>
      <c r="B30" s="30" t="s">
        <v>389</v>
      </c>
      <c r="C30" s="30" t="s">
        <v>148</v>
      </c>
      <c r="D30" s="27">
        <v>28092.844415192252</v>
      </c>
      <c r="E30" s="28">
        <v>23553.294067997478</v>
      </c>
      <c r="F30" s="27">
        <f t="shared" si="1"/>
        <v>4539.5503471947741</v>
      </c>
      <c r="G30" s="27">
        <f t="shared" si="0"/>
        <v>16.159098310243881</v>
      </c>
      <c r="H30" s="29">
        <v>163</v>
      </c>
      <c r="I30" s="29">
        <v>0</v>
      </c>
      <c r="J30" s="3" t="s">
        <v>20</v>
      </c>
      <c r="K30" s="30">
        <v>40.882671666699999</v>
      </c>
      <c r="L30" s="30">
        <v>72.072426666699997</v>
      </c>
      <c r="M30" s="21">
        <v>100</v>
      </c>
    </row>
    <row r="31" spans="1:13" ht="30" customHeight="1">
      <c r="A31" s="7" t="s">
        <v>13</v>
      </c>
      <c r="B31" s="30" t="s">
        <v>389</v>
      </c>
      <c r="C31" s="30" t="s">
        <v>149</v>
      </c>
      <c r="D31" s="27">
        <v>19776.753605192251</v>
      </c>
      <c r="E31" s="28">
        <v>16277.624067997476</v>
      </c>
      <c r="F31" s="27">
        <f t="shared" si="1"/>
        <v>3499.1295371947745</v>
      </c>
      <c r="G31" s="27">
        <f t="shared" si="0"/>
        <v>17.693144218958679</v>
      </c>
      <c r="H31" s="29">
        <v>19</v>
      </c>
      <c r="I31" s="29">
        <v>0</v>
      </c>
      <c r="J31" s="3" t="s">
        <v>21</v>
      </c>
      <c r="K31" s="30">
        <v>40.877465000000001</v>
      </c>
      <c r="L31" s="30">
        <v>72.08811</v>
      </c>
      <c r="M31" s="15">
        <v>100</v>
      </c>
    </row>
    <row r="32" spans="1:13" ht="30" customHeight="1">
      <c r="A32" s="7" t="s">
        <v>13</v>
      </c>
      <c r="B32" s="30" t="s">
        <v>389</v>
      </c>
      <c r="C32" s="30" t="s">
        <v>150</v>
      </c>
      <c r="D32" s="27">
        <v>25812.608945192249</v>
      </c>
      <c r="E32" s="28">
        <v>21558.337401330813</v>
      </c>
      <c r="F32" s="27">
        <f t="shared" si="1"/>
        <v>4254.2715438614359</v>
      </c>
      <c r="G32" s="27">
        <f t="shared" si="0"/>
        <v>16.48136983322571</v>
      </c>
      <c r="H32" s="29">
        <v>84</v>
      </c>
      <c r="I32" s="29">
        <v>2</v>
      </c>
      <c r="J32" s="3" t="s">
        <v>15</v>
      </c>
      <c r="K32" s="30">
        <v>40.879755000000003</v>
      </c>
      <c r="L32" s="30">
        <v>72.084291666699997</v>
      </c>
      <c r="M32" s="15">
        <v>100</v>
      </c>
    </row>
    <row r="33" spans="1:13" ht="30" customHeight="1">
      <c r="A33" s="7" t="s">
        <v>13</v>
      </c>
      <c r="B33" s="30" t="s">
        <v>390</v>
      </c>
      <c r="C33" s="30" t="s">
        <v>151</v>
      </c>
      <c r="D33" s="27">
        <v>26429.116475192255</v>
      </c>
      <c r="E33" s="28">
        <v>22097.714067997484</v>
      </c>
      <c r="F33" s="27">
        <f t="shared" si="1"/>
        <v>4331.4024071947715</v>
      </c>
      <c r="G33" s="27">
        <f t="shared" si="0"/>
        <v>16.388752197828676</v>
      </c>
      <c r="H33" s="29">
        <v>110</v>
      </c>
      <c r="I33" s="29">
        <v>4</v>
      </c>
      <c r="J33" s="3" t="s">
        <v>22</v>
      </c>
      <c r="K33" s="30">
        <v>40.874026666699997</v>
      </c>
      <c r="L33" s="30">
        <v>72.094549999999998</v>
      </c>
      <c r="M33" s="15">
        <v>160</v>
      </c>
    </row>
    <row r="34" spans="1:13" ht="30" customHeight="1">
      <c r="A34" s="7" t="s">
        <v>13</v>
      </c>
      <c r="B34" s="30" t="s">
        <v>390</v>
      </c>
      <c r="C34" s="30" t="s">
        <v>152</v>
      </c>
      <c r="D34" s="27">
        <v>21791.500655192245</v>
      </c>
      <c r="E34" s="28">
        <v>18040.307401330811</v>
      </c>
      <c r="F34" s="27">
        <f t="shared" si="1"/>
        <v>3751.1932538614346</v>
      </c>
      <c r="G34" s="27">
        <f t="shared" si="0"/>
        <v>17.2140198750729</v>
      </c>
      <c r="H34" s="29">
        <v>101</v>
      </c>
      <c r="I34" s="29">
        <v>0</v>
      </c>
      <c r="J34" s="3" t="s">
        <v>23</v>
      </c>
      <c r="K34" s="30">
        <v>40.863348333300003</v>
      </c>
      <c r="L34" s="30">
        <v>72.082953333299997</v>
      </c>
      <c r="M34" s="15">
        <v>160</v>
      </c>
    </row>
    <row r="35" spans="1:13" ht="30" customHeight="1">
      <c r="A35" s="7" t="s">
        <v>13</v>
      </c>
      <c r="B35" s="30" t="s">
        <v>391</v>
      </c>
      <c r="C35" s="30" t="s">
        <v>153</v>
      </c>
      <c r="D35" s="27">
        <v>20509.828085192254</v>
      </c>
      <c r="E35" s="28">
        <v>16918.984067997477</v>
      </c>
      <c r="F35" s="27">
        <f t="shared" si="1"/>
        <v>3590.8440171947768</v>
      </c>
      <c r="G35" s="27">
        <f t="shared" si="0"/>
        <v>17.50791865382482</v>
      </c>
      <c r="H35" s="29">
        <v>87</v>
      </c>
      <c r="I35" s="29">
        <v>3</v>
      </c>
      <c r="J35" s="3" t="s">
        <v>23</v>
      </c>
      <c r="K35" s="30">
        <v>40.848415000000003</v>
      </c>
      <c r="L35" s="30">
        <v>72.071595000000002</v>
      </c>
      <c r="M35" s="15">
        <v>63</v>
      </c>
    </row>
    <row r="36" spans="1:13" ht="30" customHeight="1">
      <c r="A36" s="7" t="s">
        <v>13</v>
      </c>
      <c r="B36" s="30" t="s">
        <v>390</v>
      </c>
      <c r="C36" s="30" t="s">
        <v>154</v>
      </c>
      <c r="D36" s="27">
        <v>32976.277625192255</v>
      </c>
      <c r="E36" s="28">
        <v>27825.764067997479</v>
      </c>
      <c r="F36" s="27">
        <f t="shared" si="1"/>
        <v>5150.5135571947758</v>
      </c>
      <c r="G36" s="27">
        <f t="shared" si="0"/>
        <v>15.618844600155951</v>
      </c>
      <c r="H36" s="29">
        <v>216</v>
      </c>
      <c r="I36" s="29">
        <v>5</v>
      </c>
      <c r="J36" s="3" t="s">
        <v>18</v>
      </c>
      <c r="K36" s="30">
        <v>40.8672316667</v>
      </c>
      <c r="L36" s="30">
        <v>72.104288333300005</v>
      </c>
      <c r="M36" s="15">
        <v>100</v>
      </c>
    </row>
    <row r="37" spans="1:13" ht="30" customHeight="1">
      <c r="A37" s="7" t="s">
        <v>13</v>
      </c>
      <c r="B37" s="30" t="s">
        <v>390</v>
      </c>
      <c r="C37" s="30" t="s">
        <v>155</v>
      </c>
      <c r="D37" s="27">
        <v>27763.881395192257</v>
      </c>
      <c r="E37" s="28">
        <v>23265.487401330814</v>
      </c>
      <c r="F37" s="27">
        <f t="shared" si="1"/>
        <v>4498.3939938614421</v>
      </c>
      <c r="G37" s="27">
        <f t="shared" si="0"/>
        <v>16.202323910807401</v>
      </c>
      <c r="H37" s="29">
        <v>99</v>
      </c>
      <c r="I37" s="29">
        <v>2</v>
      </c>
      <c r="J37" s="3" t="s">
        <v>14</v>
      </c>
      <c r="K37" s="30">
        <v>40.875253333300002</v>
      </c>
      <c r="L37" s="30">
        <v>72.108715000000004</v>
      </c>
      <c r="M37" s="15">
        <v>100</v>
      </c>
    </row>
    <row r="38" spans="1:13" ht="30" customHeight="1">
      <c r="A38" s="7" t="s">
        <v>13</v>
      </c>
      <c r="B38" s="30" t="s">
        <v>390</v>
      </c>
      <c r="C38" s="30" t="s">
        <v>156</v>
      </c>
      <c r="D38" s="27">
        <v>20422.076165192251</v>
      </c>
      <c r="E38" s="28">
        <v>16842.210734664142</v>
      </c>
      <c r="F38" s="27">
        <f t="shared" si="1"/>
        <v>3579.8654305281088</v>
      </c>
      <c r="G38" s="27">
        <f t="shared" si="0"/>
        <v>17.529390261650747</v>
      </c>
      <c r="H38" s="29">
        <v>107</v>
      </c>
      <c r="I38" s="29">
        <v>0</v>
      </c>
      <c r="J38" s="3" t="s">
        <v>23</v>
      </c>
      <c r="K38" s="30">
        <v>40.867996666700002</v>
      </c>
      <c r="L38" s="30">
        <v>72.122466666700006</v>
      </c>
      <c r="M38" s="15">
        <v>40</v>
      </c>
    </row>
    <row r="39" spans="1:13" ht="30" customHeight="1">
      <c r="A39" s="7" t="s">
        <v>13</v>
      </c>
      <c r="B39" s="30" t="s">
        <v>390</v>
      </c>
      <c r="C39" s="30" t="s">
        <v>157</v>
      </c>
      <c r="D39" s="27">
        <v>21901.64013519225</v>
      </c>
      <c r="E39" s="28">
        <v>18136.667401330811</v>
      </c>
      <c r="F39" s="27">
        <f t="shared" si="1"/>
        <v>3764.9727338614393</v>
      </c>
      <c r="G39" s="27">
        <f t="shared" si="0"/>
        <v>17.190368897586634</v>
      </c>
      <c r="H39" s="29">
        <v>139</v>
      </c>
      <c r="I39" s="29">
        <v>2</v>
      </c>
      <c r="J39" s="3" t="s">
        <v>24</v>
      </c>
      <c r="K39" s="30">
        <v>40.856453333300003</v>
      </c>
      <c r="L39" s="30">
        <v>72.136276666699999</v>
      </c>
      <c r="M39" s="15">
        <v>100</v>
      </c>
    </row>
    <row r="40" spans="1:13" ht="30" customHeight="1">
      <c r="A40" s="7" t="s">
        <v>13</v>
      </c>
      <c r="B40" s="30" t="s">
        <v>390</v>
      </c>
      <c r="C40" s="30" t="s">
        <v>158</v>
      </c>
      <c r="D40" s="27">
        <v>26923.429685192255</v>
      </c>
      <c r="E40" s="28">
        <v>22530.184067997478</v>
      </c>
      <c r="F40" s="27">
        <f t="shared" si="1"/>
        <v>4393.2456171947779</v>
      </c>
      <c r="G40" s="27">
        <f t="shared" si="0"/>
        <v>16.317555633007036</v>
      </c>
      <c r="H40" s="29">
        <v>171</v>
      </c>
      <c r="I40" s="29">
        <v>2</v>
      </c>
      <c r="J40" s="3" t="s">
        <v>24</v>
      </c>
      <c r="K40" s="30">
        <v>40.848101666700003</v>
      </c>
      <c r="L40" s="30">
        <v>72.161588333300003</v>
      </c>
      <c r="M40" s="15">
        <v>100</v>
      </c>
    </row>
    <row r="41" spans="1:13" ht="30" customHeight="1">
      <c r="A41" s="7" t="s">
        <v>13</v>
      </c>
      <c r="B41" s="30" t="s">
        <v>392</v>
      </c>
      <c r="C41" s="30" t="s">
        <v>159</v>
      </c>
      <c r="D41" s="27">
        <v>20390.567465192253</v>
      </c>
      <c r="E41" s="28">
        <v>16814.644067997477</v>
      </c>
      <c r="F41" s="27">
        <f t="shared" si="1"/>
        <v>3575.923397194776</v>
      </c>
      <c r="G41" s="27">
        <f t="shared" si="0"/>
        <v>17.537145071117127</v>
      </c>
      <c r="H41" s="29">
        <v>87</v>
      </c>
      <c r="I41" s="29">
        <v>3</v>
      </c>
      <c r="J41" s="3" t="s">
        <v>21</v>
      </c>
      <c r="K41" s="30">
        <v>40.823746666700004</v>
      </c>
      <c r="L41" s="30">
        <v>72.162056666699996</v>
      </c>
      <c r="M41" s="15">
        <v>160</v>
      </c>
    </row>
    <row r="42" spans="1:13" ht="30" customHeight="1">
      <c r="A42" s="7" t="s">
        <v>13</v>
      </c>
      <c r="B42" s="30" t="s">
        <v>391</v>
      </c>
      <c r="C42" s="30" t="s">
        <v>160</v>
      </c>
      <c r="D42" s="27">
        <v>24433.255595192251</v>
      </c>
      <c r="E42" s="28">
        <v>20351.554067997477</v>
      </c>
      <c r="F42" s="27">
        <f t="shared" si="1"/>
        <v>4081.7015271947748</v>
      </c>
      <c r="G42" s="27">
        <f t="shared" si="0"/>
        <v>16.705516427364408</v>
      </c>
      <c r="H42" s="29">
        <v>99</v>
      </c>
      <c r="I42" s="29">
        <v>2</v>
      </c>
      <c r="J42" s="3" t="s">
        <v>19</v>
      </c>
      <c r="K42" s="30">
        <v>40.8202666667</v>
      </c>
      <c r="L42" s="30">
        <v>72.1321616667</v>
      </c>
      <c r="M42" s="20">
        <v>160</v>
      </c>
    </row>
    <row r="43" spans="1:13" ht="30" customHeight="1">
      <c r="A43" s="7" t="s">
        <v>13</v>
      </c>
      <c r="B43" s="30" t="s">
        <v>391</v>
      </c>
      <c r="C43" s="30" t="s">
        <v>161</v>
      </c>
      <c r="D43" s="27">
        <v>26594.154245192251</v>
      </c>
      <c r="E43" s="28">
        <v>22242.104067997476</v>
      </c>
      <c r="F43" s="27">
        <f t="shared" si="1"/>
        <v>4352.0501771947747</v>
      </c>
      <c r="G43" s="27">
        <f t="shared" si="0"/>
        <v>16.364687280782949</v>
      </c>
      <c r="H43" s="29">
        <v>131</v>
      </c>
      <c r="I43" s="29">
        <v>2</v>
      </c>
      <c r="J43" s="3" t="s">
        <v>21</v>
      </c>
      <c r="K43" s="30">
        <v>40.829568333300003</v>
      </c>
      <c r="L43" s="30">
        <v>72.120596666699996</v>
      </c>
      <c r="M43" s="20">
        <v>160</v>
      </c>
    </row>
    <row r="44" spans="1:13" ht="30" customHeight="1">
      <c r="A44" s="7" t="s">
        <v>13</v>
      </c>
      <c r="B44" s="30" t="s">
        <v>391</v>
      </c>
      <c r="C44" s="30" t="s">
        <v>162</v>
      </c>
      <c r="D44" s="27">
        <v>28190.33469519225</v>
      </c>
      <c r="E44" s="28">
        <v>23638.587401330813</v>
      </c>
      <c r="F44" s="27">
        <f t="shared" si="1"/>
        <v>4551.7472938614374</v>
      </c>
      <c r="G44" s="27">
        <f t="shared" si="0"/>
        <v>16.146481916859681</v>
      </c>
      <c r="H44" s="29">
        <v>166</v>
      </c>
      <c r="I44" s="29">
        <v>2</v>
      </c>
      <c r="J44" s="3" t="s">
        <v>21</v>
      </c>
      <c r="K44" s="30">
        <v>40.815874208499999</v>
      </c>
      <c r="L44" s="30">
        <v>72.111179034499997</v>
      </c>
      <c r="M44" s="20">
        <v>100</v>
      </c>
    </row>
    <row r="45" spans="1:13" ht="30" customHeight="1">
      <c r="A45" s="7" t="s">
        <v>13</v>
      </c>
      <c r="B45" s="30" t="s">
        <v>388</v>
      </c>
      <c r="C45" s="30" t="s">
        <v>163</v>
      </c>
      <c r="D45" s="27">
        <v>63067.806215192235</v>
      </c>
      <c r="E45" s="28">
        <v>54152.560734664141</v>
      </c>
      <c r="F45" s="27">
        <f t="shared" si="1"/>
        <v>8915.245480528094</v>
      </c>
      <c r="G45" s="27">
        <f t="shared" si="0"/>
        <v>14.135968912742243</v>
      </c>
      <c r="H45" s="29">
        <v>145</v>
      </c>
      <c r="I45" s="29">
        <v>0</v>
      </c>
      <c r="J45" s="3" t="s">
        <v>21</v>
      </c>
      <c r="K45" s="30">
        <v>40.875643333299998</v>
      </c>
      <c r="L45" s="30">
        <v>72.000879999999995</v>
      </c>
      <c r="M45" s="20">
        <v>160</v>
      </c>
    </row>
    <row r="46" spans="1:13" ht="30" customHeight="1">
      <c r="A46" s="7" t="s">
        <v>13</v>
      </c>
      <c r="B46" s="30" t="s">
        <v>388</v>
      </c>
      <c r="C46" s="30" t="s">
        <v>164</v>
      </c>
      <c r="D46" s="27">
        <v>22928.968535192249</v>
      </c>
      <c r="E46" s="28">
        <v>19035.46740133081</v>
      </c>
      <c r="F46" s="27">
        <f t="shared" si="1"/>
        <v>3893.5011338614386</v>
      </c>
      <c r="G46" s="27">
        <f t="shared" si="0"/>
        <v>16.980707736091773</v>
      </c>
      <c r="H46" s="29">
        <v>84</v>
      </c>
      <c r="I46" s="29">
        <v>3</v>
      </c>
      <c r="J46" s="3" t="s">
        <v>20</v>
      </c>
      <c r="K46" s="30">
        <v>40.88138</v>
      </c>
      <c r="L46" s="30">
        <v>72.003778333300005</v>
      </c>
      <c r="M46" s="20">
        <v>63</v>
      </c>
    </row>
    <row r="47" spans="1:13" ht="30" customHeight="1">
      <c r="A47" s="7" t="s">
        <v>13</v>
      </c>
      <c r="B47" s="30" t="s">
        <v>389</v>
      </c>
      <c r="C47" s="30" t="s">
        <v>165</v>
      </c>
      <c r="D47" s="27">
        <v>25777.050215192245</v>
      </c>
      <c r="E47" s="28">
        <v>21527.227401330812</v>
      </c>
      <c r="F47" s="27">
        <f t="shared" si="1"/>
        <v>4249.8228138614322</v>
      </c>
      <c r="G47" s="27">
        <f t="shared" si="0"/>
        <v>16.486846937035139</v>
      </c>
      <c r="H47" s="29">
        <v>118</v>
      </c>
      <c r="I47" s="29">
        <v>0</v>
      </c>
      <c r="J47" s="3" t="s">
        <v>20</v>
      </c>
      <c r="K47" s="30">
        <v>40.871155000000002</v>
      </c>
      <c r="L47" s="30">
        <v>72.043671666700007</v>
      </c>
      <c r="M47" s="20">
        <v>400</v>
      </c>
    </row>
    <row r="48" spans="1:13" ht="30" customHeight="1">
      <c r="A48" s="7" t="s">
        <v>13</v>
      </c>
      <c r="B48" s="30" t="s">
        <v>392</v>
      </c>
      <c r="C48" s="30" t="s">
        <v>166</v>
      </c>
      <c r="D48" s="27">
        <v>20370.644975192248</v>
      </c>
      <c r="E48" s="28">
        <v>16797.214067997476</v>
      </c>
      <c r="F48" s="27">
        <f t="shared" si="1"/>
        <v>3573.4309071947719</v>
      </c>
      <c r="G48" s="27">
        <f t="shared" si="0"/>
        <v>17.542060703264735</v>
      </c>
      <c r="H48" s="29">
        <v>73</v>
      </c>
      <c r="I48" s="29">
        <v>0</v>
      </c>
      <c r="J48" s="3" t="s">
        <v>20</v>
      </c>
      <c r="K48" s="30">
        <v>40.820733333200003</v>
      </c>
      <c r="L48" s="30">
        <v>72.163296666700006</v>
      </c>
      <c r="M48" s="20">
        <v>160</v>
      </c>
    </row>
    <row r="49" spans="1:13" ht="30" customHeight="1">
      <c r="A49" s="7" t="s">
        <v>13</v>
      </c>
      <c r="B49" s="30" t="s">
        <v>392</v>
      </c>
      <c r="C49" s="30" t="s">
        <v>167</v>
      </c>
      <c r="D49" s="27">
        <v>24196.696505192249</v>
      </c>
      <c r="E49" s="28">
        <v>20144.590734664143</v>
      </c>
      <c r="F49" s="27">
        <f t="shared" si="1"/>
        <v>4052.1057705281055</v>
      </c>
      <c r="G49" s="27">
        <f t="shared" si="0"/>
        <v>16.746524756627768</v>
      </c>
      <c r="H49" s="29">
        <v>98</v>
      </c>
      <c r="I49" s="29">
        <v>2</v>
      </c>
      <c r="J49" s="3" t="s">
        <v>25</v>
      </c>
      <c r="K49" s="30">
        <v>40.834948405699997</v>
      </c>
      <c r="L49" s="30">
        <v>72.194619056400001</v>
      </c>
      <c r="M49" s="20">
        <v>250</v>
      </c>
    </row>
    <row r="50" spans="1:13" ht="30" customHeight="1">
      <c r="A50" s="7" t="s">
        <v>13</v>
      </c>
      <c r="B50" s="30" t="s">
        <v>386</v>
      </c>
      <c r="C50" s="30" t="s">
        <v>168</v>
      </c>
      <c r="D50" s="27">
        <v>27154.089640192251</v>
      </c>
      <c r="E50" s="28">
        <v>22381.605401330817</v>
      </c>
      <c r="F50" s="27">
        <f t="shared" si="1"/>
        <v>4772.4842388614343</v>
      </c>
      <c r="G50" s="27">
        <f t="shared" si="0"/>
        <v>17.575563394316191</v>
      </c>
      <c r="H50" s="29">
        <v>159</v>
      </c>
      <c r="I50" s="29">
        <v>0</v>
      </c>
      <c r="J50" s="3" t="s">
        <v>25</v>
      </c>
      <c r="K50" s="30">
        <v>40.878189999999996</v>
      </c>
      <c r="L50" s="30">
        <v>71.958991666700001</v>
      </c>
      <c r="M50" s="20">
        <v>160</v>
      </c>
    </row>
    <row r="51" spans="1:13" ht="30" customHeight="1">
      <c r="A51" s="7" t="s">
        <v>13</v>
      </c>
      <c r="B51" s="30" t="s">
        <v>386</v>
      </c>
      <c r="C51" s="30" t="s">
        <v>169</v>
      </c>
      <c r="D51" s="27">
        <v>23150.330035192255</v>
      </c>
      <c r="E51" s="28">
        <v>18876.830234664147</v>
      </c>
      <c r="F51" s="27">
        <f t="shared" si="1"/>
        <v>4273.4998005281086</v>
      </c>
      <c r="G51" s="27">
        <f t="shared" si="0"/>
        <v>18.459779165271925</v>
      </c>
      <c r="H51" s="29">
        <v>114</v>
      </c>
      <c r="I51" s="29">
        <v>2</v>
      </c>
      <c r="J51" s="3" t="s">
        <v>22</v>
      </c>
      <c r="K51" s="30">
        <v>40.870921666699999</v>
      </c>
      <c r="L51" s="30">
        <v>71.95438</v>
      </c>
      <c r="M51" s="20">
        <v>250</v>
      </c>
    </row>
    <row r="52" spans="1:13" ht="30" customHeight="1">
      <c r="A52" s="7" t="s">
        <v>13</v>
      </c>
      <c r="B52" s="30" t="s">
        <v>390</v>
      </c>
      <c r="C52" s="30" t="s">
        <v>170</v>
      </c>
      <c r="D52" s="27">
        <v>21890.947565192248</v>
      </c>
      <c r="E52" s="28">
        <v>18039.792067997478</v>
      </c>
      <c r="F52" s="27">
        <f t="shared" si="1"/>
        <v>3851.1554971947699</v>
      </c>
      <c r="G52" s="27">
        <f t="shared" si="0"/>
        <v>17.592456816799967</v>
      </c>
      <c r="H52" s="29">
        <v>76</v>
      </c>
      <c r="I52" s="29">
        <v>0</v>
      </c>
      <c r="J52" s="3" t="s">
        <v>22</v>
      </c>
      <c r="K52" s="30">
        <v>40.872001666700001</v>
      </c>
      <c r="L52" s="30">
        <v>72.092106666700005</v>
      </c>
      <c r="M52" s="20">
        <v>160</v>
      </c>
    </row>
    <row r="53" spans="1:13" ht="30" customHeight="1">
      <c r="A53" s="7" t="s">
        <v>13</v>
      </c>
      <c r="B53" s="30" t="s">
        <v>386</v>
      </c>
      <c r="C53" s="30" t="s">
        <v>171</v>
      </c>
      <c r="D53" s="27">
        <v>21906.063645192247</v>
      </c>
      <c r="E53" s="28">
        <v>17783.104234664144</v>
      </c>
      <c r="F53" s="27">
        <f t="shared" si="1"/>
        <v>4122.959410528103</v>
      </c>
      <c r="G53" s="27">
        <f t="shared" si="0"/>
        <v>18.821087518537244</v>
      </c>
      <c r="H53" s="29">
        <v>119</v>
      </c>
      <c r="I53" s="29">
        <v>0</v>
      </c>
      <c r="J53" s="3" t="s">
        <v>22</v>
      </c>
      <c r="K53" s="30">
        <v>40.872906666699997</v>
      </c>
      <c r="L53" s="30">
        <v>71.953943333300003</v>
      </c>
      <c r="M53" s="20">
        <v>40</v>
      </c>
    </row>
    <row r="54" spans="1:13" ht="30" customHeight="1">
      <c r="A54" s="7" t="s">
        <v>13</v>
      </c>
      <c r="B54" s="30" t="s">
        <v>384</v>
      </c>
      <c r="C54" s="30" t="s">
        <v>101</v>
      </c>
      <c r="D54" s="27">
        <v>20473.911215192249</v>
      </c>
      <c r="E54" s="28">
        <v>16528.845234664146</v>
      </c>
      <c r="F54" s="27">
        <f t="shared" si="1"/>
        <v>3945.065980528103</v>
      </c>
      <c r="G54" s="27">
        <f t="shared" si="0"/>
        <v>19.268746157308463</v>
      </c>
      <c r="H54" s="29">
        <v>77</v>
      </c>
      <c r="I54" s="29">
        <v>2</v>
      </c>
      <c r="J54" s="3" t="s">
        <v>17</v>
      </c>
      <c r="K54" s="30">
        <v>40.877846666700002</v>
      </c>
      <c r="L54" s="30">
        <v>71.933464999999998</v>
      </c>
      <c r="M54" s="20">
        <v>63</v>
      </c>
    </row>
    <row r="55" spans="1:13" ht="30" customHeight="1">
      <c r="A55" s="7" t="s">
        <v>13</v>
      </c>
      <c r="B55" s="30" t="s">
        <v>386</v>
      </c>
      <c r="C55" s="30" t="s">
        <v>172</v>
      </c>
      <c r="D55" s="27">
        <v>22151.345135192252</v>
      </c>
      <c r="E55" s="28">
        <v>17979.775734664145</v>
      </c>
      <c r="F55" s="27">
        <f t="shared" si="1"/>
        <v>4171.5694005281075</v>
      </c>
      <c r="G55" s="27">
        <f t="shared" si="0"/>
        <v>18.832126785387214</v>
      </c>
      <c r="H55" s="29">
        <v>107</v>
      </c>
      <c r="I55" s="29">
        <v>2</v>
      </c>
      <c r="J55" s="3" t="s">
        <v>17</v>
      </c>
      <c r="K55" s="30">
        <v>40.873988333299998</v>
      </c>
      <c r="L55" s="30">
        <v>71.962540000000004</v>
      </c>
      <c r="M55" s="20">
        <v>100</v>
      </c>
    </row>
    <row r="56" spans="1:13" ht="30" customHeight="1">
      <c r="A56" s="7" t="s">
        <v>13</v>
      </c>
      <c r="B56" s="30" t="s">
        <v>386</v>
      </c>
      <c r="C56" s="30" t="s">
        <v>173</v>
      </c>
      <c r="D56" s="27">
        <v>16820.324705192252</v>
      </c>
      <c r="E56" s="28">
        <v>13234.532401330809</v>
      </c>
      <c r="F56" s="27">
        <f t="shared" si="1"/>
        <v>3585.7923038614426</v>
      </c>
      <c r="G56" s="27">
        <f t="shared" si="0"/>
        <v>21.318210954361348</v>
      </c>
      <c r="H56" s="29">
        <v>37</v>
      </c>
      <c r="I56" s="29">
        <v>0</v>
      </c>
      <c r="J56" s="3" t="s">
        <v>27</v>
      </c>
      <c r="K56" s="30">
        <v>40.870921666500003</v>
      </c>
      <c r="L56" s="30">
        <v>71.95438</v>
      </c>
      <c r="M56" s="20">
        <v>160</v>
      </c>
    </row>
    <row r="57" spans="1:13" ht="30" customHeight="1">
      <c r="A57" s="7" t="s">
        <v>13</v>
      </c>
      <c r="B57" s="30" t="s">
        <v>386</v>
      </c>
      <c r="C57" s="30" t="s">
        <v>174</v>
      </c>
      <c r="D57" s="27">
        <v>22930.510535192254</v>
      </c>
      <c r="E57" s="28">
        <v>18440.84240133081</v>
      </c>
      <c r="F57" s="27">
        <f t="shared" si="1"/>
        <v>4489.6681338614435</v>
      </c>
      <c r="G57" s="27">
        <f t="shared" si="0"/>
        <v>19.579451259800749</v>
      </c>
      <c r="H57" s="29">
        <v>73</v>
      </c>
      <c r="I57" s="29">
        <v>0</v>
      </c>
      <c r="J57" s="3" t="s">
        <v>28</v>
      </c>
      <c r="K57" s="30">
        <v>40.875286666699999</v>
      </c>
      <c r="L57" s="30">
        <v>71.9537066667</v>
      </c>
      <c r="M57" s="20">
        <v>100</v>
      </c>
    </row>
    <row r="58" spans="1:13" ht="30" customHeight="1">
      <c r="A58" s="7" t="s">
        <v>13</v>
      </c>
      <c r="B58" s="30" t="s">
        <v>384</v>
      </c>
      <c r="C58" s="30" t="s">
        <v>107</v>
      </c>
      <c r="D58" s="27">
        <v>18848.55315519225</v>
      </c>
      <c r="E58" s="28">
        <v>14776.682401330811</v>
      </c>
      <c r="F58" s="27">
        <f t="shared" si="1"/>
        <v>4071.8707538614399</v>
      </c>
      <c r="G58" s="27">
        <f t="shared" si="0"/>
        <v>21.60309452049243</v>
      </c>
      <c r="H58" s="29">
        <v>89</v>
      </c>
      <c r="I58" s="29">
        <v>0</v>
      </c>
      <c r="J58" s="3" t="s">
        <v>25</v>
      </c>
      <c r="K58" s="30">
        <v>40.870680129199997</v>
      </c>
      <c r="L58" s="30">
        <v>71.958324657800006</v>
      </c>
      <c r="M58" s="20">
        <v>100</v>
      </c>
    </row>
    <row r="59" spans="1:13" ht="30" customHeight="1">
      <c r="A59" s="7" t="s">
        <v>13</v>
      </c>
      <c r="B59" s="30" t="s">
        <v>384</v>
      </c>
      <c r="C59" s="30" t="s">
        <v>113</v>
      </c>
      <c r="D59" s="27">
        <v>27377.753585192251</v>
      </c>
      <c r="E59" s="28">
        <v>22574.722401330815</v>
      </c>
      <c r="F59" s="27">
        <f t="shared" si="1"/>
        <v>4803.0311838614361</v>
      </c>
      <c r="G59" s="27">
        <f t="shared" si="0"/>
        <v>17.543554729264716</v>
      </c>
      <c r="H59" s="29">
        <v>131</v>
      </c>
      <c r="I59" s="29">
        <v>2</v>
      </c>
      <c r="J59" s="3" t="s">
        <v>21</v>
      </c>
      <c r="K59" s="30">
        <v>40.867751666700002</v>
      </c>
      <c r="L59" s="30">
        <v>71.964714999999998</v>
      </c>
      <c r="M59" s="20">
        <v>100</v>
      </c>
    </row>
    <row r="60" spans="1:13" ht="30" customHeight="1">
      <c r="A60" s="7" t="s">
        <v>13</v>
      </c>
      <c r="B60" s="30" t="s">
        <v>384</v>
      </c>
      <c r="C60" s="30" t="s">
        <v>108</v>
      </c>
      <c r="D60" s="27">
        <v>26053.541285192252</v>
      </c>
      <c r="E60" s="28">
        <v>21548.893901330812</v>
      </c>
      <c r="F60" s="27">
        <f t="shared" si="1"/>
        <v>4504.6473838614402</v>
      </c>
      <c r="G60" s="27">
        <f t="shared" si="0"/>
        <v>17.289961984636978</v>
      </c>
      <c r="H60" s="29">
        <v>76</v>
      </c>
      <c r="I60" s="29">
        <v>0</v>
      </c>
      <c r="J60" s="3" t="s">
        <v>21</v>
      </c>
      <c r="K60" s="30">
        <v>40.874960000000002</v>
      </c>
      <c r="L60" s="30">
        <v>71.946984999999998</v>
      </c>
      <c r="M60" s="20">
        <v>63</v>
      </c>
    </row>
    <row r="61" spans="1:13" ht="30" customHeight="1">
      <c r="A61" s="7" t="s">
        <v>13</v>
      </c>
      <c r="B61" s="30" t="s">
        <v>384</v>
      </c>
      <c r="C61" s="30" t="s">
        <v>93</v>
      </c>
      <c r="D61" s="27">
        <v>17900.18725519225</v>
      </c>
      <c r="E61" s="28">
        <v>14418.80640133081</v>
      </c>
      <c r="F61" s="27">
        <f t="shared" si="1"/>
        <v>3481.3808538614394</v>
      </c>
      <c r="G61" s="27">
        <f t="shared" si="0"/>
        <v>19.448851591491628</v>
      </c>
      <c r="H61" s="29">
        <v>25</v>
      </c>
      <c r="I61" s="29">
        <v>2</v>
      </c>
      <c r="J61" s="3" t="s">
        <v>25</v>
      </c>
      <c r="K61" s="30">
        <v>40.879668882099999</v>
      </c>
      <c r="L61" s="30">
        <v>71.946328058800006</v>
      </c>
      <c r="M61" s="14">
        <v>100</v>
      </c>
    </row>
    <row r="62" spans="1:13" ht="30" customHeight="1">
      <c r="A62" s="7" t="s">
        <v>13</v>
      </c>
      <c r="B62" s="30" t="s">
        <v>384</v>
      </c>
      <c r="C62" s="30" t="s">
        <v>92</v>
      </c>
      <c r="D62" s="27">
        <v>21859.85240519225</v>
      </c>
      <c r="E62" s="28">
        <v>17745.880067997474</v>
      </c>
      <c r="F62" s="27">
        <f t="shared" si="1"/>
        <v>4113.9723371947766</v>
      </c>
      <c r="G62" s="27">
        <f t="shared" si="0"/>
        <v>18.819762644955496</v>
      </c>
      <c r="H62" s="29">
        <v>56</v>
      </c>
      <c r="I62" s="29">
        <v>3</v>
      </c>
      <c r="J62" s="3" t="s">
        <v>17</v>
      </c>
      <c r="K62" s="30">
        <v>40.889975940799999</v>
      </c>
      <c r="L62" s="30">
        <v>71.955590816200001</v>
      </c>
      <c r="M62" s="14">
        <v>100</v>
      </c>
    </row>
    <row r="63" spans="1:13" ht="30" customHeight="1">
      <c r="A63" s="7" t="s">
        <v>13</v>
      </c>
      <c r="B63" s="30" t="s">
        <v>387</v>
      </c>
      <c r="C63" s="30" t="s">
        <v>175</v>
      </c>
      <c r="D63" s="27">
        <v>40178.518895192254</v>
      </c>
      <c r="E63" s="28">
        <v>33770.14540133081</v>
      </c>
      <c r="F63" s="27">
        <f t="shared" si="1"/>
        <v>6408.3734938614434</v>
      </c>
      <c r="G63" s="27">
        <f t="shared" si="0"/>
        <v>15.949750438979638</v>
      </c>
      <c r="H63" s="29">
        <v>34</v>
      </c>
      <c r="I63" s="29">
        <v>2</v>
      </c>
      <c r="J63" s="3" t="s">
        <v>28</v>
      </c>
      <c r="K63" s="30">
        <v>40.879336666500002</v>
      </c>
      <c r="L63" s="30">
        <v>71.986581666700005</v>
      </c>
      <c r="M63" s="14">
        <v>100</v>
      </c>
    </row>
    <row r="64" spans="1:13" ht="30" customHeight="1">
      <c r="A64" s="7" t="s">
        <v>13</v>
      </c>
      <c r="B64" s="30" t="s">
        <v>387</v>
      </c>
      <c r="C64" s="30" t="s">
        <v>176</v>
      </c>
      <c r="D64" s="27">
        <v>42166.294555192253</v>
      </c>
      <c r="E64" s="28">
        <v>35748.370567997474</v>
      </c>
      <c r="F64" s="27">
        <f t="shared" si="1"/>
        <v>6417.9239871947793</v>
      </c>
      <c r="G64" s="27">
        <f t="shared" si="0"/>
        <v>15.220507409761222</v>
      </c>
      <c r="H64" s="29">
        <v>152</v>
      </c>
      <c r="I64" s="29">
        <v>0</v>
      </c>
      <c r="J64" s="4" t="s">
        <v>29</v>
      </c>
      <c r="K64" s="30">
        <v>40.884120000000003</v>
      </c>
      <c r="L64" s="30">
        <v>71.971571666700001</v>
      </c>
      <c r="M64" s="14">
        <v>160</v>
      </c>
    </row>
    <row r="65" spans="1:13" ht="30" customHeight="1">
      <c r="A65" s="7" t="s">
        <v>13</v>
      </c>
      <c r="B65" s="30" t="s">
        <v>384</v>
      </c>
      <c r="C65" s="30" t="s">
        <v>111</v>
      </c>
      <c r="D65" s="27">
        <v>23850.306845192255</v>
      </c>
      <c r="E65" s="28">
        <v>19486.668901330817</v>
      </c>
      <c r="F65" s="27">
        <f t="shared" si="1"/>
        <v>4363.6379438614385</v>
      </c>
      <c r="G65" s="27">
        <f t="shared" si="0"/>
        <v>18.295940476510307</v>
      </c>
      <c r="H65" s="29">
        <v>67</v>
      </c>
      <c r="I65" s="29">
        <v>0</v>
      </c>
      <c r="J65" s="4" t="s">
        <v>29</v>
      </c>
      <c r="K65" s="30">
        <v>40.883293333300003</v>
      </c>
      <c r="L65" s="30">
        <v>71.964291666700007</v>
      </c>
      <c r="M65" s="14">
        <v>100</v>
      </c>
    </row>
    <row r="66" spans="1:13" ht="30" customHeight="1">
      <c r="A66" s="7" t="s">
        <v>13</v>
      </c>
      <c r="B66" s="30" t="s">
        <v>388</v>
      </c>
      <c r="C66" s="30" t="s">
        <v>177</v>
      </c>
      <c r="D66" s="27">
        <v>32849.914815192256</v>
      </c>
      <c r="E66" s="28">
        <v>27352.007067997481</v>
      </c>
      <c r="F66" s="27">
        <f t="shared" si="1"/>
        <v>5497.9077471947749</v>
      </c>
      <c r="G66" s="27">
        <f t="shared" si="0"/>
        <v>16.73644445693397</v>
      </c>
      <c r="H66" s="29">
        <v>94</v>
      </c>
      <c r="I66" s="29">
        <v>2</v>
      </c>
      <c r="J66" s="4" t="s">
        <v>29</v>
      </c>
      <c r="K66" s="30">
        <v>40.876348333300001</v>
      </c>
      <c r="L66" s="30">
        <v>71.981988333299995</v>
      </c>
      <c r="M66" s="14">
        <v>100</v>
      </c>
    </row>
    <row r="67" spans="1:13" ht="30" customHeight="1">
      <c r="A67" s="7" t="s">
        <v>13</v>
      </c>
      <c r="B67" s="30" t="s">
        <v>384</v>
      </c>
      <c r="C67" s="30" t="s">
        <v>110</v>
      </c>
      <c r="D67" s="27">
        <v>21794.182445192251</v>
      </c>
      <c r="E67" s="28">
        <v>17678.168067997478</v>
      </c>
      <c r="F67" s="27">
        <f t="shared" si="1"/>
        <v>4116.0143771947733</v>
      </c>
      <c r="G67" s="27">
        <f t="shared" ref="G67:G130" si="2">+F67*100/D67</f>
        <v>18.88583977648933</v>
      </c>
      <c r="H67" s="29">
        <v>80</v>
      </c>
      <c r="I67" s="29">
        <v>2</v>
      </c>
      <c r="J67" s="4" t="s">
        <v>29</v>
      </c>
      <c r="K67" s="30">
        <v>40.883031666699999</v>
      </c>
      <c r="L67" s="30">
        <v>71.961638333300002</v>
      </c>
      <c r="M67" s="14">
        <v>250</v>
      </c>
    </row>
    <row r="68" spans="1:13" ht="30" customHeight="1">
      <c r="A68" s="7" t="s">
        <v>13</v>
      </c>
      <c r="B68" s="30" t="s">
        <v>384</v>
      </c>
      <c r="C68" s="30" t="s">
        <v>119</v>
      </c>
      <c r="D68" s="27">
        <v>28238.015745192257</v>
      </c>
      <c r="E68" s="28">
        <v>23307.482901330812</v>
      </c>
      <c r="F68" s="27">
        <f t="shared" si="1"/>
        <v>4930.5328438614451</v>
      </c>
      <c r="G68" s="27">
        <f t="shared" si="2"/>
        <v>17.460620775738843</v>
      </c>
      <c r="H68" s="29">
        <v>83</v>
      </c>
      <c r="I68" s="29">
        <v>3</v>
      </c>
      <c r="J68" s="4" t="s">
        <v>28</v>
      </c>
      <c r="K68" s="30">
        <v>40.893335</v>
      </c>
      <c r="L68" s="30">
        <v>71.929253333299997</v>
      </c>
      <c r="M68" s="14">
        <v>160</v>
      </c>
    </row>
    <row r="69" spans="1:13" ht="30" customHeight="1">
      <c r="A69" s="7" t="s">
        <v>13</v>
      </c>
      <c r="B69" s="30" t="s">
        <v>384</v>
      </c>
      <c r="C69" s="30" t="s">
        <v>115</v>
      </c>
      <c r="D69" s="27">
        <v>24499.316325192252</v>
      </c>
      <c r="E69" s="28">
        <v>19933.305734664144</v>
      </c>
      <c r="F69" s="27">
        <f t="shared" ref="F69:F132" si="3">+D69-E69</f>
        <v>4566.0105905281089</v>
      </c>
      <c r="G69" s="27">
        <f t="shared" si="2"/>
        <v>18.637297996078992</v>
      </c>
      <c r="H69" s="29">
        <v>67</v>
      </c>
      <c r="I69" s="29">
        <v>0</v>
      </c>
      <c r="J69" s="4" t="s">
        <v>28</v>
      </c>
      <c r="K69" s="30">
        <v>40.891123333300001</v>
      </c>
      <c r="L69" s="30">
        <v>71.940986666699999</v>
      </c>
      <c r="M69" s="14">
        <v>100</v>
      </c>
    </row>
    <row r="70" spans="1:13" ht="30" customHeight="1">
      <c r="A70" s="7" t="s">
        <v>13</v>
      </c>
      <c r="B70" s="30" t="s">
        <v>384</v>
      </c>
      <c r="C70" s="30" t="s">
        <v>105</v>
      </c>
      <c r="D70" s="27">
        <v>21333.524605192251</v>
      </c>
      <c r="E70" s="28">
        <v>17304.532401330809</v>
      </c>
      <c r="F70" s="27">
        <f t="shared" si="3"/>
        <v>4028.9922038614422</v>
      </c>
      <c r="G70" s="27">
        <f t="shared" si="2"/>
        <v>18.885731628616341</v>
      </c>
      <c r="H70" s="29">
        <v>33</v>
      </c>
      <c r="I70" s="29">
        <v>2</v>
      </c>
      <c r="J70" s="6" t="s">
        <v>28</v>
      </c>
      <c r="K70" s="30">
        <v>40.880083115799998</v>
      </c>
      <c r="L70" s="30">
        <v>71.942641781600003</v>
      </c>
      <c r="M70" s="14">
        <v>250</v>
      </c>
    </row>
    <row r="71" spans="1:13" ht="30" customHeight="1">
      <c r="A71" s="7" t="s">
        <v>13</v>
      </c>
      <c r="B71" s="30" t="s">
        <v>384</v>
      </c>
      <c r="C71" s="30" t="s">
        <v>98</v>
      </c>
      <c r="D71" s="27">
        <v>21393.631005192248</v>
      </c>
      <c r="E71" s="28">
        <v>17096.065734664146</v>
      </c>
      <c r="F71" s="27">
        <f t="shared" si="3"/>
        <v>4297.5652705281027</v>
      </c>
      <c r="G71" s="27">
        <f t="shared" si="2"/>
        <v>20.08805924288907</v>
      </c>
      <c r="H71" s="29">
        <v>143</v>
      </c>
      <c r="I71" s="29">
        <v>2</v>
      </c>
      <c r="J71" s="6" t="s">
        <v>29</v>
      </c>
      <c r="K71" s="30">
        <v>40.874026666600002</v>
      </c>
      <c r="L71" s="30">
        <v>72.094549999700007</v>
      </c>
      <c r="M71" s="19">
        <v>100</v>
      </c>
    </row>
    <row r="72" spans="1:13" ht="30" customHeight="1">
      <c r="A72" s="5" t="s">
        <v>30</v>
      </c>
      <c r="B72" s="30" t="s">
        <v>386</v>
      </c>
      <c r="C72" s="30" t="s">
        <v>178</v>
      </c>
      <c r="D72" s="27">
        <v>23732.277035192252</v>
      </c>
      <c r="E72" s="28">
        <v>19483.42090133081</v>
      </c>
      <c r="F72" s="27">
        <f t="shared" si="3"/>
        <v>4248.8561338614418</v>
      </c>
      <c r="G72" s="27">
        <f t="shared" si="2"/>
        <v>17.903280530396952</v>
      </c>
      <c r="H72" s="29">
        <v>72</v>
      </c>
      <c r="I72" s="29">
        <v>2</v>
      </c>
      <c r="J72" s="6" t="s">
        <v>31</v>
      </c>
      <c r="K72" s="30">
        <v>40.875187246099998</v>
      </c>
      <c r="L72" s="30">
        <v>71.961364354899999</v>
      </c>
      <c r="M72" s="20">
        <v>60</v>
      </c>
    </row>
    <row r="73" spans="1:13" ht="30" customHeight="1">
      <c r="A73" s="5" t="s">
        <v>30</v>
      </c>
      <c r="B73" s="30" t="s">
        <v>384</v>
      </c>
      <c r="C73" s="30" t="s">
        <v>117</v>
      </c>
      <c r="D73" s="27">
        <v>21770.437655192251</v>
      </c>
      <c r="E73" s="28">
        <v>17743.945567997478</v>
      </c>
      <c r="F73" s="27">
        <f t="shared" si="3"/>
        <v>4026.4920871947725</v>
      </c>
      <c r="G73" s="27">
        <f t="shared" si="2"/>
        <v>18.495228028796443</v>
      </c>
      <c r="H73" s="29">
        <v>35</v>
      </c>
      <c r="I73" s="29">
        <v>0</v>
      </c>
      <c r="J73" s="3" t="s">
        <v>32</v>
      </c>
      <c r="K73" s="30">
        <v>40.876370000000001</v>
      </c>
      <c r="L73" s="30">
        <v>71.934290000000004</v>
      </c>
      <c r="M73" s="20">
        <v>100</v>
      </c>
    </row>
    <row r="74" spans="1:13" ht="30" customHeight="1">
      <c r="A74" s="5" t="s">
        <v>30</v>
      </c>
      <c r="B74" s="30" t="s">
        <v>387</v>
      </c>
      <c r="C74" s="30" t="s">
        <v>179</v>
      </c>
      <c r="D74" s="27">
        <v>18090.429255192252</v>
      </c>
      <c r="E74" s="28">
        <v>14452.534901330811</v>
      </c>
      <c r="F74" s="27">
        <f t="shared" si="3"/>
        <v>3637.8943538614403</v>
      </c>
      <c r="G74" s="27">
        <f t="shared" si="2"/>
        <v>20.109497140966429</v>
      </c>
      <c r="H74" s="29">
        <v>117</v>
      </c>
      <c r="I74" s="29">
        <v>2</v>
      </c>
      <c r="J74" s="3" t="s">
        <v>32</v>
      </c>
      <c r="K74" s="30">
        <v>40.871744999999997</v>
      </c>
      <c r="L74" s="30">
        <v>71.974869999999996</v>
      </c>
      <c r="M74" s="20">
        <v>160</v>
      </c>
    </row>
    <row r="75" spans="1:13" ht="30" customHeight="1">
      <c r="A75" s="5" t="s">
        <v>30</v>
      </c>
      <c r="B75" s="30" t="s">
        <v>387</v>
      </c>
      <c r="C75" s="30" t="s">
        <v>180</v>
      </c>
      <c r="D75" s="27">
        <v>16414.856815192252</v>
      </c>
      <c r="E75" s="28">
        <v>12748.30240133081</v>
      </c>
      <c r="F75" s="27">
        <f t="shared" si="3"/>
        <v>3666.5544138614423</v>
      </c>
      <c r="G75" s="27">
        <f t="shared" si="2"/>
        <v>22.336804122884452</v>
      </c>
      <c r="H75" s="29">
        <v>19</v>
      </c>
      <c r="I75" s="29">
        <v>0</v>
      </c>
      <c r="J75" s="3" t="s">
        <v>32</v>
      </c>
      <c r="K75" s="30">
        <v>40.876070782500001</v>
      </c>
      <c r="L75" s="30">
        <v>71.971403360400004</v>
      </c>
      <c r="M75" s="20">
        <v>250</v>
      </c>
    </row>
    <row r="76" spans="1:13" ht="30" customHeight="1">
      <c r="A76" s="5" t="s">
        <v>30</v>
      </c>
      <c r="B76" s="30" t="s">
        <v>387</v>
      </c>
      <c r="C76" s="30" t="s">
        <v>181</v>
      </c>
      <c r="D76" s="27">
        <v>24013.111705192256</v>
      </c>
      <c r="E76" s="28">
        <v>19625.899734664148</v>
      </c>
      <c r="F76" s="27">
        <f t="shared" si="3"/>
        <v>4387.2119705281075</v>
      </c>
      <c r="G76" s="27">
        <f t="shared" si="2"/>
        <v>18.270068554170258</v>
      </c>
      <c r="H76" s="29">
        <v>68</v>
      </c>
      <c r="I76" s="29">
        <v>0</v>
      </c>
      <c r="J76" s="3" t="s">
        <v>34</v>
      </c>
      <c r="K76" s="30">
        <v>40.882694999999998</v>
      </c>
      <c r="L76" s="30">
        <v>71.966549999999998</v>
      </c>
      <c r="M76" s="20">
        <v>250</v>
      </c>
    </row>
    <row r="77" spans="1:13" ht="30" customHeight="1">
      <c r="A77" s="5" t="s">
        <v>30</v>
      </c>
      <c r="B77" s="30" t="s">
        <v>384</v>
      </c>
      <c r="C77" s="30" t="s">
        <v>104</v>
      </c>
      <c r="D77" s="27">
        <v>23239.312605192248</v>
      </c>
      <c r="E77" s="28">
        <v>19101.497401330809</v>
      </c>
      <c r="F77" s="27">
        <f t="shared" si="3"/>
        <v>4137.8152038614389</v>
      </c>
      <c r="G77" s="27">
        <f t="shared" si="2"/>
        <v>17.80523922612473</v>
      </c>
      <c r="H77" s="29">
        <v>103</v>
      </c>
      <c r="I77" s="29">
        <v>0</v>
      </c>
      <c r="J77" s="3" t="s">
        <v>34</v>
      </c>
      <c r="K77" s="30">
        <v>40.881264999999999</v>
      </c>
      <c r="L77" s="30">
        <v>71.952876666700007</v>
      </c>
      <c r="M77" s="20">
        <v>160</v>
      </c>
    </row>
    <row r="78" spans="1:13" ht="30" customHeight="1">
      <c r="A78" s="5" t="s">
        <v>30</v>
      </c>
      <c r="B78" s="30" t="s">
        <v>387</v>
      </c>
      <c r="C78" s="30" t="s">
        <v>182</v>
      </c>
      <c r="D78" s="27">
        <v>27131.191005192253</v>
      </c>
      <c r="E78" s="28">
        <v>22225.399067997481</v>
      </c>
      <c r="F78" s="27">
        <f t="shared" si="3"/>
        <v>4905.7919371947719</v>
      </c>
      <c r="G78" s="27">
        <f t="shared" si="2"/>
        <v>18.081741919313171</v>
      </c>
      <c r="H78" s="29">
        <v>101</v>
      </c>
      <c r="I78" s="29">
        <v>0</v>
      </c>
      <c r="J78" s="3" t="s">
        <v>35</v>
      </c>
      <c r="K78" s="30">
        <v>40.879336666500002</v>
      </c>
      <c r="L78" s="30">
        <v>71.986581666700005</v>
      </c>
      <c r="M78" s="20">
        <v>100</v>
      </c>
    </row>
    <row r="79" spans="1:13" ht="30" customHeight="1">
      <c r="A79" s="5" t="s">
        <v>30</v>
      </c>
      <c r="B79" s="30" t="s">
        <v>387</v>
      </c>
      <c r="C79" s="30" t="s">
        <v>183</v>
      </c>
      <c r="D79" s="27">
        <v>40410.647635192254</v>
      </c>
      <c r="E79" s="28">
        <v>34079.659067997476</v>
      </c>
      <c r="F79" s="27">
        <f t="shared" si="3"/>
        <v>6330.9885671947777</v>
      </c>
      <c r="G79" s="27">
        <f t="shared" si="2"/>
        <v>15.666634755146404</v>
      </c>
      <c r="H79" s="29">
        <v>112</v>
      </c>
      <c r="I79" s="29">
        <v>3</v>
      </c>
      <c r="J79" s="3" t="s">
        <v>36</v>
      </c>
      <c r="K79" s="30">
        <v>40.874789999999997</v>
      </c>
      <c r="L79" s="30">
        <v>71.973321666700002</v>
      </c>
      <c r="M79" s="20">
        <v>160</v>
      </c>
    </row>
    <row r="80" spans="1:13" ht="30" customHeight="1">
      <c r="A80" s="5" t="s">
        <v>30</v>
      </c>
      <c r="B80" s="30" t="s">
        <v>387</v>
      </c>
      <c r="C80" s="30" t="s">
        <v>184</v>
      </c>
      <c r="D80" s="27">
        <v>20138.673265192247</v>
      </c>
      <c r="E80" s="28">
        <v>16303.119067997475</v>
      </c>
      <c r="F80" s="27">
        <f t="shared" si="3"/>
        <v>3835.5541971947714</v>
      </c>
      <c r="G80" s="27">
        <f t="shared" si="2"/>
        <v>19.045714415676809</v>
      </c>
      <c r="H80" s="29">
        <v>62</v>
      </c>
      <c r="I80" s="29">
        <v>2</v>
      </c>
      <c r="J80" s="3" t="s">
        <v>37</v>
      </c>
      <c r="K80" s="30">
        <v>40.870626666699998</v>
      </c>
      <c r="L80" s="30">
        <v>72.030681666700005</v>
      </c>
      <c r="M80" s="20">
        <v>160</v>
      </c>
    </row>
    <row r="81" spans="1:13" ht="30" customHeight="1">
      <c r="A81" s="5" t="s">
        <v>30</v>
      </c>
      <c r="B81" s="30" t="s">
        <v>387</v>
      </c>
      <c r="C81" s="30" t="s">
        <v>185</v>
      </c>
      <c r="D81" s="27">
        <v>20936.670605192248</v>
      </c>
      <c r="E81" s="28">
        <v>16941.402567997477</v>
      </c>
      <c r="F81" s="27">
        <f t="shared" si="3"/>
        <v>3995.2680371947718</v>
      </c>
      <c r="G81" s="27">
        <f t="shared" si="2"/>
        <v>19.082633110748535</v>
      </c>
      <c r="H81" s="29">
        <v>100</v>
      </c>
      <c r="I81" s="29">
        <v>2</v>
      </c>
      <c r="J81" s="3" t="s">
        <v>38</v>
      </c>
      <c r="K81" s="30">
        <v>40.885669999999998</v>
      </c>
      <c r="L81" s="30">
        <v>71.975136666699996</v>
      </c>
      <c r="M81" s="20">
        <v>160</v>
      </c>
    </row>
    <row r="82" spans="1:13" ht="30" customHeight="1">
      <c r="A82" s="7" t="s">
        <v>13</v>
      </c>
      <c r="B82" s="30" t="s">
        <v>387</v>
      </c>
      <c r="C82" s="30" t="s">
        <v>186</v>
      </c>
      <c r="D82" s="27">
        <v>20195.175695192243</v>
      </c>
      <c r="E82" s="28">
        <v>16435.004901330809</v>
      </c>
      <c r="F82" s="27">
        <f t="shared" si="3"/>
        <v>3760.1707938614345</v>
      </c>
      <c r="G82" s="27">
        <f t="shared" si="2"/>
        <v>18.619153656368528</v>
      </c>
      <c r="H82" s="29">
        <v>84</v>
      </c>
      <c r="I82" s="29">
        <v>3</v>
      </c>
      <c r="J82" s="3" t="s">
        <v>23</v>
      </c>
      <c r="K82" s="30">
        <v>40.875881666700003</v>
      </c>
      <c r="L82" s="30">
        <v>71.976506666700004</v>
      </c>
      <c r="M82" s="20">
        <v>63</v>
      </c>
    </row>
    <row r="83" spans="1:13" ht="30" customHeight="1">
      <c r="A83" s="5" t="s">
        <v>30</v>
      </c>
      <c r="B83" s="30" t="s">
        <v>389</v>
      </c>
      <c r="C83" s="30" t="s">
        <v>187</v>
      </c>
      <c r="D83" s="27">
        <v>24357.356785192256</v>
      </c>
      <c r="E83" s="28">
        <v>19928.999901330812</v>
      </c>
      <c r="F83" s="27">
        <f t="shared" si="3"/>
        <v>4428.3568838614447</v>
      </c>
      <c r="G83" s="27">
        <f t="shared" si="2"/>
        <v>18.180777671876154</v>
      </c>
      <c r="H83" s="29">
        <v>160</v>
      </c>
      <c r="I83" s="29">
        <v>2</v>
      </c>
      <c r="J83" s="3" t="s">
        <v>39</v>
      </c>
      <c r="K83" s="30">
        <v>40.876424999999998</v>
      </c>
      <c r="L83" s="30">
        <v>72.024273333300002</v>
      </c>
      <c r="M83" s="20">
        <v>100</v>
      </c>
    </row>
    <row r="84" spans="1:13" ht="30" customHeight="1">
      <c r="A84" s="7" t="s">
        <v>13</v>
      </c>
      <c r="B84" s="30" t="s">
        <v>387</v>
      </c>
      <c r="C84" s="30" t="s">
        <v>188</v>
      </c>
      <c r="D84" s="27">
        <v>19790.804635192246</v>
      </c>
      <c r="E84" s="28">
        <v>15927.996067997476</v>
      </c>
      <c r="F84" s="27">
        <f t="shared" si="3"/>
        <v>3862.8085671947701</v>
      </c>
      <c r="G84" s="27">
        <f t="shared" si="2"/>
        <v>19.518198670537515</v>
      </c>
      <c r="H84" s="29">
        <v>175</v>
      </c>
      <c r="I84" s="29">
        <v>2</v>
      </c>
      <c r="J84" s="3"/>
      <c r="K84" s="30">
        <v>40.870156999999999</v>
      </c>
      <c r="L84" s="30">
        <v>71.971063000000001</v>
      </c>
      <c r="M84" s="20">
        <v>100</v>
      </c>
    </row>
    <row r="85" spans="1:13" ht="30" customHeight="1">
      <c r="A85" s="7" t="s">
        <v>13</v>
      </c>
      <c r="B85" s="30" t="s">
        <v>388</v>
      </c>
      <c r="C85" s="30" t="s">
        <v>189</v>
      </c>
      <c r="D85" s="27">
        <v>23716.983555192252</v>
      </c>
      <c r="E85" s="28">
        <v>19663.659901330811</v>
      </c>
      <c r="F85" s="27">
        <f t="shared" si="3"/>
        <v>4053.3236538614401</v>
      </c>
      <c r="G85" s="27">
        <f t="shared" si="2"/>
        <v>17.090384383953687</v>
      </c>
      <c r="H85" s="29">
        <v>81</v>
      </c>
      <c r="I85" s="29">
        <v>2</v>
      </c>
      <c r="J85" s="3"/>
      <c r="K85" s="30">
        <v>40.8745966667</v>
      </c>
      <c r="L85" s="30">
        <v>71.988754999999998</v>
      </c>
      <c r="M85" s="20">
        <v>160</v>
      </c>
    </row>
    <row r="86" spans="1:13" ht="30" customHeight="1">
      <c r="A86" s="7" t="s">
        <v>13</v>
      </c>
      <c r="B86" s="30" t="s">
        <v>389</v>
      </c>
      <c r="C86" s="30" t="s">
        <v>190</v>
      </c>
      <c r="D86" s="27">
        <v>21367.880915192247</v>
      </c>
      <c r="E86" s="28">
        <v>17443.683401330811</v>
      </c>
      <c r="F86" s="27">
        <f t="shared" si="3"/>
        <v>3924.1975138614362</v>
      </c>
      <c r="G86" s="27">
        <f t="shared" si="2"/>
        <v>18.364935341208263</v>
      </c>
      <c r="H86" s="29">
        <v>63</v>
      </c>
      <c r="I86" s="29">
        <v>2</v>
      </c>
      <c r="J86" s="4"/>
      <c r="K86" s="30">
        <v>40.878901666700003</v>
      </c>
      <c r="L86" s="30">
        <v>72.031078333300002</v>
      </c>
      <c r="M86" s="20">
        <v>250</v>
      </c>
    </row>
    <row r="87" spans="1:13" ht="30" customHeight="1">
      <c r="A87" s="7" t="s">
        <v>13</v>
      </c>
      <c r="B87" s="30" t="s">
        <v>389</v>
      </c>
      <c r="C87" s="30" t="s">
        <v>191</v>
      </c>
      <c r="D87" s="27">
        <v>21213.565055192248</v>
      </c>
      <c r="E87" s="28">
        <v>17462.543401330811</v>
      </c>
      <c r="F87" s="27">
        <f t="shared" si="3"/>
        <v>3751.0216538614368</v>
      </c>
      <c r="G87" s="27">
        <f t="shared" si="2"/>
        <v>17.68218422552853</v>
      </c>
      <c r="H87" s="29">
        <v>42</v>
      </c>
      <c r="I87" s="29">
        <v>0</v>
      </c>
      <c r="J87" s="4"/>
      <c r="K87" s="30">
        <v>40.877465000000001</v>
      </c>
      <c r="L87" s="30">
        <v>72.08811</v>
      </c>
      <c r="M87" s="20">
        <v>100</v>
      </c>
    </row>
    <row r="88" spans="1:13" ht="30" customHeight="1">
      <c r="A88" s="7" t="s">
        <v>13</v>
      </c>
      <c r="B88" s="30" t="s">
        <v>389</v>
      </c>
      <c r="C88" s="30" t="s">
        <v>192</v>
      </c>
      <c r="D88" s="27">
        <v>20563.674665192248</v>
      </c>
      <c r="E88" s="28">
        <v>16605.455067997475</v>
      </c>
      <c r="F88" s="27">
        <f t="shared" si="3"/>
        <v>3958.2195971947731</v>
      </c>
      <c r="G88" s="27">
        <f t="shared" si="2"/>
        <v>19.248600562110518</v>
      </c>
      <c r="H88" s="29">
        <v>98</v>
      </c>
      <c r="I88" s="29">
        <v>2</v>
      </c>
      <c r="J88" s="4"/>
      <c r="K88" s="30">
        <v>40.875194999999998</v>
      </c>
      <c r="L88" s="30">
        <v>72.038955000000001</v>
      </c>
      <c r="M88" s="20">
        <v>100</v>
      </c>
    </row>
    <row r="89" spans="1:13" ht="30" customHeight="1">
      <c r="A89" s="7" t="s">
        <v>13</v>
      </c>
      <c r="B89" s="30" t="s">
        <v>389</v>
      </c>
      <c r="C89" s="30" t="s">
        <v>193</v>
      </c>
      <c r="D89" s="27">
        <v>17690.916015192248</v>
      </c>
      <c r="E89" s="28">
        <v>14097.23440133081</v>
      </c>
      <c r="F89" s="27">
        <f t="shared" si="3"/>
        <v>3593.6816138614377</v>
      </c>
      <c r="G89" s="27">
        <f t="shared" si="2"/>
        <v>20.313711346406983</v>
      </c>
      <c r="H89" s="29">
        <v>80</v>
      </c>
      <c r="I89" s="29">
        <v>0</v>
      </c>
      <c r="J89" s="4" t="s">
        <v>14</v>
      </c>
      <c r="K89" s="30">
        <v>40.879893333299997</v>
      </c>
      <c r="L89" s="30">
        <v>72.067336666700001</v>
      </c>
      <c r="M89" s="20">
        <v>250</v>
      </c>
    </row>
    <row r="90" spans="1:13" ht="30" customHeight="1">
      <c r="A90" s="7" t="s">
        <v>13</v>
      </c>
      <c r="B90" s="30" t="s">
        <v>389</v>
      </c>
      <c r="C90" s="30" t="s">
        <v>194</v>
      </c>
      <c r="D90" s="27">
        <v>24484.152685192254</v>
      </c>
      <c r="E90" s="28">
        <v>20028.392234664148</v>
      </c>
      <c r="F90" s="27">
        <f t="shared" si="3"/>
        <v>4455.7604505281051</v>
      </c>
      <c r="G90" s="27">
        <f t="shared" si="2"/>
        <v>18.198548701352038</v>
      </c>
      <c r="H90" s="29">
        <v>86</v>
      </c>
      <c r="I90" s="29">
        <v>0</v>
      </c>
      <c r="J90" s="4" t="s">
        <v>24</v>
      </c>
      <c r="K90" s="30">
        <v>40.878976666699998</v>
      </c>
      <c r="L90" s="30">
        <v>72.029004999999998</v>
      </c>
      <c r="M90" s="14">
        <v>250</v>
      </c>
    </row>
    <row r="91" spans="1:13" ht="30" customHeight="1">
      <c r="A91" s="7" t="s">
        <v>13</v>
      </c>
      <c r="B91" s="30" t="s">
        <v>384</v>
      </c>
      <c r="C91" s="30" t="s">
        <v>121</v>
      </c>
      <c r="D91" s="27">
        <v>24344.525285192249</v>
      </c>
      <c r="E91" s="28">
        <v>20022.917901330809</v>
      </c>
      <c r="F91" s="27">
        <f t="shared" si="3"/>
        <v>4321.6073838614393</v>
      </c>
      <c r="G91" s="27">
        <f t="shared" si="2"/>
        <v>17.75186549433392</v>
      </c>
      <c r="H91" s="29">
        <v>132</v>
      </c>
      <c r="I91" s="29">
        <v>2</v>
      </c>
      <c r="J91" s="4" t="s">
        <v>23</v>
      </c>
      <c r="K91" s="30">
        <v>40.881158094900002</v>
      </c>
      <c r="L91" s="30">
        <v>71.960061555699994</v>
      </c>
      <c r="M91" s="14">
        <v>250</v>
      </c>
    </row>
    <row r="92" spans="1:13" ht="30" customHeight="1">
      <c r="A92" s="7" t="s">
        <v>13</v>
      </c>
      <c r="B92" s="30" t="s">
        <v>388</v>
      </c>
      <c r="C92" s="30" t="s">
        <v>195</v>
      </c>
      <c r="D92" s="27">
        <v>22945.754845192248</v>
      </c>
      <c r="E92" s="28">
        <v>18684.385734664145</v>
      </c>
      <c r="F92" s="27">
        <f t="shared" si="3"/>
        <v>4261.3691105281032</v>
      </c>
      <c r="G92" s="27">
        <f t="shared" si="2"/>
        <v>18.571492370934028</v>
      </c>
      <c r="H92" s="29">
        <v>101</v>
      </c>
      <c r="I92" s="29">
        <v>2</v>
      </c>
      <c r="J92" s="4" t="s">
        <v>40</v>
      </c>
      <c r="K92" s="30">
        <v>40.880791666699999</v>
      </c>
      <c r="L92" s="30">
        <v>72.024038333299998</v>
      </c>
      <c r="M92" s="14">
        <v>160</v>
      </c>
    </row>
    <row r="93" spans="1:13" ht="30" customHeight="1">
      <c r="A93" s="7" t="s">
        <v>13</v>
      </c>
      <c r="B93" s="30" t="s">
        <v>389</v>
      </c>
      <c r="C93" s="30" t="s">
        <v>196</v>
      </c>
      <c r="D93" s="27">
        <v>24513.323725192255</v>
      </c>
      <c r="E93" s="28">
        <v>20173.162567997482</v>
      </c>
      <c r="F93" s="27">
        <f t="shared" si="3"/>
        <v>4340.1611571947724</v>
      </c>
      <c r="G93" s="27">
        <f t="shared" si="2"/>
        <v>17.705314896708209</v>
      </c>
      <c r="H93" s="29">
        <v>102</v>
      </c>
      <c r="I93" s="29">
        <v>2</v>
      </c>
      <c r="J93" s="4" t="s">
        <v>23</v>
      </c>
      <c r="K93" s="30">
        <v>40.880018333300001</v>
      </c>
      <c r="L93" s="30">
        <v>72.078343333299998</v>
      </c>
      <c r="M93" s="14">
        <v>100</v>
      </c>
    </row>
    <row r="94" spans="1:13" ht="30" customHeight="1">
      <c r="A94" s="7" t="s">
        <v>13</v>
      </c>
      <c r="B94" s="30" t="s">
        <v>387</v>
      </c>
      <c r="C94" s="30" t="s">
        <v>197</v>
      </c>
      <c r="D94" s="27">
        <v>28647.274145192256</v>
      </c>
      <c r="E94" s="28">
        <v>23758.502067997477</v>
      </c>
      <c r="F94" s="27">
        <f t="shared" si="3"/>
        <v>4888.7720771947788</v>
      </c>
      <c r="G94" s="27">
        <f t="shared" si="2"/>
        <v>17.065400541835636</v>
      </c>
      <c r="H94" s="29">
        <v>157</v>
      </c>
      <c r="I94" s="29">
        <v>2</v>
      </c>
      <c r="J94" s="3" t="s">
        <v>14</v>
      </c>
      <c r="K94" s="30">
        <v>40.878603333299999</v>
      </c>
      <c r="L94" s="30">
        <v>71.966620000000006</v>
      </c>
      <c r="M94" s="14">
        <v>100</v>
      </c>
    </row>
    <row r="95" spans="1:13" ht="30" customHeight="1">
      <c r="A95" s="7" t="s">
        <v>13</v>
      </c>
      <c r="B95" s="30" t="s">
        <v>390</v>
      </c>
      <c r="C95" s="30" t="s">
        <v>198</v>
      </c>
      <c r="D95" s="27">
        <v>20309.820985192244</v>
      </c>
      <c r="E95" s="28">
        <v>16370.538401330808</v>
      </c>
      <c r="F95" s="27">
        <f t="shared" si="3"/>
        <v>3939.2825838614353</v>
      </c>
      <c r="G95" s="27">
        <f t="shared" si="2"/>
        <v>19.3959493130616</v>
      </c>
      <c r="H95" s="29">
        <v>104</v>
      </c>
      <c r="I95" s="29">
        <v>2</v>
      </c>
      <c r="J95" s="5" t="s">
        <v>40</v>
      </c>
      <c r="K95" s="30">
        <v>40.858133333300003</v>
      </c>
      <c r="L95" s="30">
        <v>72.060698333299996</v>
      </c>
      <c r="M95" s="14">
        <v>100</v>
      </c>
    </row>
    <row r="96" spans="1:13" ht="30" customHeight="1">
      <c r="A96" s="7" t="s">
        <v>13</v>
      </c>
      <c r="B96" s="30" t="s">
        <v>389</v>
      </c>
      <c r="C96" s="30" t="s">
        <v>199</v>
      </c>
      <c r="D96" s="27">
        <v>19430.166995192252</v>
      </c>
      <c r="E96" s="28">
        <v>15781.092901330812</v>
      </c>
      <c r="F96" s="27">
        <f t="shared" si="3"/>
        <v>3649.0740938614399</v>
      </c>
      <c r="G96" s="27">
        <f t="shared" si="2"/>
        <v>18.780456672165283</v>
      </c>
      <c r="H96" s="29">
        <v>71</v>
      </c>
      <c r="I96" s="29">
        <v>2</v>
      </c>
      <c r="J96" s="5" t="s">
        <v>40</v>
      </c>
      <c r="K96" s="30">
        <v>40.879048333299998</v>
      </c>
      <c r="L96" s="30">
        <v>72.052588333299994</v>
      </c>
      <c r="M96" s="14">
        <v>100</v>
      </c>
    </row>
    <row r="97" spans="1:13" ht="30" customHeight="1">
      <c r="A97" s="7" t="s">
        <v>13</v>
      </c>
      <c r="B97" s="30" t="s">
        <v>388</v>
      </c>
      <c r="C97" s="30" t="s">
        <v>200</v>
      </c>
      <c r="D97" s="27">
        <v>22226.539305192244</v>
      </c>
      <c r="E97" s="28">
        <v>18226.971734664141</v>
      </c>
      <c r="F97" s="27">
        <f t="shared" si="3"/>
        <v>3999.5675705281028</v>
      </c>
      <c r="G97" s="27">
        <f t="shared" si="2"/>
        <v>17.994558287325376</v>
      </c>
      <c r="H97" s="29">
        <v>65</v>
      </c>
      <c r="I97" s="29">
        <v>0</v>
      </c>
      <c r="J97" s="5"/>
      <c r="K97" s="30">
        <v>40.877659999999999</v>
      </c>
      <c r="L97" s="30">
        <v>72.015798333299998</v>
      </c>
      <c r="M97" s="14">
        <v>160</v>
      </c>
    </row>
    <row r="98" spans="1:13" ht="30" customHeight="1">
      <c r="A98" s="7" t="s">
        <v>13</v>
      </c>
      <c r="B98" s="30" t="s">
        <v>389</v>
      </c>
      <c r="C98" s="30" t="s">
        <v>201</v>
      </c>
      <c r="D98" s="27">
        <v>16394.383995192256</v>
      </c>
      <c r="E98" s="28">
        <v>12957.140567997476</v>
      </c>
      <c r="F98" s="27">
        <f t="shared" si="3"/>
        <v>3437.2434271947805</v>
      </c>
      <c r="G98" s="27">
        <f t="shared" si="2"/>
        <v>20.965980961546169</v>
      </c>
      <c r="H98" s="29">
        <v>23</v>
      </c>
      <c r="I98" s="29">
        <v>0</v>
      </c>
      <c r="J98" s="5" t="s">
        <v>14</v>
      </c>
      <c r="K98" s="30">
        <v>40.877465000000001</v>
      </c>
      <c r="L98" s="30">
        <v>72.08811</v>
      </c>
      <c r="M98" s="14">
        <v>160</v>
      </c>
    </row>
    <row r="99" spans="1:13" ht="30" customHeight="1">
      <c r="A99" s="7" t="s">
        <v>13</v>
      </c>
      <c r="B99" s="30" t="s">
        <v>389</v>
      </c>
      <c r="C99" s="30" t="s">
        <v>202</v>
      </c>
      <c r="D99" s="27">
        <v>20888.797755192249</v>
      </c>
      <c r="E99" s="28">
        <v>16896.954567997476</v>
      </c>
      <c r="F99" s="27">
        <f t="shared" si="3"/>
        <v>3991.8431871947723</v>
      </c>
      <c r="G99" s="27">
        <f t="shared" si="2"/>
        <v>19.109970970936011</v>
      </c>
      <c r="H99" s="29">
        <v>84</v>
      </c>
      <c r="I99" s="29">
        <v>2</v>
      </c>
      <c r="J99" s="5" t="s">
        <v>23</v>
      </c>
      <c r="K99" s="30">
        <v>40.875548333300003</v>
      </c>
      <c r="L99" s="30">
        <v>72.079404999999994</v>
      </c>
      <c r="M99" s="19">
        <v>160</v>
      </c>
    </row>
    <row r="100" spans="1:13" ht="30" customHeight="1">
      <c r="A100" s="7" t="s">
        <v>13</v>
      </c>
      <c r="B100" s="30" t="s">
        <v>389</v>
      </c>
      <c r="C100" s="30" t="s">
        <v>203</v>
      </c>
      <c r="D100" s="27">
        <v>18128.017915192249</v>
      </c>
      <c r="E100" s="28">
        <v>14475.16290133081</v>
      </c>
      <c r="F100" s="27">
        <f t="shared" si="3"/>
        <v>3652.8550138614391</v>
      </c>
      <c r="G100" s="27">
        <f t="shared" si="2"/>
        <v>20.150327691369672</v>
      </c>
      <c r="H100" s="29">
        <v>48</v>
      </c>
      <c r="I100" s="29">
        <v>2</v>
      </c>
      <c r="J100" s="12" t="s">
        <v>15</v>
      </c>
      <c r="K100" s="30">
        <v>40.883151666700002</v>
      </c>
      <c r="L100" s="30">
        <v>72.085181666699995</v>
      </c>
      <c r="M100" s="20">
        <v>63</v>
      </c>
    </row>
    <row r="101" spans="1:13" ht="30" customHeight="1">
      <c r="A101" s="7" t="s">
        <v>13</v>
      </c>
      <c r="B101" s="30" t="s">
        <v>390</v>
      </c>
      <c r="C101" s="30" t="s">
        <v>204</v>
      </c>
      <c r="D101" s="27">
        <v>21222.613075192246</v>
      </c>
      <c r="E101" s="28">
        <v>17363.391901330808</v>
      </c>
      <c r="F101" s="27">
        <f t="shared" si="3"/>
        <v>3859.2211738614387</v>
      </c>
      <c r="G101" s="27">
        <f t="shared" si="2"/>
        <v>18.184476907665054</v>
      </c>
      <c r="H101" s="29">
        <v>75</v>
      </c>
      <c r="I101" s="29">
        <v>2</v>
      </c>
      <c r="J101" s="12" t="s">
        <v>17</v>
      </c>
      <c r="K101" s="30">
        <v>40.858853333299997</v>
      </c>
      <c r="L101" s="30">
        <v>72.0770083333</v>
      </c>
      <c r="M101" s="20">
        <v>400</v>
      </c>
    </row>
    <row r="102" spans="1:13" ht="30" customHeight="1">
      <c r="A102" s="7" t="s">
        <v>13</v>
      </c>
      <c r="B102" s="30" t="s">
        <v>390</v>
      </c>
      <c r="C102" s="30" t="s">
        <v>205</v>
      </c>
      <c r="D102" s="27">
        <v>16115.701445192253</v>
      </c>
      <c r="E102" s="28">
        <v>12712.041567997478</v>
      </c>
      <c r="F102" s="27">
        <f t="shared" si="3"/>
        <v>3403.6598771947756</v>
      </c>
      <c r="G102" s="27">
        <f t="shared" si="2"/>
        <v>21.120147259926927</v>
      </c>
      <c r="H102" s="29">
        <v>18</v>
      </c>
      <c r="I102" s="29">
        <v>0</v>
      </c>
      <c r="J102" s="12" t="s">
        <v>17</v>
      </c>
      <c r="K102" s="30">
        <v>40.874026666600002</v>
      </c>
      <c r="L102" s="30">
        <v>72.094549999700007</v>
      </c>
      <c r="M102" s="20">
        <v>320</v>
      </c>
    </row>
    <row r="103" spans="1:13" ht="30" customHeight="1">
      <c r="A103" s="7" t="s">
        <v>13</v>
      </c>
      <c r="B103" s="30" t="s">
        <v>387</v>
      </c>
      <c r="C103" s="30" t="s">
        <v>206</v>
      </c>
      <c r="D103" s="27">
        <v>28585.538485192257</v>
      </c>
      <c r="E103" s="28">
        <v>23822.456734664149</v>
      </c>
      <c r="F103" s="27">
        <f t="shared" si="3"/>
        <v>4763.0817505281084</v>
      </c>
      <c r="G103" s="27">
        <f t="shared" si="2"/>
        <v>16.662557373181745</v>
      </c>
      <c r="H103" s="29">
        <v>157</v>
      </c>
      <c r="I103" s="29">
        <v>3</v>
      </c>
      <c r="J103" s="12" t="s">
        <v>17</v>
      </c>
      <c r="K103" s="30">
        <v>40.876869999999997</v>
      </c>
      <c r="L103" s="30">
        <v>71.973841666699997</v>
      </c>
      <c r="M103" s="20">
        <v>160</v>
      </c>
    </row>
    <row r="104" spans="1:13" ht="30" customHeight="1">
      <c r="A104" s="7" t="s">
        <v>13</v>
      </c>
      <c r="B104" s="30" t="s">
        <v>391</v>
      </c>
      <c r="C104" s="30" t="s">
        <v>207</v>
      </c>
      <c r="D104" s="27">
        <v>20158.251815192245</v>
      </c>
      <c r="E104" s="28">
        <v>16241.137567997477</v>
      </c>
      <c r="F104" s="27">
        <f t="shared" si="3"/>
        <v>3917.1142471947678</v>
      </c>
      <c r="G104" s="27">
        <f t="shared" si="2"/>
        <v>19.43181523430836</v>
      </c>
      <c r="H104" s="29">
        <v>71</v>
      </c>
      <c r="I104" s="29">
        <v>0</v>
      </c>
      <c r="J104" s="12" t="s">
        <v>17</v>
      </c>
      <c r="K104" s="30">
        <v>40.849305000000001</v>
      </c>
      <c r="L104" s="30">
        <v>72.038023333300004</v>
      </c>
      <c r="M104" s="20">
        <v>100</v>
      </c>
    </row>
    <row r="105" spans="1:13" ht="30" customHeight="1">
      <c r="A105" s="7" t="s">
        <v>13</v>
      </c>
      <c r="B105" s="30" t="s">
        <v>391</v>
      </c>
      <c r="C105" s="30" t="s">
        <v>208</v>
      </c>
      <c r="D105" s="27">
        <v>24214.335885192253</v>
      </c>
      <c r="E105" s="28">
        <v>19887.218234664142</v>
      </c>
      <c r="F105" s="27">
        <f t="shared" si="3"/>
        <v>4327.117650528111</v>
      </c>
      <c r="G105" s="27">
        <f t="shared" si="2"/>
        <v>17.870065365593057</v>
      </c>
      <c r="H105" s="29">
        <v>119</v>
      </c>
      <c r="I105" s="29">
        <v>9</v>
      </c>
      <c r="J105" s="12" t="s">
        <v>17</v>
      </c>
      <c r="K105" s="30">
        <v>40.848043333299998</v>
      </c>
      <c r="L105" s="30">
        <v>72.060901666700005</v>
      </c>
      <c r="M105" s="20">
        <v>160</v>
      </c>
    </row>
    <row r="106" spans="1:13" ht="30" customHeight="1">
      <c r="A106" s="7" t="s">
        <v>13</v>
      </c>
      <c r="B106" s="30" t="s">
        <v>387</v>
      </c>
      <c r="C106" s="30" t="s">
        <v>209</v>
      </c>
      <c r="D106" s="27">
        <v>25496.373885192254</v>
      </c>
      <c r="E106" s="28">
        <v>20906.922734664142</v>
      </c>
      <c r="F106" s="27">
        <f t="shared" si="3"/>
        <v>4589.4511505281116</v>
      </c>
      <c r="G106" s="27">
        <f t="shared" si="2"/>
        <v>18.000407317503161</v>
      </c>
      <c r="H106" s="29">
        <v>100</v>
      </c>
      <c r="I106" s="29">
        <v>0</v>
      </c>
      <c r="J106" s="12" t="s">
        <v>17</v>
      </c>
      <c r="K106" s="30">
        <v>40.8855233333</v>
      </c>
      <c r="L106" s="30">
        <v>71.964566666699994</v>
      </c>
      <c r="M106" s="20">
        <v>400</v>
      </c>
    </row>
    <row r="107" spans="1:13" ht="30" customHeight="1">
      <c r="A107" s="7" t="s">
        <v>13</v>
      </c>
      <c r="B107" s="30" t="s">
        <v>390</v>
      </c>
      <c r="C107" s="30" t="s">
        <v>210</v>
      </c>
      <c r="D107" s="27">
        <v>20966.87373519225</v>
      </c>
      <c r="E107" s="28">
        <v>17179.397567997476</v>
      </c>
      <c r="F107" s="27">
        <f t="shared" si="3"/>
        <v>3787.4761671947745</v>
      </c>
      <c r="G107" s="27">
        <f t="shared" si="2"/>
        <v>18.064095844854606</v>
      </c>
      <c r="H107" s="29">
        <v>123</v>
      </c>
      <c r="I107" s="29">
        <v>2</v>
      </c>
      <c r="J107" s="12" t="s">
        <v>19</v>
      </c>
      <c r="K107" s="30">
        <v>40.867975000000001</v>
      </c>
      <c r="L107" s="30">
        <v>72.100838333300004</v>
      </c>
      <c r="M107" s="20">
        <v>160</v>
      </c>
    </row>
    <row r="108" spans="1:13" ht="30" customHeight="1">
      <c r="A108" s="7" t="s">
        <v>13</v>
      </c>
      <c r="B108" s="30" t="s">
        <v>390</v>
      </c>
      <c r="C108" s="30" t="s">
        <v>211</v>
      </c>
      <c r="D108" s="27">
        <v>22753.816275192246</v>
      </c>
      <c r="E108" s="28">
        <v>18732.518901330812</v>
      </c>
      <c r="F108" s="27">
        <f t="shared" si="3"/>
        <v>4021.2973738614346</v>
      </c>
      <c r="G108" s="27">
        <f t="shared" si="2"/>
        <v>17.673067784438981</v>
      </c>
      <c r="H108" s="29">
        <v>85</v>
      </c>
      <c r="I108" s="29">
        <v>2</v>
      </c>
      <c r="J108" s="12" t="s">
        <v>21</v>
      </c>
      <c r="K108" s="30">
        <v>40.872354999999999</v>
      </c>
      <c r="L108" s="30">
        <v>72.101595000000003</v>
      </c>
      <c r="M108" s="20">
        <v>100</v>
      </c>
    </row>
    <row r="109" spans="1:13" ht="30" customHeight="1">
      <c r="A109" s="7" t="s">
        <v>13</v>
      </c>
      <c r="B109" s="30" t="s">
        <v>390</v>
      </c>
      <c r="C109" s="30" t="s">
        <v>212</v>
      </c>
      <c r="D109" s="27">
        <v>18576.38944519225</v>
      </c>
      <c r="E109" s="28">
        <v>14858.463234664145</v>
      </c>
      <c r="F109" s="27">
        <f t="shared" si="3"/>
        <v>3717.926210528105</v>
      </c>
      <c r="G109" s="27">
        <f t="shared" si="2"/>
        <v>20.014256384414576</v>
      </c>
      <c r="H109" s="29">
        <v>124</v>
      </c>
      <c r="I109" s="29">
        <v>2</v>
      </c>
      <c r="J109" s="12" t="s">
        <v>21</v>
      </c>
      <c r="K109" s="30">
        <v>40.874026666600002</v>
      </c>
      <c r="L109" s="30">
        <v>72.094549999700007</v>
      </c>
      <c r="M109" s="20">
        <v>100</v>
      </c>
    </row>
    <row r="110" spans="1:13" ht="30" customHeight="1">
      <c r="A110" s="7" t="s">
        <v>13</v>
      </c>
      <c r="B110" s="30" t="s">
        <v>387</v>
      </c>
      <c r="C110" s="30" t="s">
        <v>213</v>
      </c>
      <c r="D110" s="27">
        <v>18879.615415192249</v>
      </c>
      <c r="E110" s="28">
        <v>15117.341567997479</v>
      </c>
      <c r="F110" s="27">
        <f t="shared" si="3"/>
        <v>3762.2738471947705</v>
      </c>
      <c r="G110" s="27">
        <f t="shared" si="2"/>
        <v>19.927703845954955</v>
      </c>
      <c r="H110" s="29">
        <v>35</v>
      </c>
      <c r="I110" s="29">
        <v>0</v>
      </c>
      <c r="J110" s="12" t="s">
        <v>21</v>
      </c>
      <c r="K110" s="30">
        <v>40.887851666700001</v>
      </c>
      <c r="L110" s="30">
        <v>71.969193333299998</v>
      </c>
      <c r="M110" s="20">
        <v>160</v>
      </c>
    </row>
    <row r="111" spans="1:13" ht="30" customHeight="1">
      <c r="A111" s="5" t="s">
        <v>30</v>
      </c>
      <c r="B111" s="30" t="s">
        <v>389</v>
      </c>
      <c r="C111" s="30" t="s">
        <v>214</v>
      </c>
      <c r="D111" s="27">
        <v>22689.369015192249</v>
      </c>
      <c r="E111" s="28">
        <v>18466.487401330811</v>
      </c>
      <c r="F111" s="27">
        <f t="shared" si="3"/>
        <v>4222.8816138614384</v>
      </c>
      <c r="G111" s="27">
        <f t="shared" si="2"/>
        <v>18.611719043548103</v>
      </c>
      <c r="H111" s="29">
        <v>109</v>
      </c>
      <c r="I111" s="29">
        <v>2</v>
      </c>
      <c r="J111" s="12" t="s">
        <v>41</v>
      </c>
      <c r="K111" s="30">
        <v>40.877478333299997</v>
      </c>
      <c r="L111" s="30">
        <v>72.076426666700002</v>
      </c>
      <c r="M111" s="20">
        <v>250</v>
      </c>
    </row>
    <row r="112" spans="1:13" ht="30" customHeight="1">
      <c r="A112" s="5" t="s">
        <v>30</v>
      </c>
      <c r="B112" s="30" t="s">
        <v>390</v>
      </c>
      <c r="C112" s="30" t="s">
        <v>215</v>
      </c>
      <c r="D112" s="27">
        <v>20648.68248519225</v>
      </c>
      <c r="E112" s="28">
        <v>16668.28740133081</v>
      </c>
      <c r="F112" s="27">
        <f t="shared" si="3"/>
        <v>3980.3950838614401</v>
      </c>
      <c r="G112" s="27">
        <f t="shared" si="2"/>
        <v>19.276750885756964</v>
      </c>
      <c r="H112" s="29">
        <v>97</v>
      </c>
      <c r="I112" s="29">
        <v>2</v>
      </c>
      <c r="J112" s="12" t="s">
        <v>37</v>
      </c>
      <c r="K112" s="30">
        <v>40.870533333300003</v>
      </c>
      <c r="L112" s="30">
        <v>72.120976666700003</v>
      </c>
      <c r="M112" s="20">
        <v>100</v>
      </c>
    </row>
    <row r="113" spans="1:13" ht="30" customHeight="1">
      <c r="A113" s="5" t="s">
        <v>30</v>
      </c>
      <c r="B113" s="30" t="s">
        <v>390</v>
      </c>
      <c r="C113" s="30" t="s">
        <v>216</v>
      </c>
      <c r="D113" s="27">
        <v>19183.455645192247</v>
      </c>
      <c r="E113" s="28">
        <v>15387.656401330811</v>
      </c>
      <c r="F113" s="27">
        <f t="shared" si="3"/>
        <v>3795.7992438614365</v>
      </c>
      <c r="G113" s="27">
        <f t="shared" si="2"/>
        <v>19.786837752627424</v>
      </c>
      <c r="H113" s="29">
        <v>54</v>
      </c>
      <c r="I113" s="29">
        <v>2</v>
      </c>
      <c r="J113" s="12" t="s">
        <v>33</v>
      </c>
      <c r="K113" s="30">
        <v>40.859666666700001</v>
      </c>
      <c r="L113" s="30">
        <v>72.121076666700006</v>
      </c>
      <c r="M113" s="20">
        <v>63</v>
      </c>
    </row>
    <row r="114" spans="1:13" ht="30" customHeight="1">
      <c r="A114" s="5" t="s">
        <v>30</v>
      </c>
      <c r="B114" s="30" t="s">
        <v>390</v>
      </c>
      <c r="C114" s="30" t="s">
        <v>217</v>
      </c>
      <c r="D114" s="27">
        <v>19514.40843519225</v>
      </c>
      <c r="E114" s="28">
        <v>16048.100734664145</v>
      </c>
      <c r="F114" s="27">
        <f t="shared" si="3"/>
        <v>3466.3077005281048</v>
      </c>
      <c r="G114" s="27">
        <f t="shared" si="2"/>
        <v>17.762812088512874</v>
      </c>
      <c r="H114" s="29">
        <v>44</v>
      </c>
      <c r="I114" s="29">
        <v>0</v>
      </c>
      <c r="J114" s="12" t="s">
        <v>17</v>
      </c>
      <c r="K114" s="30">
        <v>40.8576716667</v>
      </c>
      <c r="L114" s="30">
        <v>72.123549999999994</v>
      </c>
      <c r="M114" s="14">
        <v>40</v>
      </c>
    </row>
    <row r="115" spans="1:13" ht="30" customHeight="1">
      <c r="A115" s="5" t="s">
        <v>30</v>
      </c>
      <c r="B115" s="30" t="s">
        <v>388</v>
      </c>
      <c r="C115" s="30" t="s">
        <v>218</v>
      </c>
      <c r="D115" s="27">
        <v>33064.654385192254</v>
      </c>
      <c r="E115" s="28">
        <v>27903.084067997479</v>
      </c>
      <c r="F115" s="27">
        <f t="shared" si="3"/>
        <v>5161.5703171947753</v>
      </c>
      <c r="G115" s="27">
        <f t="shared" si="2"/>
        <v>15.610537636547454</v>
      </c>
      <c r="H115" s="29">
        <v>111</v>
      </c>
      <c r="I115" s="29">
        <v>2</v>
      </c>
      <c r="J115" s="12" t="s">
        <v>34</v>
      </c>
      <c r="K115" s="30">
        <v>40.877068333300002</v>
      </c>
      <c r="L115" s="30">
        <v>71.983761666700005</v>
      </c>
      <c r="M115" s="14">
        <v>100</v>
      </c>
    </row>
    <row r="116" spans="1:13" ht="30" customHeight="1">
      <c r="A116" s="5" t="s">
        <v>30</v>
      </c>
      <c r="B116" s="30" t="s">
        <v>384</v>
      </c>
      <c r="C116" s="30" t="s">
        <v>94</v>
      </c>
      <c r="D116" s="27">
        <v>22347.185345192247</v>
      </c>
      <c r="E116" s="28">
        <v>18526.470734664144</v>
      </c>
      <c r="F116" s="27">
        <f t="shared" si="3"/>
        <v>3820.7146105281026</v>
      </c>
      <c r="G116" s="27">
        <f t="shared" si="2"/>
        <v>17.097073083300344</v>
      </c>
      <c r="H116" s="29">
        <v>88</v>
      </c>
      <c r="I116" s="29">
        <v>2</v>
      </c>
      <c r="J116" s="12" t="s">
        <v>34</v>
      </c>
      <c r="K116" s="30">
        <v>40.865369999999999</v>
      </c>
      <c r="L116" s="30">
        <v>71.96087</v>
      </c>
      <c r="M116" s="19">
        <v>160</v>
      </c>
    </row>
    <row r="117" spans="1:13" ht="30" customHeight="1">
      <c r="A117" s="5" t="s">
        <v>30</v>
      </c>
      <c r="B117" s="30" t="s">
        <v>390</v>
      </c>
      <c r="C117" s="30" t="s">
        <v>219</v>
      </c>
      <c r="D117" s="27">
        <v>19802.901635192255</v>
      </c>
      <c r="E117" s="28">
        <v>16300.500734664143</v>
      </c>
      <c r="F117" s="27">
        <f t="shared" si="3"/>
        <v>3502.4009005281114</v>
      </c>
      <c r="G117" s="27">
        <f t="shared" si="2"/>
        <v>17.686301558474153</v>
      </c>
      <c r="H117" s="29">
        <v>49</v>
      </c>
      <c r="I117" s="29">
        <v>2</v>
      </c>
      <c r="J117" s="12" t="s">
        <v>42</v>
      </c>
      <c r="K117" s="30">
        <v>40.858196666700003</v>
      </c>
      <c r="L117" s="30">
        <v>72.1313583333</v>
      </c>
      <c r="M117" s="14">
        <v>100</v>
      </c>
    </row>
    <row r="118" spans="1:13" ht="30" customHeight="1">
      <c r="A118" s="5" t="s">
        <v>30</v>
      </c>
      <c r="B118" s="30" t="s">
        <v>388</v>
      </c>
      <c r="C118" s="30" t="s">
        <v>220</v>
      </c>
      <c r="D118" s="27">
        <v>33556.522337192255</v>
      </c>
      <c r="E118" s="28">
        <v>28333.414734664148</v>
      </c>
      <c r="F118" s="27">
        <f t="shared" si="3"/>
        <v>5223.1076025281072</v>
      </c>
      <c r="G118" s="27">
        <f t="shared" si="2"/>
        <v>15.56510400584358</v>
      </c>
      <c r="H118" s="29">
        <v>168</v>
      </c>
      <c r="I118" s="29">
        <v>2</v>
      </c>
      <c r="J118" s="12" t="s">
        <v>42</v>
      </c>
      <c r="K118" s="30">
        <v>40.881914999999999</v>
      </c>
      <c r="L118" s="30">
        <v>71.997399999999999</v>
      </c>
      <c r="M118" s="22">
        <v>160</v>
      </c>
    </row>
    <row r="119" spans="1:13" ht="30" customHeight="1">
      <c r="A119" s="5" t="s">
        <v>30</v>
      </c>
      <c r="B119" s="30" t="s">
        <v>388</v>
      </c>
      <c r="C119" s="30" t="s">
        <v>221</v>
      </c>
      <c r="D119" s="27">
        <v>29533.199675192249</v>
      </c>
      <c r="E119" s="28">
        <v>24813.447401330814</v>
      </c>
      <c r="F119" s="27">
        <f t="shared" si="3"/>
        <v>4719.7522738614352</v>
      </c>
      <c r="G119" s="27">
        <f t="shared" si="2"/>
        <v>15.981174832966051</v>
      </c>
      <c r="H119" s="29">
        <v>138</v>
      </c>
      <c r="I119" s="29">
        <v>3</v>
      </c>
      <c r="J119" s="12" t="s">
        <v>22</v>
      </c>
      <c r="K119" s="30">
        <v>40.8827666667</v>
      </c>
      <c r="L119" s="30">
        <v>72.008274999999998</v>
      </c>
      <c r="M119" s="14">
        <v>250</v>
      </c>
    </row>
    <row r="120" spans="1:13" ht="30" customHeight="1">
      <c r="A120" s="5" t="s">
        <v>30</v>
      </c>
      <c r="B120" s="30" t="s">
        <v>390</v>
      </c>
      <c r="C120" s="30" t="s">
        <v>222</v>
      </c>
      <c r="D120" s="27">
        <v>21390.75723519225</v>
      </c>
      <c r="E120" s="28">
        <v>17689.700734664144</v>
      </c>
      <c r="F120" s="27">
        <f t="shared" si="3"/>
        <v>3701.056500528106</v>
      </c>
      <c r="G120" s="27">
        <f t="shared" si="2"/>
        <v>17.302129418958099</v>
      </c>
      <c r="H120" s="29">
        <v>86</v>
      </c>
      <c r="I120" s="29">
        <v>2</v>
      </c>
      <c r="J120" s="12" t="s">
        <v>22</v>
      </c>
      <c r="K120" s="30">
        <v>40.851415000000003</v>
      </c>
      <c r="L120" s="30">
        <v>72.131756666699999</v>
      </c>
      <c r="M120" s="14">
        <v>63</v>
      </c>
    </row>
    <row r="121" spans="1:13" ht="30" customHeight="1">
      <c r="A121" s="5" t="s">
        <v>30</v>
      </c>
      <c r="B121" s="30" t="s">
        <v>392</v>
      </c>
      <c r="C121" s="30" t="s">
        <v>223</v>
      </c>
      <c r="D121" s="27">
        <v>21504.291425192248</v>
      </c>
      <c r="E121" s="28">
        <v>17789.030734664146</v>
      </c>
      <c r="F121" s="27">
        <f t="shared" si="3"/>
        <v>3715.2606905281027</v>
      </c>
      <c r="G121" s="27">
        <f t="shared" si="2"/>
        <v>17.276833805254704</v>
      </c>
      <c r="H121" s="29">
        <v>110</v>
      </c>
      <c r="I121" s="29">
        <v>2</v>
      </c>
      <c r="J121" s="12" t="s">
        <v>22</v>
      </c>
      <c r="K121" s="30">
        <v>40.833135628299999</v>
      </c>
      <c r="L121" s="30">
        <v>72.203557438199994</v>
      </c>
      <c r="M121" s="14">
        <v>100</v>
      </c>
    </row>
    <row r="122" spans="1:13" ht="30" customHeight="1">
      <c r="A122" s="5" t="s">
        <v>30</v>
      </c>
      <c r="B122" s="30" t="s">
        <v>392</v>
      </c>
      <c r="C122" s="30" t="s">
        <v>224</v>
      </c>
      <c r="D122" s="27">
        <v>20768.957615192252</v>
      </c>
      <c r="E122" s="28">
        <v>17145.694067997476</v>
      </c>
      <c r="F122" s="27">
        <f t="shared" si="3"/>
        <v>3623.263547194776</v>
      </c>
      <c r="G122" s="27">
        <f t="shared" si="2"/>
        <v>17.445572446757755</v>
      </c>
      <c r="H122" s="29">
        <v>88</v>
      </c>
      <c r="I122" s="29">
        <v>0</v>
      </c>
      <c r="J122" s="12" t="s">
        <v>43</v>
      </c>
      <c r="K122" s="30">
        <v>40.830279691100003</v>
      </c>
      <c r="L122" s="30">
        <v>72.204835088899998</v>
      </c>
      <c r="M122" s="14">
        <v>250</v>
      </c>
    </row>
    <row r="123" spans="1:13" ht="30" customHeight="1">
      <c r="A123" s="5" t="s">
        <v>30</v>
      </c>
      <c r="B123" s="30" t="s">
        <v>392</v>
      </c>
      <c r="C123" s="30" t="s">
        <v>225</v>
      </c>
      <c r="D123" s="27">
        <v>23912.485745192247</v>
      </c>
      <c r="E123" s="28">
        <v>19895.937401330808</v>
      </c>
      <c r="F123" s="27">
        <f t="shared" si="3"/>
        <v>4016.5483438614392</v>
      </c>
      <c r="G123" s="27">
        <f t="shared" si="2"/>
        <v>16.796866652263414</v>
      </c>
      <c r="H123" s="29">
        <v>79</v>
      </c>
      <c r="I123" s="29">
        <v>2</v>
      </c>
      <c r="J123" s="12" t="s">
        <v>31</v>
      </c>
      <c r="K123" s="30">
        <v>40.838736666700001</v>
      </c>
      <c r="L123" s="30">
        <v>72.234039999999993</v>
      </c>
      <c r="M123" s="20">
        <v>180</v>
      </c>
    </row>
    <row r="124" spans="1:13" ht="30" customHeight="1">
      <c r="A124" s="5" t="s">
        <v>30</v>
      </c>
      <c r="B124" s="30" t="s">
        <v>388</v>
      </c>
      <c r="C124" s="30" t="s">
        <v>226</v>
      </c>
      <c r="D124" s="27">
        <v>25772.211515192252</v>
      </c>
      <c r="E124" s="28">
        <v>21522.994067997482</v>
      </c>
      <c r="F124" s="27">
        <f t="shared" si="3"/>
        <v>4249.2174471947692</v>
      </c>
      <c r="G124" s="27">
        <f t="shared" si="2"/>
        <v>16.487593409242091</v>
      </c>
      <c r="H124" s="29">
        <v>91</v>
      </c>
      <c r="I124" s="29">
        <v>2</v>
      </c>
      <c r="J124" s="12" t="s">
        <v>31</v>
      </c>
      <c r="K124" s="30">
        <v>40.8765683333</v>
      </c>
      <c r="L124" s="30">
        <v>71.988531666699998</v>
      </c>
      <c r="M124" s="20">
        <v>400</v>
      </c>
    </row>
    <row r="125" spans="1:13" ht="30" customHeight="1">
      <c r="A125" s="5" t="s">
        <v>30</v>
      </c>
      <c r="B125" s="30" t="s">
        <v>390</v>
      </c>
      <c r="C125" s="30" t="s">
        <v>227</v>
      </c>
      <c r="D125" s="27">
        <v>20439.087815192252</v>
      </c>
      <c r="E125" s="28">
        <v>16857.094067997477</v>
      </c>
      <c r="F125" s="27">
        <f t="shared" si="3"/>
        <v>3581.9937471947742</v>
      </c>
      <c r="G125" s="27">
        <f t="shared" si="2"/>
        <v>17.525213353857698</v>
      </c>
      <c r="H125" s="29">
        <v>98</v>
      </c>
      <c r="I125" s="29">
        <v>0</v>
      </c>
      <c r="J125" s="12" t="s">
        <v>44</v>
      </c>
      <c r="K125" s="30">
        <v>40.813206666600003</v>
      </c>
      <c r="L125" s="30">
        <v>72.109205000000003</v>
      </c>
      <c r="M125" s="14">
        <v>160</v>
      </c>
    </row>
    <row r="126" spans="1:13" ht="30" customHeight="1">
      <c r="A126" s="5" t="s">
        <v>30</v>
      </c>
      <c r="B126" s="30" t="s">
        <v>390</v>
      </c>
      <c r="C126" s="30" t="s">
        <v>228</v>
      </c>
      <c r="D126" s="27">
        <v>66905.230595192232</v>
      </c>
      <c r="E126" s="28">
        <v>57509.887401330801</v>
      </c>
      <c r="F126" s="27">
        <f t="shared" si="3"/>
        <v>9395.3431938614303</v>
      </c>
      <c r="G126" s="27">
        <f t="shared" si="2"/>
        <v>14.042763338949726</v>
      </c>
      <c r="H126" s="29">
        <v>65</v>
      </c>
      <c r="I126" s="29">
        <v>2</v>
      </c>
      <c r="J126" s="12" t="s">
        <v>44</v>
      </c>
      <c r="K126" s="30">
        <v>40.849451666699998</v>
      </c>
      <c r="L126" s="30">
        <v>72.135064999999997</v>
      </c>
      <c r="M126" s="22">
        <v>160</v>
      </c>
    </row>
    <row r="127" spans="1:13" ht="30" customHeight="1">
      <c r="A127" s="5" t="s">
        <v>30</v>
      </c>
      <c r="B127" s="30" t="s">
        <v>390</v>
      </c>
      <c r="C127" s="30" t="s">
        <v>229</v>
      </c>
      <c r="D127" s="27">
        <v>19577.654435192249</v>
      </c>
      <c r="E127" s="28">
        <v>16103.434067997478</v>
      </c>
      <c r="F127" s="27">
        <f t="shared" si="3"/>
        <v>3474.2203671947718</v>
      </c>
      <c r="G127" s="27">
        <f t="shared" si="2"/>
        <v>17.745845799329306</v>
      </c>
      <c r="H127" s="29">
        <v>43</v>
      </c>
      <c r="I127" s="29">
        <v>2</v>
      </c>
      <c r="J127" s="12" t="s">
        <v>44</v>
      </c>
      <c r="K127" s="30">
        <v>40.845351666699997</v>
      </c>
      <c r="L127" s="30">
        <v>72.155680000000004</v>
      </c>
      <c r="M127" s="14">
        <v>160</v>
      </c>
    </row>
    <row r="128" spans="1:13" ht="30" customHeight="1">
      <c r="A128" s="5" t="s">
        <v>30</v>
      </c>
      <c r="B128" s="30" t="s">
        <v>390</v>
      </c>
      <c r="C128" s="30" t="s">
        <v>230</v>
      </c>
      <c r="D128" s="27">
        <v>19662.663155192247</v>
      </c>
      <c r="E128" s="28">
        <v>16177.807401330811</v>
      </c>
      <c r="F128" s="27">
        <f t="shared" si="3"/>
        <v>3484.8557538614368</v>
      </c>
      <c r="G128" s="27">
        <f t="shared" si="2"/>
        <v>17.723213413953054</v>
      </c>
      <c r="H128" s="29">
        <v>42</v>
      </c>
      <c r="I128" s="29">
        <v>2</v>
      </c>
      <c r="J128" s="12" t="s">
        <v>41</v>
      </c>
      <c r="K128" s="30">
        <v>40.847826666700001</v>
      </c>
      <c r="L128" s="30">
        <v>72.157156666700004</v>
      </c>
      <c r="M128" s="22">
        <v>160</v>
      </c>
    </row>
    <row r="129" spans="1:13" ht="30" customHeight="1">
      <c r="A129" s="5" t="s">
        <v>30</v>
      </c>
      <c r="B129" s="30" t="s">
        <v>390</v>
      </c>
      <c r="C129" s="30" t="s">
        <v>231</v>
      </c>
      <c r="D129" s="27">
        <v>22204.744685192247</v>
      </c>
      <c r="E129" s="28">
        <v>18401.850734664142</v>
      </c>
      <c r="F129" s="27">
        <f t="shared" si="3"/>
        <v>3802.8939505281051</v>
      </c>
      <c r="G129" s="27">
        <f t="shared" si="2"/>
        <v>17.126492578246818</v>
      </c>
      <c r="H129" s="29">
        <v>160</v>
      </c>
      <c r="I129" s="29">
        <v>2</v>
      </c>
      <c r="J129" s="12" t="s">
        <v>41</v>
      </c>
      <c r="K129" s="30">
        <v>40.850563333300002</v>
      </c>
      <c r="L129" s="30">
        <v>72.157133333299996</v>
      </c>
      <c r="M129" s="14">
        <v>160</v>
      </c>
    </row>
    <row r="130" spans="1:13" ht="30" customHeight="1">
      <c r="A130" s="5" t="s">
        <v>30</v>
      </c>
      <c r="B130" s="30" t="s">
        <v>384</v>
      </c>
      <c r="C130" s="30" t="s">
        <v>96</v>
      </c>
      <c r="D130" s="27">
        <v>27055.133765192251</v>
      </c>
      <c r="E130" s="28">
        <v>22645.410734664147</v>
      </c>
      <c r="F130" s="27">
        <f t="shared" si="3"/>
        <v>4409.7230305281046</v>
      </c>
      <c r="G130" s="27">
        <f t="shared" si="2"/>
        <v>16.299025053061939</v>
      </c>
      <c r="H130" s="29">
        <v>98</v>
      </c>
      <c r="I130" s="29">
        <v>2</v>
      </c>
      <c r="J130" s="12" t="s">
        <v>41</v>
      </c>
      <c r="K130" s="30">
        <v>40.876168333300001</v>
      </c>
      <c r="L130" s="30">
        <v>71.945710000000005</v>
      </c>
      <c r="M130" s="14">
        <v>250</v>
      </c>
    </row>
    <row r="131" spans="1:13" ht="30" customHeight="1">
      <c r="A131" s="5" t="s">
        <v>30</v>
      </c>
      <c r="B131" s="30" t="s">
        <v>392</v>
      </c>
      <c r="C131" s="30" t="s">
        <v>232</v>
      </c>
      <c r="D131" s="27">
        <v>50961.108305192254</v>
      </c>
      <c r="E131" s="28">
        <v>43560.524067997474</v>
      </c>
      <c r="F131" s="27">
        <f t="shared" si="3"/>
        <v>7400.5842371947801</v>
      </c>
      <c r="G131" s="27">
        <f t="shared" ref="G131:G194" si="4">+F131*100/D131</f>
        <v>14.522023722236748</v>
      </c>
      <c r="H131" s="29">
        <v>53</v>
      </c>
      <c r="I131" s="29">
        <v>0</v>
      </c>
      <c r="J131" s="12" t="s">
        <v>41</v>
      </c>
      <c r="K131" s="30">
        <v>40.833511839099998</v>
      </c>
      <c r="L131" s="30">
        <v>72.151867640199995</v>
      </c>
      <c r="M131" s="14">
        <v>160</v>
      </c>
    </row>
    <row r="132" spans="1:13" ht="30" customHeight="1">
      <c r="A132" s="5" t="s">
        <v>30</v>
      </c>
      <c r="B132" s="30" t="s">
        <v>392</v>
      </c>
      <c r="C132" s="30" t="s">
        <v>233</v>
      </c>
      <c r="D132" s="27">
        <v>20002.229405192251</v>
      </c>
      <c r="E132" s="28">
        <v>16474.890734664143</v>
      </c>
      <c r="F132" s="27">
        <f t="shared" si="3"/>
        <v>3527.3386705281082</v>
      </c>
      <c r="G132" s="27">
        <f t="shared" si="4"/>
        <v>17.63472760497622</v>
      </c>
      <c r="H132" s="29">
        <v>53</v>
      </c>
      <c r="I132" s="29">
        <v>0</v>
      </c>
      <c r="J132" s="12" t="s">
        <v>41</v>
      </c>
      <c r="K132" s="30">
        <v>40.829519256700003</v>
      </c>
      <c r="L132" s="30">
        <v>72.156100756300006</v>
      </c>
      <c r="M132" s="14">
        <v>160</v>
      </c>
    </row>
    <row r="133" spans="1:13" ht="30" customHeight="1">
      <c r="A133" s="5" t="s">
        <v>30</v>
      </c>
      <c r="B133" s="30" t="s">
        <v>388</v>
      </c>
      <c r="C133" s="30" t="s">
        <v>234</v>
      </c>
      <c r="D133" s="27">
        <v>24722.529845192246</v>
      </c>
      <c r="E133" s="28">
        <v>20604.637401330812</v>
      </c>
      <c r="F133" s="27">
        <f t="shared" ref="F133:F196" si="5">+D133-E133</f>
        <v>4117.892443861434</v>
      </c>
      <c r="G133" s="27">
        <f t="shared" si="4"/>
        <v>16.656436334173279</v>
      </c>
      <c r="H133" s="29">
        <v>116</v>
      </c>
      <c r="I133" s="29">
        <v>0</v>
      </c>
      <c r="J133" s="12" t="s">
        <v>43</v>
      </c>
      <c r="K133" s="30">
        <v>40.876078333300001</v>
      </c>
      <c r="L133" s="30">
        <v>71.987033333300005</v>
      </c>
      <c r="M133" s="14">
        <v>40</v>
      </c>
    </row>
    <row r="134" spans="1:13" ht="30" customHeight="1">
      <c r="A134" s="5" t="s">
        <v>30</v>
      </c>
      <c r="B134" s="30" t="s">
        <v>391</v>
      </c>
      <c r="C134" s="30" t="s">
        <v>235</v>
      </c>
      <c r="D134" s="27">
        <v>27711.501515192256</v>
      </c>
      <c r="E134" s="28">
        <v>23219.660734664147</v>
      </c>
      <c r="F134" s="27">
        <f t="shared" si="5"/>
        <v>4491.8407805281095</v>
      </c>
      <c r="G134" s="27">
        <f t="shared" si="4"/>
        <v>16.209301318680083</v>
      </c>
      <c r="H134" s="29">
        <v>147</v>
      </c>
      <c r="I134" s="29">
        <v>2</v>
      </c>
      <c r="J134" s="12" t="s">
        <v>43</v>
      </c>
      <c r="K134" s="30">
        <v>40.846466666700003</v>
      </c>
      <c r="L134" s="30">
        <v>72.057214999999999</v>
      </c>
      <c r="M134" s="14">
        <v>160</v>
      </c>
    </row>
    <row r="135" spans="1:13" ht="30" customHeight="1">
      <c r="A135" s="5" t="s">
        <v>30</v>
      </c>
      <c r="B135" s="30" t="s">
        <v>389</v>
      </c>
      <c r="C135" s="30" t="s">
        <v>236</v>
      </c>
      <c r="D135" s="27">
        <v>24434.737685192249</v>
      </c>
      <c r="E135" s="28">
        <v>20352.850734664145</v>
      </c>
      <c r="F135" s="27">
        <f t="shared" si="5"/>
        <v>4081.8869505281036</v>
      </c>
      <c r="G135" s="27">
        <f t="shared" si="4"/>
        <v>16.705262004927423</v>
      </c>
      <c r="H135" s="29">
        <v>67</v>
      </c>
      <c r="I135" s="29">
        <v>2</v>
      </c>
      <c r="J135" s="12"/>
      <c r="K135" s="30">
        <v>40.877453333299997</v>
      </c>
      <c r="L135" s="30">
        <v>72.071951666700002</v>
      </c>
      <c r="M135" s="14">
        <v>160</v>
      </c>
    </row>
    <row r="136" spans="1:13" ht="30" customHeight="1">
      <c r="A136" s="5" t="s">
        <v>30</v>
      </c>
      <c r="B136" s="30" t="s">
        <v>391</v>
      </c>
      <c r="C136" s="30" t="s">
        <v>237</v>
      </c>
      <c r="D136" s="27">
        <v>25407.373535192248</v>
      </c>
      <c r="E136" s="28">
        <v>21203.800734664146</v>
      </c>
      <c r="F136" s="27">
        <f t="shared" si="5"/>
        <v>4203.5728005281017</v>
      </c>
      <c r="G136" s="27">
        <f t="shared" si="4"/>
        <v>16.544696344569623</v>
      </c>
      <c r="H136" s="29">
        <v>94</v>
      </c>
      <c r="I136" s="29">
        <v>3</v>
      </c>
      <c r="J136" s="12" t="s">
        <v>27</v>
      </c>
      <c r="K136" s="30">
        <v>40.849350000000001</v>
      </c>
      <c r="L136" s="30">
        <v>72.064971666700004</v>
      </c>
      <c r="M136" s="14">
        <v>100</v>
      </c>
    </row>
    <row r="137" spans="1:13" ht="30" customHeight="1">
      <c r="A137" s="5" t="s">
        <v>30</v>
      </c>
      <c r="B137" s="30" t="s">
        <v>391</v>
      </c>
      <c r="C137" s="30" t="s">
        <v>238</v>
      </c>
      <c r="D137" s="27">
        <v>21431.680445192251</v>
      </c>
      <c r="E137" s="28">
        <v>17725.504067997477</v>
      </c>
      <c r="F137" s="27">
        <f t="shared" si="5"/>
        <v>3706.1763771947735</v>
      </c>
      <c r="G137" s="27">
        <f t="shared" si="4"/>
        <v>17.292980765893123</v>
      </c>
      <c r="H137" s="29">
        <v>43</v>
      </c>
      <c r="I137" s="29">
        <v>0</v>
      </c>
      <c r="J137" s="12" t="s">
        <v>27</v>
      </c>
      <c r="K137" s="30">
        <v>40.843751666700001</v>
      </c>
      <c r="L137" s="30">
        <v>72.084658333299998</v>
      </c>
      <c r="M137" s="14">
        <v>160</v>
      </c>
    </row>
    <row r="138" spans="1:13" ht="30" customHeight="1">
      <c r="A138" s="5" t="s">
        <v>30</v>
      </c>
      <c r="B138" s="30" t="s">
        <v>391</v>
      </c>
      <c r="C138" s="30" t="s">
        <v>239</v>
      </c>
      <c r="D138" s="27">
        <v>21352.489595192252</v>
      </c>
      <c r="E138" s="28">
        <v>17656.220734664144</v>
      </c>
      <c r="F138" s="27">
        <f t="shared" si="5"/>
        <v>3696.2688605281073</v>
      </c>
      <c r="G138" s="27">
        <f t="shared" si="4"/>
        <v>17.310716130077697</v>
      </c>
      <c r="H138" s="29">
        <v>151</v>
      </c>
      <c r="I138" s="29">
        <v>2</v>
      </c>
      <c r="J138" s="12" t="s">
        <v>41</v>
      </c>
      <c r="K138" s="30">
        <v>40.822108333300001</v>
      </c>
      <c r="L138" s="30">
        <v>72.138861666699995</v>
      </c>
      <c r="M138" s="14">
        <v>400</v>
      </c>
    </row>
    <row r="139" spans="1:13" ht="30" customHeight="1">
      <c r="A139" s="5" t="s">
        <v>30</v>
      </c>
      <c r="B139" s="30" t="s">
        <v>391</v>
      </c>
      <c r="C139" s="30" t="s">
        <v>240</v>
      </c>
      <c r="D139" s="27">
        <v>24031.769225192245</v>
      </c>
      <c r="E139" s="28">
        <v>20000.297401330808</v>
      </c>
      <c r="F139" s="27">
        <f t="shared" si="5"/>
        <v>4031.4718238614369</v>
      </c>
      <c r="G139" s="27">
        <f t="shared" si="4"/>
        <v>16.775593116279133</v>
      </c>
      <c r="H139" s="29">
        <v>57</v>
      </c>
      <c r="I139" s="29">
        <v>0</v>
      </c>
      <c r="J139" s="12" t="s">
        <v>42</v>
      </c>
      <c r="K139" s="30">
        <v>40.845888333300003</v>
      </c>
      <c r="L139" s="30">
        <v>72.078975</v>
      </c>
      <c r="M139" s="14">
        <v>40</v>
      </c>
    </row>
    <row r="140" spans="1:13" ht="30" customHeight="1">
      <c r="A140" s="5" t="s">
        <v>30</v>
      </c>
      <c r="B140" s="30" t="s">
        <v>391</v>
      </c>
      <c r="C140" s="30" t="s">
        <v>241</v>
      </c>
      <c r="D140" s="27">
        <v>25797.42228519225</v>
      </c>
      <c r="E140" s="28">
        <v>21545.050734664146</v>
      </c>
      <c r="F140" s="27">
        <f t="shared" si="5"/>
        <v>4252.3715505281034</v>
      </c>
      <c r="G140" s="27">
        <f t="shared" si="4"/>
        <v>16.483707184066098</v>
      </c>
      <c r="H140" s="29">
        <v>141</v>
      </c>
      <c r="I140" s="29">
        <v>3</v>
      </c>
      <c r="J140" s="12" t="s">
        <v>27</v>
      </c>
      <c r="K140" s="30">
        <v>40.831020376700003</v>
      </c>
      <c r="L140" s="30">
        <v>72.119740415600006</v>
      </c>
      <c r="M140" s="14">
        <v>100</v>
      </c>
    </row>
    <row r="141" spans="1:13" ht="30" customHeight="1">
      <c r="A141" s="5" t="s">
        <v>30</v>
      </c>
      <c r="B141" s="30" t="s">
        <v>391</v>
      </c>
      <c r="C141" s="30" t="s">
        <v>242</v>
      </c>
      <c r="D141" s="27">
        <v>21283.799105192251</v>
      </c>
      <c r="E141" s="28">
        <v>17596.124067997476</v>
      </c>
      <c r="F141" s="27">
        <f t="shared" si="5"/>
        <v>3687.6750371947746</v>
      </c>
      <c r="G141" s="27">
        <f t="shared" si="4"/>
        <v>17.32620674988026</v>
      </c>
      <c r="H141" s="29">
        <v>137</v>
      </c>
      <c r="I141" s="29">
        <v>2</v>
      </c>
      <c r="J141" s="12" t="s">
        <v>44</v>
      </c>
      <c r="K141" s="30">
        <v>40.8254529031</v>
      </c>
      <c r="L141" s="30">
        <v>72.125863367899996</v>
      </c>
      <c r="M141" s="14">
        <v>100</v>
      </c>
    </row>
    <row r="142" spans="1:13" ht="30" customHeight="1">
      <c r="A142" s="5" t="s">
        <v>30</v>
      </c>
      <c r="B142" s="30" t="s">
        <v>391</v>
      </c>
      <c r="C142" s="30" t="s">
        <v>243</v>
      </c>
      <c r="D142" s="27">
        <v>19332.446645192249</v>
      </c>
      <c r="E142" s="28">
        <v>15888.904067997475</v>
      </c>
      <c r="F142" s="27">
        <f t="shared" si="5"/>
        <v>3443.5425771947739</v>
      </c>
      <c r="G142" s="27">
        <f t="shared" si="4"/>
        <v>17.812244049571152</v>
      </c>
      <c r="H142" s="29">
        <v>59</v>
      </c>
      <c r="I142" s="29">
        <v>0</v>
      </c>
      <c r="J142" s="12" t="s">
        <v>41</v>
      </c>
      <c r="K142" s="30">
        <v>40.8212983333</v>
      </c>
      <c r="L142" s="30">
        <v>72.128469999999993</v>
      </c>
      <c r="M142" s="14">
        <v>160</v>
      </c>
    </row>
    <row r="143" spans="1:13" ht="30" customHeight="1">
      <c r="A143" s="5" t="s">
        <v>30</v>
      </c>
      <c r="B143" s="30" t="s">
        <v>391</v>
      </c>
      <c r="C143" s="30" t="s">
        <v>244</v>
      </c>
      <c r="D143" s="27">
        <v>22460.327105192246</v>
      </c>
      <c r="E143" s="28">
        <v>18625.457401330808</v>
      </c>
      <c r="F143" s="27">
        <f t="shared" si="5"/>
        <v>3834.8697038614373</v>
      </c>
      <c r="G143" s="27">
        <f t="shared" si="4"/>
        <v>17.073970854925413</v>
      </c>
      <c r="H143" s="29">
        <v>63</v>
      </c>
      <c r="I143" s="29">
        <v>0</v>
      </c>
      <c r="J143" s="12" t="s">
        <v>31</v>
      </c>
      <c r="K143" s="30">
        <v>40.817111666700001</v>
      </c>
      <c r="L143" s="30">
        <v>72.1181916667</v>
      </c>
      <c r="M143" s="14">
        <v>63</v>
      </c>
    </row>
    <row r="144" spans="1:13" ht="30" customHeight="1">
      <c r="A144" s="5" t="s">
        <v>30</v>
      </c>
      <c r="B144" s="30" t="s">
        <v>391</v>
      </c>
      <c r="C144" s="30" t="s">
        <v>245</v>
      </c>
      <c r="D144" s="27">
        <v>22164.876845192248</v>
      </c>
      <c r="E144" s="28">
        <v>18366.970734664144</v>
      </c>
      <c r="F144" s="27">
        <f t="shared" si="5"/>
        <v>3797.9061105281035</v>
      </c>
      <c r="G144" s="27">
        <f t="shared" si="4"/>
        <v>17.134794553807332</v>
      </c>
      <c r="H144" s="29">
        <v>68</v>
      </c>
      <c r="I144" s="29">
        <v>3</v>
      </c>
      <c r="J144" s="12" t="s">
        <v>41</v>
      </c>
      <c r="K144" s="30">
        <v>40.820258333300004</v>
      </c>
      <c r="L144" s="30">
        <v>72.133414999999999</v>
      </c>
      <c r="M144" s="14">
        <v>100</v>
      </c>
    </row>
    <row r="145" spans="1:13" ht="30" customHeight="1">
      <c r="A145" s="5" t="s">
        <v>30</v>
      </c>
      <c r="B145" s="30" t="s">
        <v>391</v>
      </c>
      <c r="C145" s="30" t="s">
        <v>246</v>
      </c>
      <c r="D145" s="27">
        <v>21990.98463519225</v>
      </c>
      <c r="E145" s="28">
        <v>18214.834067997475</v>
      </c>
      <c r="F145" s="27">
        <f t="shared" si="5"/>
        <v>3776.1505671947743</v>
      </c>
      <c r="G145" s="27">
        <f t="shared" si="4"/>
        <v>17.171357398666849</v>
      </c>
      <c r="H145" s="29">
        <v>38</v>
      </c>
      <c r="I145" s="29">
        <v>3</v>
      </c>
      <c r="J145" s="12" t="s">
        <v>22</v>
      </c>
      <c r="K145" s="30">
        <v>40.8469716667</v>
      </c>
      <c r="L145" s="30">
        <v>72.074391666699995</v>
      </c>
      <c r="M145" s="14">
        <v>160</v>
      </c>
    </row>
    <row r="146" spans="1:13" ht="30" customHeight="1">
      <c r="A146" s="5" t="s">
        <v>30</v>
      </c>
      <c r="B146" s="30" t="s">
        <v>392</v>
      </c>
      <c r="C146" s="30" t="s">
        <v>247</v>
      </c>
      <c r="D146" s="27">
        <v>21219.653945192251</v>
      </c>
      <c r="E146" s="28">
        <v>17540.004067997477</v>
      </c>
      <c r="F146" s="27">
        <f t="shared" si="5"/>
        <v>3679.6498771947736</v>
      </c>
      <c r="G146" s="27">
        <f t="shared" si="4"/>
        <v>17.340762892264198</v>
      </c>
      <c r="H146" s="29">
        <v>33</v>
      </c>
      <c r="I146" s="29">
        <v>3</v>
      </c>
      <c r="J146" s="12" t="s">
        <v>31</v>
      </c>
      <c r="K146" s="30">
        <v>40.820270000000001</v>
      </c>
      <c r="L146" s="30">
        <v>72.169821666700003</v>
      </c>
      <c r="M146" s="14">
        <v>160</v>
      </c>
    </row>
    <row r="147" spans="1:13" ht="30" customHeight="1">
      <c r="A147" s="5" t="s">
        <v>45</v>
      </c>
      <c r="B147" s="30" t="s">
        <v>392</v>
      </c>
      <c r="C147" s="30" t="s">
        <v>248</v>
      </c>
      <c r="D147" s="27">
        <v>20103.682085192253</v>
      </c>
      <c r="E147" s="28">
        <v>16563.650734664145</v>
      </c>
      <c r="F147" s="27">
        <f t="shared" si="5"/>
        <v>3540.0313505281083</v>
      </c>
      <c r="G147" s="27">
        <f t="shared" si="4"/>
        <v>17.608870531909105</v>
      </c>
      <c r="H147" s="29">
        <v>62</v>
      </c>
      <c r="I147" s="29">
        <v>0</v>
      </c>
      <c r="J147" s="12" t="s">
        <v>46</v>
      </c>
      <c r="K147" s="30">
        <v>40.834253333299998</v>
      </c>
      <c r="L147" s="30">
        <v>72.203491666700003</v>
      </c>
      <c r="M147" s="20">
        <v>100</v>
      </c>
    </row>
    <row r="148" spans="1:13" ht="30" customHeight="1">
      <c r="A148" s="5" t="s">
        <v>45</v>
      </c>
      <c r="B148" s="30" t="s">
        <v>392</v>
      </c>
      <c r="C148" s="30" t="s">
        <v>249</v>
      </c>
      <c r="D148" s="27">
        <v>30101.171615192252</v>
      </c>
      <c r="E148" s="28">
        <v>25310.360734664151</v>
      </c>
      <c r="F148" s="27">
        <f t="shared" si="5"/>
        <v>4790.8108805281008</v>
      </c>
      <c r="G148" s="27">
        <f t="shared" si="4"/>
        <v>15.915695713684938</v>
      </c>
      <c r="H148" s="29">
        <v>103</v>
      </c>
      <c r="I148" s="29">
        <v>3</v>
      </c>
      <c r="J148" s="12" t="s">
        <v>46</v>
      </c>
      <c r="K148" s="30">
        <v>40.837441666700002</v>
      </c>
      <c r="L148" s="30">
        <v>72.2019633333</v>
      </c>
      <c r="M148" s="20">
        <v>100</v>
      </c>
    </row>
    <row r="149" spans="1:13" ht="30" customHeight="1">
      <c r="A149" s="5" t="s">
        <v>45</v>
      </c>
      <c r="B149" s="30" t="s">
        <v>392</v>
      </c>
      <c r="C149" s="30" t="s">
        <v>250</v>
      </c>
      <c r="D149" s="27">
        <v>28555.306025192251</v>
      </c>
      <c r="E149" s="28">
        <v>23957.897401330811</v>
      </c>
      <c r="F149" s="27">
        <f t="shared" si="5"/>
        <v>4597.40862386144</v>
      </c>
      <c r="G149" s="27">
        <f t="shared" si="4"/>
        <v>16.100015246922879</v>
      </c>
      <c r="H149" s="29">
        <v>119</v>
      </c>
      <c r="I149" s="29">
        <v>0</v>
      </c>
      <c r="J149" s="12" t="s">
        <v>47</v>
      </c>
      <c r="K149" s="30">
        <v>40.832535</v>
      </c>
      <c r="L149" s="30">
        <v>72.175714999999997</v>
      </c>
      <c r="M149" s="20">
        <v>160</v>
      </c>
    </row>
    <row r="150" spans="1:13" ht="30" customHeight="1">
      <c r="A150" s="5" t="s">
        <v>45</v>
      </c>
      <c r="B150" s="30" t="s">
        <v>385</v>
      </c>
      <c r="C150" s="30" t="s">
        <v>251</v>
      </c>
      <c r="D150" s="27">
        <v>24657.192155192246</v>
      </c>
      <c r="E150" s="28">
        <v>20547.474067997475</v>
      </c>
      <c r="F150" s="27">
        <f t="shared" si="5"/>
        <v>4109.7180871947712</v>
      </c>
      <c r="G150" s="27">
        <f t="shared" si="4"/>
        <v>16.667421259193773</v>
      </c>
      <c r="H150" s="29">
        <v>70</v>
      </c>
      <c r="I150" s="29">
        <v>0</v>
      </c>
      <c r="J150" s="12" t="s">
        <v>47</v>
      </c>
      <c r="K150" s="30">
        <v>40.862508333299999</v>
      </c>
      <c r="L150" s="30">
        <v>72.001638333299994</v>
      </c>
      <c r="M150" s="20">
        <v>63</v>
      </c>
    </row>
    <row r="151" spans="1:13" ht="30" customHeight="1">
      <c r="A151" s="5" t="s">
        <v>45</v>
      </c>
      <c r="B151" s="30" t="s">
        <v>387</v>
      </c>
      <c r="C151" s="30" t="s">
        <v>252</v>
      </c>
      <c r="D151" s="27">
        <v>24860.196575192251</v>
      </c>
      <c r="E151" s="28">
        <v>20725.080734664145</v>
      </c>
      <c r="F151" s="27">
        <f t="shared" si="5"/>
        <v>4135.1158405281058</v>
      </c>
      <c r="G151" s="27">
        <f t="shared" si="4"/>
        <v>16.633480061273922</v>
      </c>
      <c r="H151" s="29">
        <v>83</v>
      </c>
      <c r="I151" s="29">
        <v>0</v>
      </c>
      <c r="J151" s="12" t="s">
        <v>46</v>
      </c>
      <c r="K151" s="30">
        <v>40.881864999999998</v>
      </c>
      <c r="L151" s="30">
        <v>71.974893333300002</v>
      </c>
      <c r="M151" s="20">
        <v>250</v>
      </c>
    </row>
    <row r="152" spans="1:13" ht="30" customHeight="1">
      <c r="A152" s="5" t="s">
        <v>45</v>
      </c>
      <c r="B152" s="30" t="s">
        <v>387</v>
      </c>
      <c r="C152" s="30" t="s">
        <v>253</v>
      </c>
      <c r="D152" s="27">
        <v>23105.402015192249</v>
      </c>
      <c r="E152" s="28">
        <v>19189.827401330811</v>
      </c>
      <c r="F152" s="27">
        <f t="shared" si="5"/>
        <v>3915.5746138614377</v>
      </c>
      <c r="G152" s="27">
        <f t="shared" si="4"/>
        <v>16.946576438215061</v>
      </c>
      <c r="H152" s="29">
        <v>55</v>
      </c>
      <c r="I152" s="29">
        <v>0</v>
      </c>
      <c r="J152" s="12" t="s">
        <v>47</v>
      </c>
      <c r="K152" s="30">
        <v>40.871471666700003</v>
      </c>
      <c r="L152" s="30">
        <v>71.970541666700001</v>
      </c>
      <c r="M152" s="20">
        <v>63</v>
      </c>
    </row>
    <row r="153" spans="1:13" ht="30" customHeight="1">
      <c r="A153" s="5" t="s">
        <v>45</v>
      </c>
      <c r="B153" s="30" t="s">
        <v>391</v>
      </c>
      <c r="C153" s="30" t="s">
        <v>254</v>
      </c>
      <c r="D153" s="27">
        <v>29462.261285192253</v>
      </c>
      <c r="E153" s="28">
        <v>24751.384067997482</v>
      </c>
      <c r="F153" s="27">
        <f t="shared" si="5"/>
        <v>4710.8772171947712</v>
      </c>
      <c r="G153" s="27">
        <f t="shared" si="4"/>
        <v>15.989530374447057</v>
      </c>
      <c r="H153" s="29">
        <v>140</v>
      </c>
      <c r="I153" s="29">
        <v>3</v>
      </c>
      <c r="J153" s="12" t="s">
        <v>47</v>
      </c>
      <c r="K153" s="30">
        <v>40.847968333300003</v>
      </c>
      <c r="L153" s="30">
        <v>72.039503333300004</v>
      </c>
      <c r="M153" s="20">
        <v>100</v>
      </c>
    </row>
    <row r="154" spans="1:13" ht="30" customHeight="1">
      <c r="A154" s="5" t="s">
        <v>45</v>
      </c>
      <c r="B154" s="30" t="s">
        <v>391</v>
      </c>
      <c r="C154" s="30" t="s">
        <v>255</v>
      </c>
      <c r="D154" s="27">
        <v>22975.831535192247</v>
      </c>
      <c r="E154" s="28">
        <v>19076.46740133081</v>
      </c>
      <c r="F154" s="27">
        <f t="shared" si="5"/>
        <v>3899.3641338614361</v>
      </c>
      <c r="G154" s="27">
        <f t="shared" si="4"/>
        <v>16.971590899283676</v>
      </c>
      <c r="H154" s="29">
        <v>94</v>
      </c>
      <c r="I154" s="29">
        <v>0</v>
      </c>
      <c r="J154" s="12" t="s">
        <v>47</v>
      </c>
      <c r="K154" s="30">
        <v>40.817636666699997</v>
      </c>
      <c r="L154" s="30">
        <v>72.128388333299995</v>
      </c>
      <c r="M154" s="20">
        <v>100</v>
      </c>
    </row>
    <row r="155" spans="1:13" ht="30" customHeight="1">
      <c r="A155" s="5" t="s">
        <v>45</v>
      </c>
      <c r="B155" s="30" t="s">
        <v>390</v>
      </c>
      <c r="C155" s="30" t="s">
        <v>256</v>
      </c>
      <c r="D155" s="27">
        <v>28964.530505192255</v>
      </c>
      <c r="E155" s="28">
        <v>24315.924067997483</v>
      </c>
      <c r="F155" s="27">
        <f t="shared" si="5"/>
        <v>4648.6064371947723</v>
      </c>
      <c r="G155" s="27">
        <f t="shared" si="4"/>
        <v>16.049307052850214</v>
      </c>
      <c r="H155" s="29">
        <v>103</v>
      </c>
      <c r="I155" s="29">
        <v>0</v>
      </c>
      <c r="J155" s="12" t="s">
        <v>48</v>
      </c>
      <c r="K155" s="30">
        <v>40.863979999999998</v>
      </c>
      <c r="L155" s="30">
        <v>72.082644999999999</v>
      </c>
      <c r="M155" s="20">
        <v>160</v>
      </c>
    </row>
    <row r="156" spans="1:13" ht="30" customHeight="1">
      <c r="A156" s="5" t="s">
        <v>45</v>
      </c>
      <c r="B156" s="30" t="s">
        <v>388</v>
      </c>
      <c r="C156" s="30" t="s">
        <v>257</v>
      </c>
      <c r="D156" s="27">
        <v>46226.173655192244</v>
      </c>
      <c r="E156" s="28">
        <v>39417.974067997464</v>
      </c>
      <c r="F156" s="27">
        <f t="shared" si="5"/>
        <v>6808.1995871947802</v>
      </c>
      <c r="G156" s="27">
        <f t="shared" si="4"/>
        <v>14.728018888126305</v>
      </c>
      <c r="H156" s="29">
        <v>119</v>
      </c>
      <c r="I156" s="29">
        <v>0</v>
      </c>
      <c r="J156" s="12" t="s">
        <v>48</v>
      </c>
      <c r="K156" s="30">
        <v>40.869881666700003</v>
      </c>
      <c r="L156" s="30">
        <v>71.981340000000003</v>
      </c>
      <c r="M156" s="20">
        <v>250</v>
      </c>
    </row>
    <row r="157" spans="1:13" ht="30" customHeight="1">
      <c r="A157" s="5" t="s">
        <v>45</v>
      </c>
      <c r="B157" s="30" t="s">
        <v>387</v>
      </c>
      <c r="C157" s="30" t="s">
        <v>258</v>
      </c>
      <c r="D157" s="27">
        <v>22303.206515192247</v>
      </c>
      <c r="E157" s="28">
        <v>18487.994067997479</v>
      </c>
      <c r="F157" s="27">
        <f t="shared" si="5"/>
        <v>3815.2124471947682</v>
      </c>
      <c r="G157" s="27">
        <f t="shared" si="4"/>
        <v>17.106116309311687</v>
      </c>
      <c r="H157" s="29">
        <v>68</v>
      </c>
      <c r="I157" s="29">
        <v>0</v>
      </c>
      <c r="J157" s="12" t="s">
        <v>47</v>
      </c>
      <c r="K157" s="30">
        <v>40.883203333300003</v>
      </c>
      <c r="L157" s="30">
        <v>71.969184999999996</v>
      </c>
      <c r="M157" s="14">
        <v>100</v>
      </c>
    </row>
    <row r="158" spans="1:13" ht="30" customHeight="1">
      <c r="A158" s="5" t="s">
        <v>45</v>
      </c>
      <c r="B158" s="30" t="s">
        <v>389</v>
      </c>
      <c r="C158" s="30" t="s">
        <v>259</v>
      </c>
      <c r="D158" s="27">
        <v>21780.451655192246</v>
      </c>
      <c r="E158" s="28">
        <v>18030.640734664143</v>
      </c>
      <c r="F158" s="27">
        <f t="shared" si="5"/>
        <v>3749.8109205281035</v>
      </c>
      <c r="G158" s="27">
        <f t="shared" si="4"/>
        <v>17.216405701275647</v>
      </c>
      <c r="H158" s="29">
        <v>34</v>
      </c>
      <c r="I158" s="29">
        <v>0</v>
      </c>
      <c r="J158" s="12" t="s">
        <v>49</v>
      </c>
      <c r="K158" s="30">
        <v>40.877465000000001</v>
      </c>
      <c r="L158" s="30">
        <v>72.08811</v>
      </c>
      <c r="M158" s="14">
        <v>250</v>
      </c>
    </row>
    <row r="159" spans="1:13" ht="30" customHeight="1">
      <c r="A159" s="5" t="s">
        <v>45</v>
      </c>
      <c r="B159" s="30" t="s">
        <v>387</v>
      </c>
      <c r="C159" s="30" t="s">
        <v>260</v>
      </c>
      <c r="D159" s="27">
        <v>21287.898665192253</v>
      </c>
      <c r="E159" s="28">
        <v>17599.710734664142</v>
      </c>
      <c r="F159" s="27">
        <f t="shared" si="5"/>
        <v>3688.1879305281109</v>
      </c>
      <c r="G159" s="27">
        <f t="shared" si="4"/>
        <v>17.325279439434059</v>
      </c>
      <c r="H159" s="29">
        <v>52</v>
      </c>
      <c r="I159" s="29">
        <v>0</v>
      </c>
      <c r="J159" s="12" t="s">
        <v>20</v>
      </c>
      <c r="K159" s="30">
        <v>40.886789999999998</v>
      </c>
      <c r="L159" s="30">
        <v>71.967898333299999</v>
      </c>
      <c r="M159" s="14">
        <v>100</v>
      </c>
    </row>
    <row r="160" spans="1:13" ht="30" customHeight="1">
      <c r="A160" s="5" t="s">
        <v>45</v>
      </c>
      <c r="B160" s="30" t="s">
        <v>391</v>
      </c>
      <c r="C160" s="30" t="s">
        <v>261</v>
      </c>
      <c r="D160" s="27">
        <v>24658.30848519225</v>
      </c>
      <c r="E160" s="28">
        <v>20548.450734664144</v>
      </c>
      <c r="F160" s="27">
        <f t="shared" si="5"/>
        <v>4109.8577505281064</v>
      </c>
      <c r="G160" s="27">
        <f t="shared" si="4"/>
        <v>16.667233086957886</v>
      </c>
      <c r="H160" s="29">
        <v>75</v>
      </c>
      <c r="I160" s="29">
        <v>2</v>
      </c>
      <c r="J160" s="12" t="s">
        <v>48</v>
      </c>
      <c r="K160" s="30">
        <v>40.813769904799997</v>
      </c>
      <c r="L160" s="30">
        <v>72.127671415400002</v>
      </c>
      <c r="M160" s="14">
        <v>100</v>
      </c>
    </row>
    <row r="161" spans="1:13" ht="30" customHeight="1">
      <c r="A161" s="5" t="s">
        <v>45</v>
      </c>
      <c r="B161" s="30" t="s">
        <v>387</v>
      </c>
      <c r="C161" s="30" t="s">
        <v>262</v>
      </c>
      <c r="D161" s="27">
        <v>21429.809735192248</v>
      </c>
      <c r="E161" s="28">
        <v>17723.867401330812</v>
      </c>
      <c r="F161" s="27">
        <f t="shared" si="5"/>
        <v>3705.9423338614361</v>
      </c>
      <c r="G161" s="27">
        <f t="shared" si="4"/>
        <v>17.293398213309846</v>
      </c>
      <c r="H161" s="29">
        <v>147</v>
      </c>
      <c r="I161" s="29">
        <v>2</v>
      </c>
      <c r="J161" s="12" t="s">
        <v>29</v>
      </c>
      <c r="K161" s="30">
        <v>40.868474999999997</v>
      </c>
      <c r="L161" s="30">
        <v>71.973686666700004</v>
      </c>
      <c r="M161" s="14">
        <v>100</v>
      </c>
    </row>
    <row r="162" spans="1:13" ht="30" customHeight="1">
      <c r="A162" s="5" t="s">
        <v>45</v>
      </c>
      <c r="B162" s="30" t="s">
        <v>389</v>
      </c>
      <c r="C162" s="30" t="s">
        <v>263</v>
      </c>
      <c r="D162" s="27">
        <v>23598.156935192248</v>
      </c>
      <c r="E162" s="28">
        <v>19620.934067997478</v>
      </c>
      <c r="F162" s="27">
        <f t="shared" si="5"/>
        <v>3977.2228671947705</v>
      </c>
      <c r="G162" s="27">
        <f t="shared" si="4"/>
        <v>16.853955493716903</v>
      </c>
      <c r="H162" s="29">
        <v>228</v>
      </c>
      <c r="I162" s="29">
        <v>2</v>
      </c>
      <c r="J162" s="12" t="s">
        <v>46</v>
      </c>
      <c r="K162" s="30">
        <v>40.877846666700002</v>
      </c>
      <c r="L162" s="30">
        <v>72.089301666699996</v>
      </c>
      <c r="M162" s="14">
        <v>100</v>
      </c>
    </row>
    <row r="163" spans="1:13" ht="30" customHeight="1">
      <c r="A163" s="5" t="s">
        <v>30</v>
      </c>
      <c r="B163" s="30" t="s">
        <v>392</v>
      </c>
      <c r="C163" s="30" t="s">
        <v>264</v>
      </c>
      <c r="D163" s="27">
        <v>27975.816455192253</v>
      </c>
      <c r="E163" s="28">
        <v>23450.907401330813</v>
      </c>
      <c r="F163" s="27">
        <f t="shared" si="5"/>
        <v>4524.90905386144</v>
      </c>
      <c r="G163" s="27">
        <f t="shared" si="4"/>
        <v>16.174359240270274</v>
      </c>
      <c r="H163" s="29">
        <v>86</v>
      </c>
      <c r="I163" s="29">
        <v>2</v>
      </c>
      <c r="J163" s="12" t="s">
        <v>36</v>
      </c>
      <c r="K163" s="30">
        <v>40.820733333299998</v>
      </c>
      <c r="L163" s="30">
        <v>72.163296666700006</v>
      </c>
      <c r="M163" s="20">
        <v>63</v>
      </c>
    </row>
    <row r="164" spans="1:13" ht="30" customHeight="1">
      <c r="A164" s="5" t="s">
        <v>30</v>
      </c>
      <c r="B164" s="30" t="s">
        <v>391</v>
      </c>
      <c r="C164" s="30" t="s">
        <v>265</v>
      </c>
      <c r="D164" s="27">
        <v>22815.41910519225</v>
      </c>
      <c r="E164" s="28">
        <v>18936.124067997476</v>
      </c>
      <c r="F164" s="27">
        <f t="shared" si="5"/>
        <v>3879.2950371947736</v>
      </c>
      <c r="G164" s="27">
        <f t="shared" si="4"/>
        <v>17.002953219088305</v>
      </c>
      <c r="H164" s="29">
        <v>73</v>
      </c>
      <c r="I164" s="29">
        <v>2</v>
      </c>
      <c r="J164" s="12" t="s">
        <v>36</v>
      </c>
      <c r="K164" s="30">
        <v>40.852661666700001</v>
      </c>
      <c r="L164" s="30">
        <v>72.0707816667</v>
      </c>
      <c r="M164" s="20">
        <v>100</v>
      </c>
    </row>
    <row r="165" spans="1:13" ht="30" customHeight="1">
      <c r="A165" s="5" t="s">
        <v>30</v>
      </c>
      <c r="B165" s="30" t="s">
        <v>388</v>
      </c>
      <c r="C165" s="30" t="s">
        <v>266</v>
      </c>
      <c r="D165" s="27">
        <v>24441.184205192247</v>
      </c>
      <c r="E165" s="28">
        <v>20358.490734664145</v>
      </c>
      <c r="F165" s="27">
        <f t="shared" si="5"/>
        <v>4082.6934705281019</v>
      </c>
      <c r="G165" s="27">
        <f t="shared" si="4"/>
        <v>16.704155724421817</v>
      </c>
      <c r="H165" s="29">
        <v>95</v>
      </c>
      <c r="I165" s="29">
        <v>0</v>
      </c>
      <c r="J165" s="12" t="s">
        <v>36</v>
      </c>
      <c r="K165" s="30">
        <v>40.877846666700002</v>
      </c>
      <c r="L165" s="30">
        <v>72.000298333299995</v>
      </c>
      <c r="M165" s="20">
        <v>100</v>
      </c>
    </row>
    <row r="166" spans="1:13" ht="30" customHeight="1">
      <c r="A166" s="5" t="s">
        <v>30</v>
      </c>
      <c r="B166" s="30" t="s">
        <v>385</v>
      </c>
      <c r="C166" s="30" t="s">
        <v>267</v>
      </c>
      <c r="D166" s="27">
        <v>30056.594615192254</v>
      </c>
      <c r="E166" s="28">
        <v>25271.360734664151</v>
      </c>
      <c r="F166" s="27">
        <f t="shared" si="5"/>
        <v>4785.2338805281033</v>
      </c>
      <c r="G166" s="27">
        <f t="shared" si="4"/>
        <v>15.920745319928503</v>
      </c>
      <c r="H166" s="29">
        <v>114</v>
      </c>
      <c r="I166" s="29">
        <v>0</v>
      </c>
      <c r="J166" s="12" t="s">
        <v>36</v>
      </c>
      <c r="K166" s="30">
        <v>40.869096666700003</v>
      </c>
      <c r="L166" s="30">
        <v>71.993186666699998</v>
      </c>
      <c r="M166" s="20">
        <v>160</v>
      </c>
    </row>
    <row r="167" spans="1:13" ht="30" customHeight="1">
      <c r="A167" s="5" t="s">
        <v>30</v>
      </c>
      <c r="B167" s="30" t="s">
        <v>390</v>
      </c>
      <c r="C167" s="30" t="s">
        <v>268</v>
      </c>
      <c r="D167" s="27">
        <v>20128.439465192248</v>
      </c>
      <c r="E167" s="28">
        <v>16585.310734664145</v>
      </c>
      <c r="F167" s="27">
        <f t="shared" si="5"/>
        <v>3543.1287305281039</v>
      </c>
      <c r="G167" s="27">
        <f t="shared" si="4"/>
        <v>17.602600224697863</v>
      </c>
      <c r="H167" s="29">
        <v>72</v>
      </c>
      <c r="I167" s="29">
        <v>0</v>
      </c>
      <c r="J167" s="12" t="s">
        <v>50</v>
      </c>
      <c r="K167" s="30">
        <v>40.859043333300001</v>
      </c>
      <c r="L167" s="30">
        <v>72.065916666700005</v>
      </c>
      <c r="M167" s="20">
        <v>250</v>
      </c>
    </row>
    <row r="168" spans="1:13" ht="30" customHeight="1">
      <c r="A168" s="5" t="s">
        <v>30</v>
      </c>
      <c r="B168" s="30" t="s">
        <v>389</v>
      </c>
      <c r="C168" s="30" t="s">
        <v>269</v>
      </c>
      <c r="D168" s="27">
        <v>27518.707895192252</v>
      </c>
      <c r="E168" s="28">
        <v>23050.987401330814</v>
      </c>
      <c r="F168" s="27">
        <f t="shared" si="5"/>
        <v>4467.7204938614377</v>
      </c>
      <c r="G168" s="27">
        <f t="shared" si="4"/>
        <v>16.23521173623848</v>
      </c>
      <c r="H168" s="29">
        <v>137</v>
      </c>
      <c r="I168" s="29">
        <v>0</v>
      </c>
      <c r="J168" s="12" t="s">
        <v>50</v>
      </c>
      <c r="K168" s="30">
        <v>40.880443333300001</v>
      </c>
      <c r="L168" s="30">
        <v>72.033211666699998</v>
      </c>
      <c r="M168" s="20">
        <v>400</v>
      </c>
    </row>
    <row r="169" spans="1:13" ht="30" customHeight="1">
      <c r="A169" s="5" t="s">
        <v>30</v>
      </c>
      <c r="B169" s="30" t="s">
        <v>388</v>
      </c>
      <c r="C169" s="30" t="s">
        <v>270</v>
      </c>
      <c r="D169" s="27">
        <v>26792.087555192251</v>
      </c>
      <c r="E169" s="28">
        <v>22415.274067997481</v>
      </c>
      <c r="F169" s="27">
        <f t="shared" si="5"/>
        <v>4376.8134871947696</v>
      </c>
      <c r="G169" s="27">
        <f t="shared" si="4"/>
        <v>16.33621672136762</v>
      </c>
      <c r="H169" s="29">
        <v>87</v>
      </c>
      <c r="I169" s="29">
        <v>2</v>
      </c>
      <c r="J169" s="12" t="s">
        <v>50</v>
      </c>
      <c r="K169" s="30">
        <v>40.874026666600002</v>
      </c>
      <c r="L169" s="30">
        <v>72.094549999700007</v>
      </c>
      <c r="M169" s="20">
        <v>160</v>
      </c>
    </row>
    <row r="170" spans="1:13" ht="30" customHeight="1">
      <c r="A170" s="5" t="s">
        <v>30</v>
      </c>
      <c r="B170" s="30" t="s">
        <v>388</v>
      </c>
      <c r="C170" s="30" t="s">
        <v>271</v>
      </c>
      <c r="D170" s="27">
        <v>23072.544575192249</v>
      </c>
      <c r="E170" s="28">
        <v>19161.080734664141</v>
      </c>
      <c r="F170" s="27">
        <f t="shared" si="5"/>
        <v>3911.4638405281075</v>
      </c>
      <c r="G170" s="27">
        <f t="shared" si="4"/>
        <v>16.952893200751419</v>
      </c>
      <c r="H170" s="29">
        <v>57</v>
      </c>
      <c r="I170" s="29">
        <v>2</v>
      </c>
      <c r="J170" s="12" t="s">
        <v>37</v>
      </c>
      <c r="K170" s="30">
        <v>40.877225000000003</v>
      </c>
      <c r="L170" s="30">
        <v>71.997230000000002</v>
      </c>
      <c r="M170" s="23">
        <v>100</v>
      </c>
    </row>
    <row r="171" spans="1:13" ht="30" customHeight="1">
      <c r="A171" s="5" t="s">
        <v>30</v>
      </c>
      <c r="B171" s="30" t="s">
        <v>388</v>
      </c>
      <c r="C171" s="30" t="s">
        <v>272</v>
      </c>
      <c r="D171" s="27">
        <v>24875.246075192252</v>
      </c>
      <c r="E171" s="28">
        <v>20738.247401330809</v>
      </c>
      <c r="F171" s="27">
        <f t="shared" si="5"/>
        <v>4136.9986738614425</v>
      </c>
      <c r="G171" s="27">
        <f t="shared" si="4"/>
        <v>16.630985926154175</v>
      </c>
      <c r="H171" s="29">
        <v>114</v>
      </c>
      <c r="I171" s="29">
        <v>2</v>
      </c>
      <c r="J171" s="12" t="s">
        <v>37</v>
      </c>
      <c r="K171" s="30">
        <v>40.878791666700003</v>
      </c>
      <c r="L171" s="30">
        <v>72.014080000000007</v>
      </c>
      <c r="M171" s="20">
        <v>100</v>
      </c>
    </row>
    <row r="172" spans="1:13" ht="30" customHeight="1">
      <c r="A172" s="5" t="s">
        <v>30</v>
      </c>
      <c r="B172" s="30" t="s">
        <v>384</v>
      </c>
      <c r="C172" s="30" t="s">
        <v>100</v>
      </c>
      <c r="D172" s="27">
        <v>25439.231231192247</v>
      </c>
      <c r="E172" s="28">
        <v>21231.672734664149</v>
      </c>
      <c r="F172" s="27">
        <f t="shared" si="5"/>
        <v>4207.5584965280977</v>
      </c>
      <c r="G172" s="27">
        <f t="shared" si="4"/>
        <v>16.539644843390594</v>
      </c>
      <c r="H172" s="29">
        <v>86</v>
      </c>
      <c r="I172" s="29">
        <v>2</v>
      </c>
      <c r="J172" s="12" t="s">
        <v>37</v>
      </c>
      <c r="K172" s="30">
        <v>40.879103333300002</v>
      </c>
      <c r="L172" s="30">
        <v>71.946520000000007</v>
      </c>
      <c r="M172" s="20">
        <v>100</v>
      </c>
    </row>
    <row r="173" spans="1:13" ht="30" customHeight="1">
      <c r="A173" s="5" t="s">
        <v>13</v>
      </c>
      <c r="B173" s="30" t="s">
        <v>389</v>
      </c>
      <c r="C173" s="30" t="s">
        <v>273</v>
      </c>
      <c r="D173" s="27">
        <v>23639.40399519225</v>
      </c>
      <c r="E173" s="28">
        <v>19657.020734664144</v>
      </c>
      <c r="F173" s="27">
        <f t="shared" si="5"/>
        <v>3982.3832605281059</v>
      </c>
      <c r="G173" s="27">
        <f t="shared" si="4"/>
        <v>16.846377604689348</v>
      </c>
      <c r="H173" s="29">
        <v>99</v>
      </c>
      <c r="I173" s="29">
        <v>2</v>
      </c>
      <c r="J173" s="12"/>
      <c r="K173" s="30">
        <v>40.867316666699999</v>
      </c>
      <c r="L173" s="30">
        <v>72.0448633333</v>
      </c>
      <c r="M173" s="14">
        <v>400</v>
      </c>
    </row>
    <row r="174" spans="1:13" ht="30" customHeight="1">
      <c r="A174" s="5" t="s">
        <v>13</v>
      </c>
      <c r="B174" s="30" t="s">
        <v>391</v>
      </c>
      <c r="C174" s="30" t="s">
        <v>274</v>
      </c>
      <c r="D174" s="27">
        <v>25064.694515192245</v>
      </c>
      <c r="E174" s="28">
        <v>20903.994067997475</v>
      </c>
      <c r="F174" s="27">
        <f t="shared" si="5"/>
        <v>4160.7004471947694</v>
      </c>
      <c r="G174" s="27">
        <f t="shared" si="4"/>
        <v>16.599845031715351</v>
      </c>
      <c r="H174" s="29">
        <v>73</v>
      </c>
      <c r="I174" s="29">
        <v>5</v>
      </c>
      <c r="J174" s="12" t="s">
        <v>23</v>
      </c>
      <c r="K174" s="30">
        <v>40.821199999999997</v>
      </c>
      <c r="L174" s="30">
        <v>72.145963333300003</v>
      </c>
      <c r="M174" s="14">
        <v>100</v>
      </c>
    </row>
    <row r="175" spans="1:13" ht="30" customHeight="1">
      <c r="A175" s="5" t="s">
        <v>13</v>
      </c>
      <c r="B175" s="30" t="s">
        <v>391</v>
      </c>
      <c r="C175" s="30" t="s">
        <v>275</v>
      </c>
      <c r="D175" s="27">
        <v>27784.828775192254</v>
      </c>
      <c r="E175" s="28">
        <v>23283.814067997482</v>
      </c>
      <c r="F175" s="27">
        <f t="shared" si="5"/>
        <v>4501.0147071947722</v>
      </c>
      <c r="G175" s="27">
        <f t="shared" si="4"/>
        <v>16.199540920739857</v>
      </c>
      <c r="H175" s="29">
        <v>150</v>
      </c>
      <c r="I175" s="29">
        <v>3</v>
      </c>
      <c r="J175" s="12" t="s">
        <v>40</v>
      </c>
      <c r="K175" s="30">
        <v>40.853495000000002</v>
      </c>
      <c r="L175" s="30">
        <v>72.061329999999998</v>
      </c>
      <c r="M175" s="20">
        <v>250</v>
      </c>
    </row>
    <row r="176" spans="1:13" ht="30" customHeight="1">
      <c r="A176" s="5" t="s">
        <v>13</v>
      </c>
      <c r="B176" s="30" t="s">
        <v>390</v>
      </c>
      <c r="C176" s="30" t="s">
        <v>276</v>
      </c>
      <c r="D176" s="27">
        <v>22812.984515192245</v>
      </c>
      <c r="E176" s="28">
        <v>18933.994067997475</v>
      </c>
      <c r="F176" s="27">
        <f t="shared" si="5"/>
        <v>3878.9904471947702</v>
      </c>
      <c r="G176" s="27">
        <f t="shared" si="4"/>
        <v>17.003432604846449</v>
      </c>
      <c r="H176" s="29">
        <v>84</v>
      </c>
      <c r="I176" s="29">
        <v>0</v>
      </c>
      <c r="J176" s="12" t="s">
        <v>40</v>
      </c>
      <c r="K176" s="30">
        <v>40.8542466667</v>
      </c>
      <c r="L176" s="30">
        <v>72.141778333299996</v>
      </c>
      <c r="M176" s="21">
        <v>160</v>
      </c>
    </row>
    <row r="177" spans="1:13" ht="30" customHeight="1">
      <c r="A177" s="5" t="s">
        <v>13</v>
      </c>
      <c r="B177" s="30" t="s">
        <v>390</v>
      </c>
      <c r="C177" s="30" t="s">
        <v>277</v>
      </c>
      <c r="D177" s="27">
        <v>23354.248355192245</v>
      </c>
      <c r="E177" s="28">
        <v>19407.540734664144</v>
      </c>
      <c r="F177" s="27">
        <f t="shared" si="5"/>
        <v>3946.707620528101</v>
      </c>
      <c r="G177" s="27">
        <f t="shared" si="4"/>
        <v>16.899313394732516</v>
      </c>
      <c r="H177" s="29">
        <v>109</v>
      </c>
      <c r="I177" s="29">
        <v>2</v>
      </c>
      <c r="J177" s="12" t="s">
        <v>40</v>
      </c>
      <c r="K177" s="30">
        <v>40.870876666699999</v>
      </c>
      <c r="L177" s="30">
        <v>72.127028333300004</v>
      </c>
      <c r="M177" s="20">
        <v>100</v>
      </c>
    </row>
    <row r="178" spans="1:13" ht="30" customHeight="1">
      <c r="A178" s="5" t="s">
        <v>13</v>
      </c>
      <c r="B178" s="30" t="s">
        <v>385</v>
      </c>
      <c r="C178" s="30" t="s">
        <v>278</v>
      </c>
      <c r="D178" s="27">
        <v>23518.863215192247</v>
      </c>
      <c r="E178" s="28">
        <v>19551.560734664145</v>
      </c>
      <c r="F178" s="27">
        <f t="shared" si="5"/>
        <v>3967.302480528102</v>
      </c>
      <c r="G178" s="27">
        <f t="shared" si="4"/>
        <v>16.868597959978707</v>
      </c>
      <c r="H178" s="29">
        <v>107</v>
      </c>
      <c r="I178" s="29">
        <v>5</v>
      </c>
      <c r="J178" s="12" t="s">
        <v>18</v>
      </c>
      <c r="K178" s="30">
        <v>40.85586</v>
      </c>
      <c r="L178" s="30">
        <v>72.008968333300004</v>
      </c>
      <c r="M178" s="20">
        <v>100</v>
      </c>
    </row>
    <row r="179" spans="1:13" ht="30" customHeight="1">
      <c r="A179" s="5" t="s">
        <v>13</v>
      </c>
      <c r="B179" s="30" t="s">
        <v>391</v>
      </c>
      <c r="C179" s="30" t="s">
        <v>279</v>
      </c>
      <c r="D179" s="27">
        <v>24411.374765192249</v>
      </c>
      <c r="E179" s="28">
        <v>20332.410734664143</v>
      </c>
      <c r="F179" s="27">
        <f t="shared" si="5"/>
        <v>4078.9640305281064</v>
      </c>
      <c r="G179" s="27">
        <f t="shared" si="4"/>
        <v>16.709276186871005</v>
      </c>
      <c r="H179" s="29">
        <v>67</v>
      </c>
      <c r="I179" s="29">
        <v>2</v>
      </c>
      <c r="J179" s="12" t="s">
        <v>23</v>
      </c>
      <c r="K179" s="30">
        <v>40.827616666700003</v>
      </c>
      <c r="L179" s="30">
        <v>72.112166666700006</v>
      </c>
      <c r="M179" s="20">
        <v>100</v>
      </c>
    </row>
    <row r="180" spans="1:13" ht="30" customHeight="1">
      <c r="A180" s="5" t="s">
        <v>13</v>
      </c>
      <c r="B180" s="30" t="s">
        <v>391</v>
      </c>
      <c r="C180" s="30" t="s">
        <v>280</v>
      </c>
      <c r="D180" s="27">
        <v>25176.20940519225</v>
      </c>
      <c r="E180" s="28">
        <v>21001.557401330814</v>
      </c>
      <c r="F180" s="27">
        <f t="shared" si="5"/>
        <v>4174.6520038614362</v>
      </c>
      <c r="G180" s="27">
        <f t="shared" si="4"/>
        <v>16.581733718025365</v>
      </c>
      <c r="H180" s="29">
        <v>61</v>
      </c>
      <c r="I180" s="29">
        <v>5</v>
      </c>
      <c r="J180" s="12" t="s">
        <v>23</v>
      </c>
      <c r="K180" s="30">
        <v>40.813206666699998</v>
      </c>
      <c r="L180" s="30">
        <v>72.109205000000003</v>
      </c>
      <c r="M180" s="20">
        <v>160</v>
      </c>
    </row>
    <row r="181" spans="1:13" ht="30" customHeight="1">
      <c r="A181" s="5" t="s">
        <v>13</v>
      </c>
      <c r="B181" s="30" t="s">
        <v>387</v>
      </c>
      <c r="C181" s="30" t="s">
        <v>281</v>
      </c>
      <c r="D181" s="27">
        <v>19715.504045192254</v>
      </c>
      <c r="E181" s="28">
        <v>16224.03740133081</v>
      </c>
      <c r="F181" s="27">
        <f t="shared" si="5"/>
        <v>3491.466643861444</v>
      </c>
      <c r="G181" s="27">
        <f t="shared" si="4"/>
        <v>17.709243628051492</v>
      </c>
      <c r="H181" s="29">
        <v>18</v>
      </c>
      <c r="I181" s="29">
        <v>0</v>
      </c>
      <c r="J181" s="12" t="s">
        <v>23</v>
      </c>
      <c r="K181" s="30">
        <v>40.879336666699999</v>
      </c>
      <c r="L181" s="30">
        <v>71.986581666700005</v>
      </c>
      <c r="M181" s="20">
        <v>100</v>
      </c>
    </row>
    <row r="182" spans="1:13" ht="30" customHeight="1">
      <c r="A182" s="5" t="s">
        <v>13</v>
      </c>
      <c r="B182" s="30" t="s">
        <v>390</v>
      </c>
      <c r="C182" s="30" t="s">
        <v>282</v>
      </c>
      <c r="D182" s="27">
        <v>22557.588785192249</v>
      </c>
      <c r="E182" s="28">
        <v>18710.550734664143</v>
      </c>
      <c r="F182" s="27">
        <f t="shared" si="5"/>
        <v>3847.0380505281064</v>
      </c>
      <c r="G182" s="27">
        <f t="shared" si="4"/>
        <v>17.054296392943666</v>
      </c>
      <c r="H182" s="29">
        <v>28</v>
      </c>
      <c r="I182" s="29">
        <v>0</v>
      </c>
      <c r="J182" s="12" t="s">
        <v>23</v>
      </c>
      <c r="K182" s="30">
        <v>40.851741666700001</v>
      </c>
      <c r="L182" s="30">
        <v>72.133139999999997</v>
      </c>
      <c r="M182" s="20">
        <v>100</v>
      </c>
    </row>
    <row r="183" spans="1:13" ht="30" customHeight="1">
      <c r="A183" s="5" t="s">
        <v>13</v>
      </c>
      <c r="B183" s="30" t="s">
        <v>389</v>
      </c>
      <c r="C183" s="30" t="s">
        <v>283</v>
      </c>
      <c r="D183" s="27">
        <v>23605.563575192249</v>
      </c>
      <c r="E183" s="28">
        <v>19627.414067997477</v>
      </c>
      <c r="F183" s="27">
        <f t="shared" si="5"/>
        <v>3978.149507194772</v>
      </c>
      <c r="G183" s="27">
        <f t="shared" si="4"/>
        <v>16.852592798824432</v>
      </c>
      <c r="H183" s="29">
        <v>84</v>
      </c>
      <c r="I183" s="29">
        <v>2</v>
      </c>
      <c r="J183" s="12" t="s">
        <v>23</v>
      </c>
      <c r="K183" s="30">
        <v>40.878543333300001</v>
      </c>
      <c r="L183" s="30">
        <v>72.055769999999995</v>
      </c>
      <c r="M183" s="20">
        <v>250</v>
      </c>
    </row>
    <row r="184" spans="1:13" ht="30" customHeight="1">
      <c r="A184" s="5" t="s">
        <v>13</v>
      </c>
      <c r="B184" s="30" t="s">
        <v>385</v>
      </c>
      <c r="C184" s="30" t="s">
        <v>284</v>
      </c>
      <c r="D184" s="27">
        <v>25362.686045192251</v>
      </c>
      <c r="E184" s="28">
        <v>21164.704067997482</v>
      </c>
      <c r="F184" s="27">
        <f t="shared" si="5"/>
        <v>4197.9819771947696</v>
      </c>
      <c r="G184" s="27">
        <f t="shared" si="4"/>
        <v>16.551803581508032</v>
      </c>
      <c r="H184" s="29">
        <v>97</v>
      </c>
      <c r="I184" s="29">
        <v>0</v>
      </c>
      <c r="J184" s="12" t="s">
        <v>23</v>
      </c>
      <c r="K184" s="30">
        <v>40.863901666700002</v>
      </c>
      <c r="L184" s="30">
        <v>71.990183333299996</v>
      </c>
      <c r="M184" s="20">
        <v>100</v>
      </c>
    </row>
    <row r="185" spans="1:13" ht="30" customHeight="1">
      <c r="A185" s="5" t="s">
        <v>13</v>
      </c>
      <c r="B185" s="30" t="s">
        <v>384</v>
      </c>
      <c r="C185" s="30" t="s">
        <v>112</v>
      </c>
      <c r="D185" s="27">
        <v>22963.010885192252</v>
      </c>
      <c r="E185" s="28">
        <v>19065.250734664143</v>
      </c>
      <c r="F185" s="27">
        <f t="shared" si="5"/>
        <v>3897.7601505281091</v>
      </c>
      <c r="G185" s="27">
        <f t="shared" si="4"/>
        <v>16.974081360739973</v>
      </c>
      <c r="H185" s="29">
        <v>94</v>
      </c>
      <c r="I185" s="29">
        <v>3</v>
      </c>
      <c r="J185" s="12" t="s">
        <v>19</v>
      </c>
      <c r="K185" s="30">
        <v>40.877413333299998</v>
      </c>
      <c r="L185" s="30">
        <v>71.930764999999994</v>
      </c>
      <c r="M185" s="20">
        <v>160</v>
      </c>
    </row>
    <row r="186" spans="1:13" ht="30" customHeight="1">
      <c r="A186" s="5" t="s">
        <v>13</v>
      </c>
      <c r="B186" s="30" t="s">
        <v>388</v>
      </c>
      <c r="C186" s="30" t="s">
        <v>285</v>
      </c>
      <c r="D186" s="27">
        <v>21211.858685192252</v>
      </c>
      <c r="E186" s="28">
        <v>17533.184067997478</v>
      </c>
      <c r="F186" s="27">
        <f t="shared" si="5"/>
        <v>3678.6746171947743</v>
      </c>
      <c r="G186" s="27">
        <f t="shared" si="4"/>
        <v>17.342537831268949</v>
      </c>
      <c r="H186" s="29">
        <v>47</v>
      </c>
      <c r="I186" s="29">
        <v>0</v>
      </c>
      <c r="J186" s="12" t="s">
        <v>19</v>
      </c>
      <c r="K186" s="30">
        <v>40.874026666600002</v>
      </c>
      <c r="L186" s="30">
        <v>72.094549999700007</v>
      </c>
      <c r="M186" s="20">
        <v>160</v>
      </c>
    </row>
    <row r="187" spans="1:13" ht="30" customHeight="1">
      <c r="A187" s="5" t="s">
        <v>13</v>
      </c>
      <c r="B187" s="30" t="s">
        <v>387</v>
      </c>
      <c r="C187" s="30" t="s">
        <v>286</v>
      </c>
      <c r="D187" s="27">
        <v>30875.29884519225</v>
      </c>
      <c r="E187" s="28">
        <v>25987.637401330816</v>
      </c>
      <c r="F187" s="27">
        <f t="shared" si="5"/>
        <v>4887.6614438614342</v>
      </c>
      <c r="G187" s="27">
        <f t="shared" si="4"/>
        <v>15.830329184400808</v>
      </c>
      <c r="H187" s="29">
        <v>54</v>
      </c>
      <c r="I187" s="29">
        <v>3</v>
      </c>
      <c r="J187" s="12" t="s">
        <v>19</v>
      </c>
      <c r="K187" s="30">
        <v>40.8828566667</v>
      </c>
      <c r="L187" s="30">
        <v>71.988209999999995</v>
      </c>
      <c r="M187" s="20">
        <v>160</v>
      </c>
    </row>
    <row r="188" spans="1:13" ht="30" customHeight="1">
      <c r="A188" s="5" t="s">
        <v>13</v>
      </c>
      <c r="B188" s="30" t="s">
        <v>390</v>
      </c>
      <c r="C188" s="30" t="s">
        <v>287</v>
      </c>
      <c r="D188" s="27">
        <v>22247.274572192251</v>
      </c>
      <c r="E188" s="28">
        <v>18439.059734664144</v>
      </c>
      <c r="F188" s="27">
        <f t="shared" si="5"/>
        <v>3808.2148375281067</v>
      </c>
      <c r="G188" s="27">
        <f t="shared" si="4"/>
        <v>17.117669066251132</v>
      </c>
      <c r="H188" s="29">
        <v>72</v>
      </c>
      <c r="I188" s="29">
        <v>0</v>
      </c>
      <c r="J188" s="12" t="s">
        <v>19</v>
      </c>
      <c r="K188" s="30">
        <v>40.859856666699997</v>
      </c>
      <c r="L188" s="30">
        <v>72.077610000000007</v>
      </c>
      <c r="M188" s="20">
        <v>63</v>
      </c>
    </row>
    <row r="189" spans="1:13" ht="30" customHeight="1">
      <c r="A189" s="5" t="s">
        <v>13</v>
      </c>
      <c r="B189" s="30" t="s">
        <v>391</v>
      </c>
      <c r="C189" s="30" t="s">
        <v>288</v>
      </c>
      <c r="D189" s="27">
        <v>23443.973855192246</v>
      </c>
      <c r="E189" s="28">
        <v>19486.040734664144</v>
      </c>
      <c r="F189" s="27">
        <f t="shared" si="5"/>
        <v>3957.9331205281014</v>
      </c>
      <c r="G189" s="27">
        <f t="shared" si="4"/>
        <v>16.882518061892139</v>
      </c>
      <c r="H189" s="29">
        <v>84</v>
      </c>
      <c r="I189" s="29">
        <v>0</v>
      </c>
      <c r="J189" s="12" t="s">
        <v>23</v>
      </c>
      <c r="K189" s="30">
        <v>40.848528333300003</v>
      </c>
      <c r="L189" s="30">
        <v>72.072953333300006</v>
      </c>
      <c r="M189" s="20">
        <v>100</v>
      </c>
    </row>
    <row r="190" spans="1:13" ht="30" customHeight="1">
      <c r="A190" s="5" t="s">
        <v>13</v>
      </c>
      <c r="B190" s="30" t="s">
        <v>390</v>
      </c>
      <c r="C190" s="30" t="s">
        <v>289</v>
      </c>
      <c r="D190" s="27">
        <v>21927.163325192243</v>
      </c>
      <c r="E190" s="28">
        <v>18158.997401330809</v>
      </c>
      <c r="F190" s="27">
        <f t="shared" si="5"/>
        <v>3768.1659238614338</v>
      </c>
      <c r="G190" s="27">
        <f t="shared" si="4"/>
        <v>17.184922043847628</v>
      </c>
      <c r="H190" s="29">
        <v>56</v>
      </c>
      <c r="I190" s="29">
        <v>2</v>
      </c>
      <c r="J190" s="12" t="s">
        <v>19</v>
      </c>
      <c r="K190" s="30">
        <v>40.877876666699997</v>
      </c>
      <c r="L190" s="30">
        <v>72.082390000000004</v>
      </c>
      <c r="M190" s="20">
        <v>100</v>
      </c>
    </row>
    <row r="191" spans="1:13" ht="30" customHeight="1">
      <c r="A191" s="5" t="s">
        <v>13</v>
      </c>
      <c r="B191" s="30" t="s">
        <v>384</v>
      </c>
      <c r="C191" s="30" t="s">
        <v>97</v>
      </c>
      <c r="D191" s="27">
        <v>21572.886665192251</v>
      </c>
      <c r="E191" s="28">
        <v>17849.044067997478</v>
      </c>
      <c r="F191" s="27">
        <f t="shared" si="5"/>
        <v>3723.8425971947727</v>
      </c>
      <c r="G191" s="27">
        <f t="shared" si="4"/>
        <v>17.261679695389002</v>
      </c>
      <c r="H191" s="29">
        <v>39</v>
      </c>
      <c r="I191" s="29">
        <v>0</v>
      </c>
      <c r="J191" s="12" t="s">
        <v>19</v>
      </c>
      <c r="K191" s="30">
        <v>40.864673333299997</v>
      </c>
      <c r="L191" s="30">
        <v>71.946511666700005</v>
      </c>
      <c r="M191" s="20">
        <v>100</v>
      </c>
    </row>
    <row r="192" spans="1:13" ht="30" customHeight="1">
      <c r="A192" s="5" t="s">
        <v>30</v>
      </c>
      <c r="B192" s="30" t="s">
        <v>385</v>
      </c>
      <c r="C192" s="30" t="s">
        <v>290</v>
      </c>
      <c r="D192" s="27">
        <v>29302.328915192258</v>
      </c>
      <c r="E192" s="28">
        <v>24611.46073466415</v>
      </c>
      <c r="F192" s="27">
        <f t="shared" si="5"/>
        <v>4690.8681805281085</v>
      </c>
      <c r="G192" s="27">
        <f t="shared" si="4"/>
        <v>16.008516572537868</v>
      </c>
      <c r="H192" s="29">
        <v>81</v>
      </c>
      <c r="I192" s="29">
        <v>2</v>
      </c>
      <c r="J192" s="12" t="s">
        <v>33</v>
      </c>
      <c r="K192" s="30">
        <v>40.865333333300001</v>
      </c>
      <c r="L192" s="30">
        <v>71.986301666700001</v>
      </c>
      <c r="M192" s="20">
        <v>160</v>
      </c>
    </row>
    <row r="193" spans="1:13" ht="30" customHeight="1">
      <c r="A193" s="5" t="s">
        <v>30</v>
      </c>
      <c r="B193" s="30" t="s">
        <v>388</v>
      </c>
      <c r="C193" s="30" t="s">
        <v>291</v>
      </c>
      <c r="D193" s="27">
        <v>23690.183675192249</v>
      </c>
      <c r="E193" s="28">
        <v>19701.44740133081</v>
      </c>
      <c r="F193" s="27">
        <f t="shared" si="5"/>
        <v>3988.7362738614393</v>
      </c>
      <c r="G193" s="27">
        <f t="shared" si="4"/>
        <v>16.837084627749597</v>
      </c>
      <c r="H193" s="29">
        <v>105</v>
      </c>
      <c r="I193" s="29">
        <v>0</v>
      </c>
      <c r="J193" s="12" t="s">
        <v>42</v>
      </c>
      <c r="K193" s="30">
        <v>40.872945000000001</v>
      </c>
      <c r="L193" s="30">
        <v>72.003528333299997</v>
      </c>
      <c r="M193" s="21">
        <v>250</v>
      </c>
    </row>
    <row r="194" spans="1:13" ht="30" customHeight="1">
      <c r="A194" s="5" t="s">
        <v>30</v>
      </c>
      <c r="B194" s="30" t="s">
        <v>384</v>
      </c>
      <c r="C194" s="30" t="s">
        <v>116</v>
      </c>
      <c r="D194" s="27">
        <v>34223.530655192255</v>
      </c>
      <c r="E194" s="28">
        <v>28916.974067997478</v>
      </c>
      <c r="F194" s="27">
        <f t="shared" si="5"/>
        <v>5306.5565871947765</v>
      </c>
      <c r="G194" s="27">
        <f t="shared" si="4"/>
        <v>15.505579014214561</v>
      </c>
      <c r="H194" s="29">
        <v>105</v>
      </c>
      <c r="I194" s="29">
        <v>2</v>
      </c>
      <c r="J194" s="12" t="s">
        <v>42</v>
      </c>
      <c r="K194" s="30">
        <v>40.890994999999997</v>
      </c>
      <c r="L194" s="30">
        <v>71.932898333300002</v>
      </c>
      <c r="M194" s="20">
        <v>400</v>
      </c>
    </row>
    <row r="195" spans="1:13" ht="30" customHeight="1">
      <c r="A195" s="5" t="s">
        <v>30</v>
      </c>
      <c r="B195" s="30" t="s">
        <v>389</v>
      </c>
      <c r="C195" s="30" t="s">
        <v>292</v>
      </c>
      <c r="D195" s="27">
        <v>20681.12187519225</v>
      </c>
      <c r="E195" s="28">
        <v>17068.847401330811</v>
      </c>
      <c r="F195" s="27">
        <f t="shared" si="5"/>
        <v>3612.2744738614383</v>
      </c>
      <c r="G195" s="27">
        <f t="shared" ref="G195:G258" si="6">+F195*100/D195</f>
        <v>17.466530566673423</v>
      </c>
      <c r="H195" s="29">
        <v>26</v>
      </c>
      <c r="I195" s="29">
        <v>0</v>
      </c>
      <c r="J195" s="12" t="s">
        <v>42</v>
      </c>
      <c r="K195" s="30">
        <v>40.87829</v>
      </c>
      <c r="L195" s="30">
        <v>72.038823333300002</v>
      </c>
      <c r="M195" s="20">
        <v>160</v>
      </c>
    </row>
    <row r="196" spans="1:13" ht="30" customHeight="1">
      <c r="A196" s="5" t="s">
        <v>30</v>
      </c>
      <c r="B196" s="30" t="s">
        <v>392</v>
      </c>
      <c r="C196" s="30" t="s">
        <v>293</v>
      </c>
      <c r="D196" s="27">
        <v>21626.24571519225</v>
      </c>
      <c r="E196" s="28">
        <v>17895.727401330809</v>
      </c>
      <c r="F196" s="27">
        <f t="shared" si="5"/>
        <v>3730.5183138614411</v>
      </c>
      <c r="G196" s="27">
        <f t="shared" si="6"/>
        <v>17.249958050928758</v>
      </c>
      <c r="H196" s="29">
        <v>91</v>
      </c>
      <c r="I196" s="29">
        <v>2</v>
      </c>
      <c r="J196" s="12" t="s">
        <v>51</v>
      </c>
      <c r="K196" s="30">
        <v>40.838336666700002</v>
      </c>
      <c r="L196" s="30">
        <v>72.207795000000004</v>
      </c>
      <c r="M196" s="20">
        <v>100</v>
      </c>
    </row>
    <row r="197" spans="1:13" ht="30" customHeight="1">
      <c r="A197" s="5" t="s">
        <v>30</v>
      </c>
      <c r="B197" s="30" t="s">
        <v>392</v>
      </c>
      <c r="C197" s="30" t="s">
        <v>294</v>
      </c>
      <c r="D197" s="27">
        <v>22789.834955192247</v>
      </c>
      <c r="E197" s="28">
        <v>18913.740734664145</v>
      </c>
      <c r="F197" s="27">
        <f t="shared" ref="F197:F260" si="7">+D197-E197</f>
        <v>3876.0942205281026</v>
      </c>
      <c r="G197" s="27">
        <f t="shared" si="6"/>
        <v>17.007996012911033</v>
      </c>
      <c r="H197" s="29">
        <v>78</v>
      </c>
      <c r="I197" s="29">
        <v>0</v>
      </c>
      <c r="J197" s="12" t="s">
        <v>51</v>
      </c>
      <c r="K197" s="30">
        <v>40.839168333300002</v>
      </c>
      <c r="L197" s="30">
        <v>72.209829999999997</v>
      </c>
      <c r="M197" s="20">
        <v>100</v>
      </c>
    </row>
    <row r="198" spans="1:13" ht="30" customHeight="1">
      <c r="A198" s="5" t="s">
        <v>30</v>
      </c>
      <c r="B198" s="30" t="s">
        <v>388</v>
      </c>
      <c r="C198" s="30" t="s">
        <v>295</v>
      </c>
      <c r="D198" s="27">
        <v>25564.113125192245</v>
      </c>
      <c r="E198" s="28">
        <v>21340.930734664144</v>
      </c>
      <c r="F198" s="27">
        <f t="shared" si="7"/>
        <v>4223.1823905281017</v>
      </c>
      <c r="G198" s="27">
        <f t="shared" si="6"/>
        <v>16.519964412011429</v>
      </c>
      <c r="H198" s="29">
        <v>104</v>
      </c>
      <c r="I198" s="29">
        <v>2</v>
      </c>
      <c r="J198" s="12" t="s">
        <v>51</v>
      </c>
      <c r="K198" s="30">
        <v>40.875433333300002</v>
      </c>
      <c r="L198" s="30">
        <v>72.019919999999999</v>
      </c>
      <c r="M198" s="20">
        <v>160</v>
      </c>
    </row>
    <row r="199" spans="1:13" ht="30" customHeight="1">
      <c r="A199" s="5" t="s">
        <v>30</v>
      </c>
      <c r="B199" s="30" t="s">
        <v>388</v>
      </c>
      <c r="C199" s="30" t="s">
        <v>296</v>
      </c>
      <c r="D199" s="27">
        <v>20244.636845192254</v>
      </c>
      <c r="E199" s="28">
        <v>16686.970734664144</v>
      </c>
      <c r="F199" s="27">
        <f t="shared" si="7"/>
        <v>3557.6661105281091</v>
      </c>
      <c r="G199" s="27">
        <f t="shared" si="6"/>
        <v>17.573375791984102</v>
      </c>
      <c r="H199" s="29">
        <v>25</v>
      </c>
      <c r="I199" s="29">
        <v>2</v>
      </c>
      <c r="J199" s="12" t="s">
        <v>51</v>
      </c>
      <c r="K199" s="30">
        <v>40.874026666600002</v>
      </c>
      <c r="L199" s="30">
        <v>72.094549999700007</v>
      </c>
      <c r="M199" s="20">
        <v>250</v>
      </c>
    </row>
    <row r="200" spans="1:13" ht="30" customHeight="1">
      <c r="A200" s="5" t="s">
        <v>30</v>
      </c>
      <c r="B200" s="30" t="s">
        <v>386</v>
      </c>
      <c r="C200" s="30" t="s">
        <v>297</v>
      </c>
      <c r="D200" s="27">
        <v>20937.633935192251</v>
      </c>
      <c r="E200" s="28">
        <v>17293.26740133081</v>
      </c>
      <c r="F200" s="27">
        <f t="shared" si="7"/>
        <v>3644.366533861441</v>
      </c>
      <c r="G200" s="27">
        <f t="shared" si="6"/>
        <v>17.405818370603669</v>
      </c>
      <c r="H200" s="29">
        <v>58</v>
      </c>
      <c r="I200" s="29">
        <v>0</v>
      </c>
      <c r="J200" s="12"/>
      <c r="K200" s="30">
        <v>40.872078333300003</v>
      </c>
      <c r="L200" s="30">
        <v>71.959788333299997</v>
      </c>
      <c r="M200" s="20">
        <v>63</v>
      </c>
    </row>
    <row r="201" spans="1:13" ht="30" customHeight="1">
      <c r="A201" s="5" t="s">
        <v>30</v>
      </c>
      <c r="B201" s="30" t="s">
        <v>387</v>
      </c>
      <c r="C201" s="30" t="s">
        <v>298</v>
      </c>
      <c r="D201" s="27">
        <v>21303.005315192248</v>
      </c>
      <c r="E201" s="28">
        <v>17612.92740133081</v>
      </c>
      <c r="F201" s="27">
        <f t="shared" si="7"/>
        <v>3690.077913861438</v>
      </c>
      <c r="G201" s="27">
        <f t="shared" si="6"/>
        <v>17.321865432901419</v>
      </c>
      <c r="H201" s="29">
        <v>51</v>
      </c>
      <c r="I201" s="29">
        <v>0</v>
      </c>
      <c r="J201" s="12" t="s">
        <v>52</v>
      </c>
      <c r="K201" s="30">
        <v>40.885644999999997</v>
      </c>
      <c r="L201" s="30">
        <v>71.975255000000004</v>
      </c>
      <c r="M201" s="20">
        <v>250</v>
      </c>
    </row>
    <row r="202" spans="1:13" ht="30" customHeight="1">
      <c r="A202" s="19" t="s">
        <v>30</v>
      </c>
      <c r="B202" s="30" t="s">
        <v>387</v>
      </c>
      <c r="C202" s="30" t="s">
        <v>299</v>
      </c>
      <c r="D202" s="27">
        <v>20586.824375192249</v>
      </c>
      <c r="E202" s="28">
        <v>16986.347401330811</v>
      </c>
      <c r="F202" s="27">
        <f t="shared" si="7"/>
        <v>3600.4769738614377</v>
      </c>
      <c r="G202" s="27">
        <f t="shared" si="6"/>
        <v>17.489229558882926</v>
      </c>
      <c r="H202" s="29">
        <v>46</v>
      </c>
      <c r="I202" s="29">
        <v>2</v>
      </c>
      <c r="J202" s="13" t="s">
        <v>52</v>
      </c>
      <c r="K202" s="30">
        <v>40.883506666700001</v>
      </c>
      <c r="L202" s="30">
        <v>71.977718333300004</v>
      </c>
      <c r="M202" s="20">
        <v>250</v>
      </c>
    </row>
    <row r="203" spans="1:13" ht="30" customHeight="1">
      <c r="A203" s="19" t="s">
        <v>30</v>
      </c>
      <c r="B203" s="30" t="s">
        <v>389</v>
      </c>
      <c r="C203" s="30" t="s">
        <v>300</v>
      </c>
      <c r="D203" s="27">
        <v>19052.072555192251</v>
      </c>
      <c r="E203" s="28">
        <v>15643.60740133081</v>
      </c>
      <c r="F203" s="27">
        <f t="shared" si="7"/>
        <v>3408.4651538614416</v>
      </c>
      <c r="G203" s="27">
        <f t="shared" si="6"/>
        <v>17.890259151530127</v>
      </c>
      <c r="H203" s="29">
        <v>28</v>
      </c>
      <c r="I203" s="29">
        <v>2</v>
      </c>
      <c r="J203" s="13" t="s">
        <v>52</v>
      </c>
      <c r="K203" s="30">
        <v>40.877465000000001</v>
      </c>
      <c r="L203" s="30">
        <v>72.08811</v>
      </c>
      <c r="M203" s="20">
        <v>250</v>
      </c>
    </row>
    <row r="204" spans="1:13" ht="30" customHeight="1">
      <c r="A204" s="19" t="s">
        <v>30</v>
      </c>
      <c r="B204" s="30" t="s">
        <v>390</v>
      </c>
      <c r="C204" s="30" t="s">
        <v>301</v>
      </c>
      <c r="D204" s="27">
        <v>27936.104825192255</v>
      </c>
      <c r="E204" s="28">
        <v>23416.164067997481</v>
      </c>
      <c r="F204" s="27">
        <f t="shared" si="7"/>
        <v>4519.9407571947741</v>
      </c>
      <c r="G204" s="27">
        <f t="shared" si="6"/>
        <v>16.179566856145158</v>
      </c>
      <c r="H204" s="29">
        <v>91</v>
      </c>
      <c r="I204" s="29">
        <v>0</v>
      </c>
      <c r="J204" s="13" t="s">
        <v>53</v>
      </c>
      <c r="K204" s="30">
        <v>40.861406666699999</v>
      </c>
      <c r="L204" s="30">
        <v>72.060223333300002</v>
      </c>
      <c r="M204" s="20">
        <v>100</v>
      </c>
    </row>
    <row r="205" spans="1:13" ht="30" customHeight="1">
      <c r="A205" s="19" t="s">
        <v>30</v>
      </c>
      <c r="B205" s="30" t="s">
        <v>388</v>
      </c>
      <c r="C205" s="30" t="s">
        <v>302</v>
      </c>
      <c r="D205" s="27">
        <v>22352.26788519225</v>
      </c>
      <c r="E205" s="28">
        <v>18530.917401330811</v>
      </c>
      <c r="F205" s="27">
        <f t="shared" si="7"/>
        <v>3821.350483861439</v>
      </c>
      <c r="G205" s="27">
        <f t="shared" si="6"/>
        <v>17.096030270794024</v>
      </c>
      <c r="H205" s="29">
        <v>70</v>
      </c>
      <c r="I205" s="29">
        <v>0</v>
      </c>
      <c r="J205" s="13" t="s">
        <v>53</v>
      </c>
      <c r="K205" s="30">
        <v>40.876036666700003</v>
      </c>
      <c r="L205" s="30">
        <v>72.012455000000003</v>
      </c>
      <c r="M205" s="20">
        <v>63</v>
      </c>
    </row>
    <row r="206" spans="1:13" ht="30" customHeight="1">
      <c r="A206" s="19" t="s">
        <v>30</v>
      </c>
      <c r="B206" s="30" t="s">
        <v>387</v>
      </c>
      <c r="C206" s="30" t="s">
        <v>303</v>
      </c>
      <c r="D206" s="27">
        <v>41919.928775192253</v>
      </c>
      <c r="E206" s="28">
        <v>35650.480734664132</v>
      </c>
      <c r="F206" s="27">
        <f t="shared" si="7"/>
        <v>6269.4480405281211</v>
      </c>
      <c r="G206" s="27">
        <f t="shared" si="6"/>
        <v>14.955769782314874</v>
      </c>
      <c r="H206" s="29">
        <v>141</v>
      </c>
      <c r="I206" s="29">
        <v>0</v>
      </c>
      <c r="J206" s="13" t="s">
        <v>53</v>
      </c>
      <c r="K206" s="30">
        <v>40.878603333299999</v>
      </c>
      <c r="L206" s="30">
        <v>71.971546666699993</v>
      </c>
      <c r="M206" s="20">
        <v>100</v>
      </c>
    </row>
    <row r="207" spans="1:13" ht="30" customHeight="1">
      <c r="A207" s="19" t="s">
        <v>30</v>
      </c>
      <c r="B207" s="30" t="s">
        <v>388</v>
      </c>
      <c r="C207" s="30" t="s">
        <v>304</v>
      </c>
      <c r="D207" s="27">
        <v>21249.836765192253</v>
      </c>
      <c r="E207" s="28">
        <v>17566.410734664143</v>
      </c>
      <c r="F207" s="27">
        <f t="shared" si="7"/>
        <v>3683.4260305281095</v>
      </c>
      <c r="G207" s="27">
        <f t="shared" si="6"/>
        <v>17.33390270819233</v>
      </c>
      <c r="H207" s="29">
        <v>54</v>
      </c>
      <c r="I207" s="29">
        <v>0</v>
      </c>
      <c r="J207" s="13" t="s">
        <v>53</v>
      </c>
      <c r="K207" s="30">
        <v>40.877144999999999</v>
      </c>
      <c r="L207" s="30">
        <v>72.008285000000001</v>
      </c>
      <c r="M207" s="20">
        <v>160</v>
      </c>
    </row>
    <row r="208" spans="1:13" ht="30" customHeight="1">
      <c r="A208" s="19" t="s">
        <v>30</v>
      </c>
      <c r="B208" s="30" t="s">
        <v>389</v>
      </c>
      <c r="C208" s="30" t="s">
        <v>305</v>
      </c>
      <c r="D208" s="27">
        <v>24366.984455192247</v>
      </c>
      <c r="E208" s="28">
        <v>20293.574067997477</v>
      </c>
      <c r="F208" s="27">
        <f t="shared" si="7"/>
        <v>4073.41038719477</v>
      </c>
      <c r="G208" s="27">
        <f t="shared" si="6"/>
        <v>16.716924470835725</v>
      </c>
      <c r="H208" s="29">
        <v>120</v>
      </c>
      <c r="I208" s="29">
        <v>0</v>
      </c>
      <c r="J208" s="13" t="s">
        <v>53</v>
      </c>
      <c r="K208" s="30">
        <v>40.881168333300003</v>
      </c>
      <c r="L208" s="30">
        <v>72.049769999999995</v>
      </c>
      <c r="M208" s="20">
        <v>160</v>
      </c>
    </row>
    <row r="209" spans="1:13" ht="30" customHeight="1">
      <c r="A209" s="19" t="s">
        <v>30</v>
      </c>
      <c r="B209" s="30" t="s">
        <v>390</v>
      </c>
      <c r="C209" s="30" t="s">
        <v>306</v>
      </c>
      <c r="D209" s="27">
        <v>20287.145015192255</v>
      </c>
      <c r="E209" s="28">
        <v>16724.160734664143</v>
      </c>
      <c r="F209" s="27">
        <f t="shared" si="7"/>
        <v>3562.9842805281114</v>
      </c>
      <c r="G209" s="27">
        <f t="shared" si="6"/>
        <v>17.562768333641479</v>
      </c>
      <c r="H209" s="29">
        <v>87</v>
      </c>
      <c r="I209" s="29">
        <v>8</v>
      </c>
      <c r="J209" s="13" t="s">
        <v>53</v>
      </c>
      <c r="K209" s="30">
        <v>40.850251666699997</v>
      </c>
      <c r="L209" s="30">
        <v>72.055284999999998</v>
      </c>
      <c r="M209" s="20">
        <v>250</v>
      </c>
    </row>
    <row r="210" spans="1:13" ht="30" customHeight="1">
      <c r="A210" s="19" t="s">
        <v>30</v>
      </c>
      <c r="B210" s="30" t="s">
        <v>389</v>
      </c>
      <c r="C210" s="30" t="s">
        <v>307</v>
      </c>
      <c r="D210" s="27">
        <v>26263.975835192257</v>
      </c>
      <c r="E210" s="28">
        <v>21953.23406799748</v>
      </c>
      <c r="F210" s="27">
        <f t="shared" si="7"/>
        <v>4310.7417671947769</v>
      </c>
      <c r="G210" s="27">
        <f t="shared" si="6"/>
        <v>16.413134836267343</v>
      </c>
      <c r="H210" s="29">
        <v>58</v>
      </c>
      <c r="I210" s="29">
        <v>0</v>
      </c>
      <c r="J210" s="13" t="s">
        <v>53</v>
      </c>
      <c r="K210" s="30">
        <v>40.8797483333</v>
      </c>
      <c r="L210" s="30">
        <v>72.029821666700002</v>
      </c>
      <c r="M210" s="20">
        <v>40</v>
      </c>
    </row>
    <row r="211" spans="1:13" ht="30" customHeight="1">
      <c r="A211" s="19" t="s">
        <v>30</v>
      </c>
      <c r="B211" s="30" t="s">
        <v>387</v>
      </c>
      <c r="C211" s="30" t="s">
        <v>308</v>
      </c>
      <c r="D211" s="27">
        <v>24630.31641519225</v>
      </c>
      <c r="E211" s="28">
        <v>20523.960734664142</v>
      </c>
      <c r="F211" s="27">
        <f t="shared" si="7"/>
        <v>4106.3556805281078</v>
      </c>
      <c r="G211" s="27">
        <f t="shared" si="6"/>
        <v>16.67195667041964</v>
      </c>
      <c r="H211" s="29">
        <v>51</v>
      </c>
      <c r="I211" s="29">
        <v>0</v>
      </c>
      <c r="J211" s="13" t="s">
        <v>49</v>
      </c>
      <c r="K211" s="30">
        <v>40.87462</v>
      </c>
      <c r="L211" s="30">
        <v>71.975811666699997</v>
      </c>
      <c r="M211" s="20">
        <v>250</v>
      </c>
    </row>
    <row r="212" spans="1:13" ht="30" customHeight="1">
      <c r="A212" s="19" t="s">
        <v>30</v>
      </c>
      <c r="B212" s="30" t="s">
        <v>392</v>
      </c>
      <c r="C212" s="30" t="s">
        <v>309</v>
      </c>
      <c r="D212" s="27">
        <v>19837.584065192248</v>
      </c>
      <c r="E212" s="28">
        <v>16330.844067997477</v>
      </c>
      <c r="F212" s="27">
        <f t="shared" si="7"/>
        <v>3506.7399971947707</v>
      </c>
      <c r="G212" s="27">
        <f t="shared" si="6"/>
        <v>17.677253367499652</v>
      </c>
      <c r="H212" s="29">
        <v>63</v>
      </c>
      <c r="I212" s="29">
        <v>2</v>
      </c>
      <c r="J212" s="13" t="s">
        <v>49</v>
      </c>
      <c r="K212" s="30">
        <v>40.841295000000002</v>
      </c>
      <c r="L212" s="30">
        <v>72.169233333299999</v>
      </c>
      <c r="M212" s="20">
        <v>63</v>
      </c>
    </row>
    <row r="213" spans="1:13" ht="30" customHeight="1">
      <c r="A213" s="19" t="s">
        <v>30</v>
      </c>
      <c r="B213" s="30" t="s">
        <v>389</v>
      </c>
      <c r="C213" s="30" t="s">
        <v>310</v>
      </c>
      <c r="D213" s="27">
        <v>23295.703895192248</v>
      </c>
      <c r="E213" s="28">
        <v>19356.320734664143</v>
      </c>
      <c r="F213" s="27">
        <f t="shared" si="7"/>
        <v>3939.3831605281048</v>
      </c>
      <c r="G213" s="27">
        <f t="shared" si="6"/>
        <v>16.910341830628745</v>
      </c>
      <c r="H213" s="29">
        <v>70</v>
      </c>
      <c r="I213" s="29">
        <v>2</v>
      </c>
      <c r="J213" s="13" t="s">
        <v>54</v>
      </c>
      <c r="K213" s="30">
        <v>40.8741466667</v>
      </c>
      <c r="L213" s="30">
        <v>72.027926666699997</v>
      </c>
      <c r="M213" s="20">
        <v>25</v>
      </c>
    </row>
    <row r="214" spans="1:13" ht="30" customHeight="1">
      <c r="A214" s="19" t="s">
        <v>30</v>
      </c>
      <c r="B214" s="30" t="s">
        <v>392</v>
      </c>
      <c r="C214" s="30" t="s">
        <v>311</v>
      </c>
      <c r="D214" s="27">
        <v>19838.113655192254</v>
      </c>
      <c r="E214" s="28">
        <v>16331.307401330811</v>
      </c>
      <c r="F214" s="27">
        <f t="shared" si="7"/>
        <v>3506.8062538614431</v>
      </c>
      <c r="G214" s="27">
        <f t="shared" si="6"/>
        <v>17.677115449651648</v>
      </c>
      <c r="H214" s="29">
        <v>58</v>
      </c>
      <c r="I214" s="29">
        <v>0</v>
      </c>
      <c r="J214" s="13" t="s">
        <v>52</v>
      </c>
      <c r="K214" s="30">
        <v>40.822923333299997</v>
      </c>
      <c r="L214" s="30">
        <v>72.176041666700002</v>
      </c>
      <c r="M214" s="20">
        <v>100</v>
      </c>
    </row>
    <row r="215" spans="1:13" ht="30" customHeight="1">
      <c r="A215" s="19" t="s">
        <v>30</v>
      </c>
      <c r="B215" s="30" t="s">
        <v>388</v>
      </c>
      <c r="C215" s="30" t="s">
        <v>312</v>
      </c>
      <c r="D215" s="27">
        <v>21404.86566519225</v>
      </c>
      <c r="E215" s="28">
        <v>17702.044067997478</v>
      </c>
      <c r="F215" s="27">
        <f t="shared" si="7"/>
        <v>3702.821597194772</v>
      </c>
      <c r="G215" s="27">
        <f t="shared" si="6"/>
        <v>17.29897143534124</v>
      </c>
      <c r="H215" s="29">
        <v>76</v>
      </c>
      <c r="I215" s="29">
        <v>0</v>
      </c>
      <c r="J215" s="13" t="s">
        <v>42</v>
      </c>
      <c r="K215" s="30">
        <v>40.871153333300001</v>
      </c>
      <c r="L215" s="30">
        <v>72.022553333299996</v>
      </c>
      <c r="M215" s="20">
        <v>250</v>
      </c>
    </row>
    <row r="216" spans="1:13" ht="30" customHeight="1">
      <c r="A216" s="19" t="s">
        <v>30</v>
      </c>
      <c r="B216" s="30" t="s">
        <v>389</v>
      </c>
      <c r="C216" s="30" t="s">
        <v>313</v>
      </c>
      <c r="D216" s="27">
        <v>32022.684155192255</v>
      </c>
      <c r="E216" s="28">
        <v>26991.474067997478</v>
      </c>
      <c r="F216" s="27">
        <f t="shared" si="7"/>
        <v>5031.2100871947769</v>
      </c>
      <c r="G216" s="27">
        <f t="shared" si="6"/>
        <v>15.711394031842897</v>
      </c>
      <c r="H216" s="29">
        <v>99</v>
      </c>
      <c r="I216" s="29">
        <v>3</v>
      </c>
      <c r="J216" s="13" t="s">
        <v>27</v>
      </c>
      <c r="K216" s="30">
        <v>40.879914999999997</v>
      </c>
      <c r="L216" s="30">
        <v>72.089108333300004</v>
      </c>
      <c r="M216" s="20">
        <v>40</v>
      </c>
    </row>
    <row r="217" spans="1:13" ht="30" customHeight="1">
      <c r="A217" s="19" t="s">
        <v>30</v>
      </c>
      <c r="B217" s="30" t="s">
        <v>388</v>
      </c>
      <c r="C217" s="30" t="s">
        <v>314</v>
      </c>
      <c r="D217" s="27">
        <v>20640.907325192253</v>
      </c>
      <c r="E217" s="28">
        <v>17033.664067997477</v>
      </c>
      <c r="F217" s="27">
        <f t="shared" si="7"/>
        <v>3607.2432571947757</v>
      </c>
      <c r="G217" s="27">
        <f t="shared" si="6"/>
        <v>17.476185520159429</v>
      </c>
      <c r="H217" s="29">
        <v>54</v>
      </c>
      <c r="I217" s="29">
        <v>2</v>
      </c>
      <c r="J217" s="13" t="s">
        <v>32</v>
      </c>
      <c r="K217" s="30">
        <v>40.876891666699997</v>
      </c>
      <c r="L217" s="30">
        <v>71.987205000000003</v>
      </c>
      <c r="M217" s="19">
        <v>160</v>
      </c>
    </row>
    <row r="218" spans="1:13" ht="30" customHeight="1">
      <c r="A218" s="19" t="s">
        <v>30</v>
      </c>
      <c r="B218" s="30" t="s">
        <v>388</v>
      </c>
      <c r="C218" s="30" t="s">
        <v>315</v>
      </c>
      <c r="D218" s="27">
        <v>20866.779365192247</v>
      </c>
      <c r="E218" s="28">
        <v>17231.277401330812</v>
      </c>
      <c r="F218" s="27">
        <f t="shared" si="7"/>
        <v>3635.5019638614358</v>
      </c>
      <c r="G218" s="27">
        <f t="shared" si="6"/>
        <v>17.422439276498007</v>
      </c>
      <c r="H218" s="29">
        <v>45</v>
      </c>
      <c r="I218" s="29">
        <v>2</v>
      </c>
      <c r="J218" s="13"/>
      <c r="K218" s="30">
        <v>40.8787183333</v>
      </c>
      <c r="L218" s="30">
        <v>71.984646666700002</v>
      </c>
      <c r="M218" s="20">
        <v>160</v>
      </c>
    </row>
    <row r="219" spans="1:13" ht="30" customHeight="1">
      <c r="A219" s="19" t="s">
        <v>30</v>
      </c>
      <c r="B219" s="30" t="s">
        <v>392</v>
      </c>
      <c r="C219" s="30" t="s">
        <v>316</v>
      </c>
      <c r="D219" s="27">
        <v>23079.977885192249</v>
      </c>
      <c r="E219" s="28">
        <v>19167.584067997475</v>
      </c>
      <c r="F219" s="27">
        <f t="shared" si="7"/>
        <v>3912.3938171947739</v>
      </c>
      <c r="G219" s="27">
        <f t="shared" si="6"/>
        <v>16.95146259089314</v>
      </c>
      <c r="H219" s="29">
        <v>98</v>
      </c>
      <c r="I219" s="29">
        <v>0</v>
      </c>
      <c r="J219" s="13"/>
      <c r="K219" s="30">
        <v>40.835000000000001</v>
      </c>
      <c r="L219" s="30">
        <v>72.206898333300003</v>
      </c>
      <c r="M219" s="20">
        <v>63</v>
      </c>
    </row>
    <row r="220" spans="1:13" ht="30" customHeight="1">
      <c r="A220" s="19" t="s">
        <v>30</v>
      </c>
      <c r="B220" s="30" t="s">
        <v>387</v>
      </c>
      <c r="C220" s="30" t="s">
        <v>317</v>
      </c>
      <c r="D220" s="27">
        <v>20611.66176519225</v>
      </c>
      <c r="E220" s="28">
        <v>17008.077401330811</v>
      </c>
      <c r="F220" s="27">
        <f t="shared" si="7"/>
        <v>3603.5843638614388</v>
      </c>
      <c r="G220" s="27">
        <f t="shared" si="6"/>
        <v>17.483230633771402</v>
      </c>
      <c r="H220" s="29">
        <v>82</v>
      </c>
      <c r="I220" s="29">
        <v>2</v>
      </c>
      <c r="J220" s="13"/>
      <c r="K220" s="30">
        <v>40.880708333299999</v>
      </c>
      <c r="L220" s="30">
        <v>71.964420000000004</v>
      </c>
      <c r="M220" s="20">
        <v>63</v>
      </c>
    </row>
    <row r="221" spans="1:13" ht="30" customHeight="1">
      <c r="A221" s="19" t="s">
        <v>13</v>
      </c>
      <c r="B221" s="30" t="s">
        <v>386</v>
      </c>
      <c r="C221" s="30" t="s">
        <v>318</v>
      </c>
      <c r="D221" s="27">
        <v>41512.464515192252</v>
      </c>
      <c r="E221" s="28">
        <v>35293.994067997468</v>
      </c>
      <c r="F221" s="27">
        <f t="shared" si="7"/>
        <v>6218.4704471947844</v>
      </c>
      <c r="G221" s="27">
        <f t="shared" si="6"/>
        <v>14.979766968350001</v>
      </c>
      <c r="H221" s="29">
        <v>73</v>
      </c>
      <c r="I221" s="29">
        <v>2</v>
      </c>
      <c r="J221" s="13"/>
      <c r="K221" s="30">
        <v>40.874901666699998</v>
      </c>
      <c r="L221" s="30">
        <v>71.967150000000004</v>
      </c>
      <c r="M221" s="20">
        <v>160</v>
      </c>
    </row>
    <row r="222" spans="1:13" ht="30" customHeight="1">
      <c r="A222" s="19" t="s">
        <v>30</v>
      </c>
      <c r="B222" s="30" t="s">
        <v>386</v>
      </c>
      <c r="C222" s="30" t="s">
        <v>319</v>
      </c>
      <c r="D222" s="27">
        <v>21522.571805192252</v>
      </c>
      <c r="E222" s="28">
        <v>17805.024067997478</v>
      </c>
      <c r="F222" s="27">
        <f t="shared" si="7"/>
        <v>3717.5477371947745</v>
      </c>
      <c r="G222" s="27">
        <f t="shared" si="6"/>
        <v>17.272785849402663</v>
      </c>
      <c r="H222" s="29">
        <v>127</v>
      </c>
      <c r="I222" s="29">
        <v>2</v>
      </c>
      <c r="J222" s="13"/>
      <c r="K222" s="30">
        <v>40.869693333299999</v>
      </c>
      <c r="L222" s="30">
        <v>71.966144999999997</v>
      </c>
      <c r="M222" s="19">
        <v>160</v>
      </c>
    </row>
    <row r="223" spans="1:13" ht="30" customHeight="1">
      <c r="A223" s="19" t="s">
        <v>30</v>
      </c>
      <c r="B223" s="30" t="s">
        <v>384</v>
      </c>
      <c r="C223" s="30" t="s">
        <v>90</v>
      </c>
      <c r="D223" s="27">
        <v>20412.223505192254</v>
      </c>
      <c r="E223" s="28">
        <v>16833.590734664143</v>
      </c>
      <c r="F223" s="27">
        <f t="shared" si="7"/>
        <v>3578.632770528111</v>
      </c>
      <c r="G223" s="27">
        <f t="shared" si="6"/>
        <v>17.531812590714651</v>
      </c>
      <c r="H223" s="29">
        <v>88</v>
      </c>
      <c r="I223" s="29">
        <v>0</v>
      </c>
      <c r="J223" s="13" t="s">
        <v>39</v>
      </c>
      <c r="K223" s="30">
        <v>40.8802053239</v>
      </c>
      <c r="L223" s="30">
        <v>71.948066717000003</v>
      </c>
      <c r="M223" s="20">
        <v>100</v>
      </c>
    </row>
    <row r="224" spans="1:13" ht="30" customHeight="1">
      <c r="A224" s="19" t="s">
        <v>13</v>
      </c>
      <c r="B224" s="30" t="s">
        <v>392</v>
      </c>
      <c r="C224" s="30" t="s">
        <v>320</v>
      </c>
      <c r="D224" s="27">
        <v>22085.053535192248</v>
      </c>
      <c r="E224" s="28">
        <v>18297.134067997478</v>
      </c>
      <c r="F224" s="27">
        <f t="shared" si="7"/>
        <v>3787.9194671947698</v>
      </c>
      <c r="G224" s="27">
        <f t="shared" si="6"/>
        <v>17.151506837684448</v>
      </c>
      <c r="H224" s="29">
        <v>43</v>
      </c>
      <c r="I224" s="29">
        <v>0</v>
      </c>
      <c r="J224" s="13" t="s">
        <v>23</v>
      </c>
      <c r="K224" s="30">
        <v>40.837551666700001</v>
      </c>
      <c r="L224" s="30">
        <v>72.172751666699995</v>
      </c>
      <c r="M224" s="20">
        <v>100</v>
      </c>
    </row>
    <row r="225" spans="1:13" ht="30" customHeight="1">
      <c r="A225" s="16" t="s">
        <v>13</v>
      </c>
      <c r="B225" s="30" t="s">
        <v>385</v>
      </c>
      <c r="C225" s="30" t="s">
        <v>321</v>
      </c>
      <c r="D225" s="27">
        <v>23960.289815192245</v>
      </c>
      <c r="E225" s="28">
        <v>19937.760734664142</v>
      </c>
      <c r="F225" s="27">
        <f t="shared" si="7"/>
        <v>4022.5290805281038</v>
      </c>
      <c r="G225" s="27">
        <f t="shared" si="6"/>
        <v>16.788315632048747</v>
      </c>
      <c r="H225" s="29">
        <v>89</v>
      </c>
      <c r="I225" s="29">
        <v>2</v>
      </c>
      <c r="J225" s="15" t="s">
        <v>55</v>
      </c>
      <c r="K225" s="30">
        <v>40.857341666700002</v>
      </c>
      <c r="L225" s="30">
        <v>72.001365000000007</v>
      </c>
      <c r="M225" s="15">
        <v>1000</v>
      </c>
    </row>
    <row r="226" spans="1:13" ht="30" customHeight="1">
      <c r="A226" s="16" t="s">
        <v>13</v>
      </c>
      <c r="B226" s="30" t="s">
        <v>387</v>
      </c>
      <c r="C226" s="30" t="s">
        <v>322</v>
      </c>
      <c r="D226" s="27">
        <v>21131.155265192254</v>
      </c>
      <c r="E226" s="28">
        <v>17462.577401330811</v>
      </c>
      <c r="F226" s="27">
        <f t="shared" si="7"/>
        <v>3668.5778638614429</v>
      </c>
      <c r="G226" s="27">
        <f t="shared" si="6"/>
        <v>17.360990527121878</v>
      </c>
      <c r="H226" s="29">
        <v>51</v>
      </c>
      <c r="I226" s="29">
        <v>0</v>
      </c>
      <c r="J226" s="15" t="s">
        <v>55</v>
      </c>
      <c r="K226" s="30">
        <v>40.883535000000002</v>
      </c>
      <c r="L226" s="30">
        <v>71.979993333300001</v>
      </c>
      <c r="M226" s="15">
        <v>630</v>
      </c>
    </row>
    <row r="227" spans="1:13" ht="30" customHeight="1">
      <c r="A227" s="16" t="s">
        <v>13</v>
      </c>
      <c r="B227" s="30" t="s">
        <v>390</v>
      </c>
      <c r="C227" s="30" t="s">
        <v>323</v>
      </c>
      <c r="D227" s="27">
        <v>22507.304405192244</v>
      </c>
      <c r="E227" s="28">
        <v>18666.557401330811</v>
      </c>
      <c r="F227" s="27">
        <f t="shared" si="7"/>
        <v>3840.7470038614338</v>
      </c>
      <c r="G227" s="27">
        <f t="shared" si="6"/>
        <v>17.064446877856266</v>
      </c>
      <c r="H227" s="29">
        <v>52</v>
      </c>
      <c r="I227" s="29">
        <v>3</v>
      </c>
      <c r="J227" s="15" t="s">
        <v>56</v>
      </c>
      <c r="K227" s="30">
        <v>40.874026666600002</v>
      </c>
      <c r="L227" s="30">
        <v>72.094549999700007</v>
      </c>
      <c r="M227" s="15">
        <v>400</v>
      </c>
    </row>
    <row r="228" spans="1:13" ht="30" customHeight="1">
      <c r="A228" s="16" t="s">
        <v>30</v>
      </c>
      <c r="B228" s="30" t="s">
        <v>391</v>
      </c>
      <c r="C228" s="30" t="s">
        <v>324</v>
      </c>
      <c r="D228" s="27">
        <v>20151.964310192248</v>
      </c>
      <c r="E228" s="28">
        <v>16605.89240133081</v>
      </c>
      <c r="F228" s="27">
        <f t="shared" si="7"/>
        <v>3546.0719088614387</v>
      </c>
      <c r="G228" s="27">
        <f t="shared" si="6"/>
        <v>17.596656357057679</v>
      </c>
      <c r="H228" s="29">
        <v>75</v>
      </c>
      <c r="I228" s="29">
        <v>2</v>
      </c>
      <c r="J228" s="15" t="s">
        <v>57</v>
      </c>
      <c r="K228" s="30">
        <v>40.846710000000002</v>
      </c>
      <c r="L228" s="30">
        <v>72.065683333300001</v>
      </c>
      <c r="M228" s="15">
        <v>1000</v>
      </c>
    </row>
    <row r="229" spans="1:13" ht="30" customHeight="1">
      <c r="A229" s="16" t="s">
        <v>13</v>
      </c>
      <c r="B229" s="30" t="s">
        <v>392</v>
      </c>
      <c r="C229" s="30" t="s">
        <v>325</v>
      </c>
      <c r="D229" s="27">
        <v>31254.332885192249</v>
      </c>
      <c r="E229" s="28">
        <v>26319.250734664151</v>
      </c>
      <c r="F229" s="27">
        <f t="shared" si="7"/>
        <v>4935.0821505280983</v>
      </c>
      <c r="G229" s="27">
        <f t="shared" si="6"/>
        <v>15.790073551261921</v>
      </c>
      <c r="H229" s="29">
        <v>126</v>
      </c>
      <c r="I229" s="29">
        <v>0</v>
      </c>
      <c r="J229" s="15" t="s">
        <v>58</v>
      </c>
      <c r="K229" s="30">
        <v>40.839961666699999</v>
      </c>
      <c r="L229" s="30">
        <v>72.232654999999994</v>
      </c>
      <c r="M229" s="15">
        <v>1000</v>
      </c>
    </row>
    <row r="230" spans="1:13" ht="30" customHeight="1">
      <c r="A230" s="16" t="s">
        <v>13</v>
      </c>
      <c r="B230" s="30" t="s">
        <v>387</v>
      </c>
      <c r="C230" s="30" t="s">
        <v>326</v>
      </c>
      <c r="D230" s="27">
        <v>31900.969895192255</v>
      </c>
      <c r="E230" s="28">
        <v>26884.987401330814</v>
      </c>
      <c r="F230" s="27">
        <f t="shared" si="7"/>
        <v>5015.9824938614402</v>
      </c>
      <c r="G230" s="27">
        <f t="shared" si="6"/>
        <v>15.723604988628859</v>
      </c>
      <c r="H230" s="29">
        <v>102</v>
      </c>
      <c r="I230" s="29">
        <v>0</v>
      </c>
      <c r="J230" s="15" t="s">
        <v>55</v>
      </c>
      <c r="K230" s="30">
        <v>40.873249936800001</v>
      </c>
      <c r="L230" s="30">
        <v>71.969074951500005</v>
      </c>
      <c r="M230" s="15">
        <v>160</v>
      </c>
    </row>
    <row r="231" spans="1:13" ht="30" customHeight="1">
      <c r="A231" s="16" t="s">
        <v>13</v>
      </c>
      <c r="B231" s="30" t="s">
        <v>384</v>
      </c>
      <c r="C231" s="30" t="s">
        <v>118</v>
      </c>
      <c r="D231" s="27">
        <v>28660.667765192251</v>
      </c>
      <c r="E231" s="28">
        <v>24050.077401330818</v>
      </c>
      <c r="F231" s="27">
        <f t="shared" si="7"/>
        <v>4610.5903638614327</v>
      </c>
      <c r="G231" s="27">
        <f t="shared" si="6"/>
        <v>16.086821150276524</v>
      </c>
      <c r="H231" s="29">
        <v>53</v>
      </c>
      <c r="I231" s="29">
        <v>2</v>
      </c>
      <c r="J231" s="15" t="s">
        <v>59</v>
      </c>
      <c r="K231" s="30">
        <v>40.895608333299997</v>
      </c>
      <c r="L231" s="30">
        <v>71.923013333300005</v>
      </c>
      <c r="M231" s="15">
        <v>100</v>
      </c>
    </row>
    <row r="232" spans="1:13" ht="30" customHeight="1">
      <c r="A232" s="16" t="s">
        <v>13</v>
      </c>
      <c r="B232" s="30" t="s">
        <v>386</v>
      </c>
      <c r="C232" s="30" t="s">
        <v>327</v>
      </c>
      <c r="D232" s="27">
        <v>21094.525925192254</v>
      </c>
      <c r="E232" s="28">
        <v>17430.530734664146</v>
      </c>
      <c r="F232" s="27">
        <f t="shared" si="7"/>
        <v>3663.9951905281087</v>
      </c>
      <c r="G232" s="27">
        <f t="shared" si="6"/>
        <v>17.369412346699679</v>
      </c>
      <c r="H232" s="29">
        <v>68</v>
      </c>
      <c r="I232" s="29">
        <v>3</v>
      </c>
      <c r="J232" s="15" t="s">
        <v>55</v>
      </c>
      <c r="K232" s="30">
        <v>40.875115049900003</v>
      </c>
      <c r="L232" s="30">
        <v>72.008864803799995</v>
      </c>
      <c r="M232" s="15">
        <v>250</v>
      </c>
    </row>
    <row r="233" spans="1:13" ht="30" customHeight="1">
      <c r="A233" s="16" t="s">
        <v>13</v>
      </c>
      <c r="B233" s="30" t="s">
        <v>390</v>
      </c>
      <c r="C233" s="30" t="s">
        <v>328</v>
      </c>
      <c r="D233" s="27">
        <v>21823.516085192245</v>
      </c>
      <c r="E233" s="28">
        <v>18068.317401330809</v>
      </c>
      <c r="F233" s="27">
        <f t="shared" si="7"/>
        <v>3755.1986838614357</v>
      </c>
      <c r="G233" s="27">
        <f t="shared" si="6"/>
        <v>17.207120379696395</v>
      </c>
      <c r="H233" s="29">
        <v>46</v>
      </c>
      <c r="I233" s="29">
        <v>0</v>
      </c>
      <c r="J233" s="15" t="s">
        <v>60</v>
      </c>
      <c r="K233" s="30">
        <v>40.874026666600002</v>
      </c>
      <c r="L233" s="30">
        <v>72.094549999700007</v>
      </c>
      <c r="M233" s="15">
        <v>160</v>
      </c>
    </row>
    <row r="234" spans="1:13" ht="30" customHeight="1">
      <c r="A234" s="16" t="s">
        <v>13</v>
      </c>
      <c r="B234" s="30" t="s">
        <v>391</v>
      </c>
      <c r="C234" s="30" t="s">
        <v>329</v>
      </c>
      <c r="D234" s="27">
        <v>24264.000155192251</v>
      </c>
      <c r="E234" s="28">
        <v>20203.474067997475</v>
      </c>
      <c r="F234" s="27">
        <f t="shared" si="7"/>
        <v>4060.5260871947758</v>
      </c>
      <c r="G234" s="27">
        <f t="shared" si="6"/>
        <v>16.734776051861605</v>
      </c>
      <c r="H234" s="29">
        <v>102</v>
      </c>
      <c r="I234" s="29">
        <v>2</v>
      </c>
      <c r="J234" s="15" t="s">
        <v>61</v>
      </c>
      <c r="K234" s="30">
        <v>40.816318333300003</v>
      </c>
      <c r="L234" s="30">
        <v>72.106885000000005</v>
      </c>
      <c r="M234" s="15">
        <v>100</v>
      </c>
    </row>
    <row r="235" spans="1:13" ht="30" customHeight="1">
      <c r="A235" s="16" t="s">
        <v>13</v>
      </c>
      <c r="B235" s="30" t="s">
        <v>390</v>
      </c>
      <c r="C235" s="30" t="s">
        <v>330</v>
      </c>
      <c r="D235" s="27">
        <v>21220.33974519225</v>
      </c>
      <c r="E235" s="28">
        <v>17540.604067997476</v>
      </c>
      <c r="F235" s="27">
        <f t="shared" si="7"/>
        <v>3679.7356771947743</v>
      </c>
      <c r="G235" s="27">
        <f t="shared" si="6"/>
        <v>17.340606801681709</v>
      </c>
      <c r="H235" s="29">
        <v>37</v>
      </c>
      <c r="I235" s="29">
        <v>0</v>
      </c>
      <c r="J235" s="15" t="s">
        <v>55</v>
      </c>
      <c r="K235" s="30">
        <v>40.872684479199997</v>
      </c>
      <c r="L235" s="30">
        <v>72.093719629500001</v>
      </c>
      <c r="M235" s="15">
        <v>100</v>
      </c>
    </row>
    <row r="236" spans="1:13" ht="30" customHeight="1">
      <c r="A236" s="16" t="s">
        <v>13</v>
      </c>
      <c r="B236" s="30" t="s">
        <v>384</v>
      </c>
      <c r="C236" s="30" t="s">
        <v>95</v>
      </c>
      <c r="D236" s="27">
        <v>21122.380835192249</v>
      </c>
      <c r="E236" s="28">
        <v>17454.900734664145</v>
      </c>
      <c r="F236" s="27">
        <f t="shared" si="7"/>
        <v>3667.4801005281042</v>
      </c>
      <c r="G236" s="27">
        <f t="shared" si="6"/>
        <v>17.363005284033473</v>
      </c>
      <c r="H236" s="29">
        <v>50</v>
      </c>
      <c r="I236" s="29">
        <v>0</v>
      </c>
      <c r="J236" s="15" t="s">
        <v>62</v>
      </c>
      <c r="K236" s="30">
        <v>40.874026666600002</v>
      </c>
      <c r="L236" s="30">
        <v>72.094549999700007</v>
      </c>
      <c r="M236" s="15">
        <v>400</v>
      </c>
    </row>
    <row r="237" spans="1:13" ht="30" customHeight="1">
      <c r="A237" s="16" t="s">
        <v>13</v>
      </c>
      <c r="B237" s="30" t="s">
        <v>388</v>
      </c>
      <c r="C237" s="30" t="s">
        <v>331</v>
      </c>
      <c r="D237" s="27">
        <v>22377.60819519225</v>
      </c>
      <c r="E237" s="28">
        <v>18553.087401330809</v>
      </c>
      <c r="F237" s="27">
        <f t="shared" si="7"/>
        <v>3824.5207938614403</v>
      </c>
      <c r="G237" s="27">
        <f t="shared" si="6"/>
        <v>17.090838129354349</v>
      </c>
      <c r="H237" s="29">
        <v>81</v>
      </c>
      <c r="I237" s="29">
        <v>2</v>
      </c>
      <c r="J237" s="15" t="s">
        <v>60</v>
      </c>
      <c r="K237" s="30">
        <v>40.869140000000002</v>
      </c>
      <c r="L237" s="30">
        <v>71.991384999999994</v>
      </c>
      <c r="M237" s="15">
        <v>100</v>
      </c>
    </row>
    <row r="238" spans="1:13" ht="30" customHeight="1">
      <c r="A238" s="16" t="s">
        <v>13</v>
      </c>
      <c r="B238" s="30" t="s">
        <v>392</v>
      </c>
      <c r="C238" s="30" t="s">
        <v>332</v>
      </c>
      <c r="D238" s="27">
        <v>21736.86525519225</v>
      </c>
      <c r="E238" s="28">
        <v>17992.507401330811</v>
      </c>
      <c r="F238" s="27">
        <f t="shared" si="7"/>
        <v>3744.3578538614383</v>
      </c>
      <c r="G238" s="27">
        <f t="shared" si="6"/>
        <v>17.225841030444947</v>
      </c>
      <c r="H238" s="29">
        <v>54</v>
      </c>
      <c r="I238" s="29">
        <v>0</v>
      </c>
      <c r="J238" s="15" t="s">
        <v>63</v>
      </c>
      <c r="K238" s="30">
        <v>40.820733333200003</v>
      </c>
      <c r="L238" s="30">
        <v>72.163296666700006</v>
      </c>
      <c r="M238" s="15">
        <v>160</v>
      </c>
    </row>
    <row r="239" spans="1:13" ht="30" customHeight="1">
      <c r="A239" s="16" t="s">
        <v>30</v>
      </c>
      <c r="B239" s="30" t="s">
        <v>391</v>
      </c>
      <c r="C239" s="30" t="s">
        <v>333</v>
      </c>
      <c r="D239" s="27">
        <v>22745.981855192247</v>
      </c>
      <c r="E239" s="28">
        <v>18875.374067997476</v>
      </c>
      <c r="F239" s="27">
        <f t="shared" si="7"/>
        <v>3870.6077871947709</v>
      </c>
      <c r="G239" s="27">
        <f t="shared" si="6"/>
        <v>17.016666116399033</v>
      </c>
      <c r="H239" s="29">
        <v>70</v>
      </c>
      <c r="I239" s="29">
        <v>0</v>
      </c>
      <c r="J239" s="15" t="s">
        <v>64</v>
      </c>
      <c r="K239" s="30">
        <v>40.813206666600003</v>
      </c>
      <c r="L239" s="30">
        <v>72.109205000000003</v>
      </c>
      <c r="M239" s="15">
        <v>630</v>
      </c>
    </row>
    <row r="240" spans="1:13" ht="30" customHeight="1">
      <c r="A240" s="16" t="s">
        <v>13</v>
      </c>
      <c r="B240" s="30" t="s">
        <v>386</v>
      </c>
      <c r="C240" s="30" t="s">
        <v>334</v>
      </c>
      <c r="D240" s="27">
        <v>24474.25881519225</v>
      </c>
      <c r="E240" s="28">
        <v>20387.42740133081</v>
      </c>
      <c r="F240" s="27">
        <f t="shared" si="7"/>
        <v>4086.8314138614405</v>
      </c>
      <c r="G240" s="27">
        <f t="shared" si="6"/>
        <v>16.698488990908945</v>
      </c>
      <c r="H240" s="29">
        <v>103</v>
      </c>
      <c r="I240" s="29">
        <v>3</v>
      </c>
      <c r="J240" s="15" t="s">
        <v>65</v>
      </c>
      <c r="K240" s="30">
        <v>40.872072950000003</v>
      </c>
      <c r="L240" s="30">
        <v>71.967303771499999</v>
      </c>
      <c r="M240" s="15">
        <v>100</v>
      </c>
    </row>
    <row r="241" spans="1:14" ht="30" customHeight="1">
      <c r="A241" s="16" t="s">
        <v>30</v>
      </c>
      <c r="B241" s="30" t="s">
        <v>389</v>
      </c>
      <c r="C241" s="30" t="s">
        <v>335</v>
      </c>
      <c r="D241" s="27">
        <v>23847.875765192246</v>
      </c>
      <c r="E241" s="28">
        <v>19839.410734664143</v>
      </c>
      <c r="F241" s="27">
        <f t="shared" si="7"/>
        <v>4008.4650305281029</v>
      </c>
      <c r="G241" s="27">
        <f t="shared" si="6"/>
        <v>16.808478331553356</v>
      </c>
      <c r="H241" s="29">
        <v>75</v>
      </c>
      <c r="I241" s="29">
        <v>2</v>
      </c>
      <c r="J241" s="15" t="s">
        <v>62</v>
      </c>
      <c r="K241" s="30">
        <v>40.875613333300002</v>
      </c>
      <c r="L241" s="30">
        <v>72.034936666700006</v>
      </c>
      <c r="M241" s="15">
        <v>400</v>
      </c>
    </row>
    <row r="242" spans="1:14" ht="30" customHeight="1">
      <c r="A242" s="16" t="s">
        <v>13</v>
      </c>
      <c r="B242" s="30" t="s">
        <v>391</v>
      </c>
      <c r="C242" s="30" t="s">
        <v>336</v>
      </c>
      <c r="D242" s="27">
        <v>19148.278865192253</v>
      </c>
      <c r="E242" s="28">
        <v>15727.777401330812</v>
      </c>
      <c r="F242" s="27">
        <f t="shared" si="7"/>
        <v>3420.5014638614412</v>
      </c>
      <c r="G242" s="27">
        <f t="shared" si="6"/>
        <v>17.863231927749023</v>
      </c>
      <c r="H242" s="29">
        <v>25</v>
      </c>
      <c r="I242" s="29">
        <v>0</v>
      </c>
      <c r="J242" s="15" t="s">
        <v>66</v>
      </c>
      <c r="K242" s="30">
        <v>40.813206666600003</v>
      </c>
      <c r="L242" s="30">
        <v>72.109205000000003</v>
      </c>
      <c r="M242" s="15">
        <v>100</v>
      </c>
    </row>
    <row r="243" spans="1:14" ht="30" customHeight="1">
      <c r="A243" s="16" t="s">
        <v>13</v>
      </c>
      <c r="B243" s="30" t="s">
        <v>391</v>
      </c>
      <c r="C243" s="30" t="s">
        <v>337</v>
      </c>
      <c r="D243" s="27">
        <v>19643.289305192251</v>
      </c>
      <c r="E243" s="28">
        <v>16160.85740133081</v>
      </c>
      <c r="F243" s="27">
        <f t="shared" si="7"/>
        <v>3482.4319038614412</v>
      </c>
      <c r="G243" s="27">
        <f t="shared" si="6"/>
        <v>17.728354196468207</v>
      </c>
      <c r="H243" s="29">
        <v>50</v>
      </c>
      <c r="I243" s="29">
        <v>0</v>
      </c>
      <c r="J243" s="15" t="s">
        <v>59</v>
      </c>
      <c r="K243" s="30">
        <v>40.813206666600003</v>
      </c>
      <c r="L243" s="30">
        <v>72.109205000000003</v>
      </c>
      <c r="M243" s="15">
        <v>100</v>
      </c>
    </row>
    <row r="244" spans="1:14" ht="30" customHeight="1">
      <c r="A244" s="16" t="s">
        <v>13</v>
      </c>
      <c r="B244" s="30" t="s">
        <v>391</v>
      </c>
      <c r="C244" s="30" t="s">
        <v>338</v>
      </c>
      <c r="D244" s="27">
        <v>19264.019045192254</v>
      </c>
      <c r="E244" s="28">
        <v>15829.03740133081</v>
      </c>
      <c r="F244" s="27">
        <f t="shared" si="7"/>
        <v>3434.9816438614434</v>
      </c>
      <c r="G244" s="27">
        <f t="shared" si="6"/>
        <v>17.831074791834347</v>
      </c>
      <c r="H244" s="29">
        <v>29</v>
      </c>
      <c r="I244" s="29">
        <v>2</v>
      </c>
      <c r="J244" s="15" t="s">
        <v>66</v>
      </c>
      <c r="K244" s="30">
        <v>40.813206666600003</v>
      </c>
      <c r="L244" s="30">
        <v>72.109205000000003</v>
      </c>
      <c r="M244" s="15">
        <v>25</v>
      </c>
    </row>
    <row r="245" spans="1:14" ht="30" customHeight="1">
      <c r="A245" s="16" t="s">
        <v>13</v>
      </c>
      <c r="B245" s="30" t="s">
        <v>387</v>
      </c>
      <c r="C245" s="30" t="s">
        <v>339</v>
      </c>
      <c r="D245" s="27">
        <v>18863.542325192248</v>
      </c>
      <c r="E245" s="28">
        <v>15478.664067997477</v>
      </c>
      <c r="F245" s="27">
        <f t="shared" si="7"/>
        <v>3384.8782571947704</v>
      </c>
      <c r="G245" s="27">
        <f t="shared" si="6"/>
        <v>17.944022383718821</v>
      </c>
      <c r="H245" s="29">
        <v>37</v>
      </c>
      <c r="I245" s="29">
        <v>3</v>
      </c>
      <c r="J245" s="15" t="s">
        <v>66</v>
      </c>
      <c r="K245" s="30">
        <v>40.887124999999997</v>
      </c>
      <c r="L245" s="30">
        <v>71.961399</v>
      </c>
      <c r="M245" s="15">
        <v>63</v>
      </c>
    </row>
    <row r="246" spans="1:14" ht="30" customHeight="1">
      <c r="A246" s="16" t="s">
        <v>13</v>
      </c>
      <c r="B246" s="30" t="s">
        <v>388</v>
      </c>
      <c r="C246" s="30" t="s">
        <v>340</v>
      </c>
      <c r="D246" s="27">
        <v>18891.008615192251</v>
      </c>
      <c r="E246" s="28">
        <v>15502.694067997476</v>
      </c>
      <c r="F246" s="27">
        <f t="shared" si="7"/>
        <v>3388.3145471947755</v>
      </c>
      <c r="G246" s="27">
        <f t="shared" si="6"/>
        <v>17.936123031937399</v>
      </c>
      <c r="H246" s="29">
        <v>100</v>
      </c>
      <c r="I246" s="29">
        <v>0</v>
      </c>
      <c r="J246" s="15" t="s">
        <v>67</v>
      </c>
      <c r="K246" s="30">
        <v>40.890337000000002</v>
      </c>
      <c r="L246" s="30">
        <v>72.009943000000007</v>
      </c>
      <c r="M246" s="15">
        <v>160</v>
      </c>
      <c r="N246" s="32">
        <v>7</v>
      </c>
    </row>
    <row r="247" spans="1:14" ht="30" customHeight="1">
      <c r="A247" s="16" t="s">
        <v>13</v>
      </c>
      <c r="B247" s="30" t="s">
        <v>390</v>
      </c>
      <c r="C247" s="30" t="s">
        <v>341</v>
      </c>
      <c r="D247" s="27">
        <v>18965.547455192253</v>
      </c>
      <c r="E247" s="28">
        <v>15567.907401330809</v>
      </c>
      <c r="F247" s="27">
        <f t="shared" si="7"/>
        <v>3397.6400538614434</v>
      </c>
      <c r="G247" s="27">
        <f t="shared" si="6"/>
        <v>17.914800834980703</v>
      </c>
      <c r="H247" s="29">
        <v>59</v>
      </c>
      <c r="I247" s="29">
        <v>0</v>
      </c>
      <c r="J247" s="15" t="s">
        <v>60</v>
      </c>
      <c r="K247" s="13"/>
      <c r="L247" s="13"/>
      <c r="M247" s="15">
        <v>63</v>
      </c>
    </row>
    <row r="248" spans="1:14" ht="30" customHeight="1">
      <c r="A248" s="16" t="s">
        <v>13</v>
      </c>
      <c r="B248" s="30" t="s">
        <v>384</v>
      </c>
      <c r="C248" s="30" t="s">
        <v>122</v>
      </c>
      <c r="D248" s="27">
        <v>18863.542325192248</v>
      </c>
      <c r="E248" s="28">
        <v>15478.664067997477</v>
      </c>
      <c r="F248" s="27">
        <f t="shared" si="7"/>
        <v>3384.8782571947704</v>
      </c>
      <c r="G248" s="27">
        <f t="shared" si="6"/>
        <v>17.944022383718821</v>
      </c>
      <c r="H248" s="29">
        <v>20</v>
      </c>
      <c r="I248" s="29">
        <v>2</v>
      </c>
      <c r="J248" s="15" t="s">
        <v>75</v>
      </c>
      <c r="K248" s="13"/>
      <c r="L248" s="13"/>
      <c r="M248" s="15">
        <v>160</v>
      </c>
    </row>
    <row r="249" spans="1:14" ht="30" customHeight="1">
      <c r="A249" s="16" t="s">
        <v>13</v>
      </c>
      <c r="B249" s="30" t="s">
        <v>387</v>
      </c>
      <c r="C249" s="30" t="s">
        <v>342</v>
      </c>
      <c r="D249" s="27">
        <v>36264.787685192256</v>
      </c>
      <c r="E249" s="28">
        <v>30702.850734664149</v>
      </c>
      <c r="F249" s="27">
        <f t="shared" si="7"/>
        <v>5561.9369505281065</v>
      </c>
      <c r="G249" s="27">
        <f t="shared" si="6"/>
        <v>15.337017822385249</v>
      </c>
      <c r="H249" s="29">
        <v>76</v>
      </c>
      <c r="I249" s="29">
        <v>2</v>
      </c>
      <c r="J249" s="15" t="s">
        <v>75</v>
      </c>
      <c r="K249" s="13"/>
      <c r="L249" s="13"/>
      <c r="M249" s="15">
        <v>63</v>
      </c>
    </row>
    <row r="250" spans="1:14" ht="30" customHeight="1">
      <c r="A250" s="16" t="s">
        <v>13</v>
      </c>
      <c r="B250" s="30" t="s">
        <v>388</v>
      </c>
      <c r="C250" s="30" t="s">
        <v>343</v>
      </c>
      <c r="D250" s="27">
        <v>25557.02652519225</v>
      </c>
      <c r="E250" s="28">
        <v>21334.730734664146</v>
      </c>
      <c r="F250" s="27">
        <f t="shared" si="7"/>
        <v>4222.2957905281037</v>
      </c>
      <c r="G250" s="27">
        <f t="shared" si="6"/>
        <v>16.521076058539411</v>
      </c>
      <c r="H250" s="29">
        <v>39</v>
      </c>
      <c r="I250" s="29">
        <v>0</v>
      </c>
      <c r="J250" s="15" t="s">
        <v>75</v>
      </c>
      <c r="K250" s="13">
        <v>40.876370000000001</v>
      </c>
      <c r="L250" s="13">
        <v>71.934290000000004</v>
      </c>
      <c r="M250" s="15">
        <v>63</v>
      </c>
    </row>
    <row r="251" spans="1:14" ht="30" customHeight="1">
      <c r="A251" s="16" t="s">
        <v>13</v>
      </c>
      <c r="B251" s="30" t="s">
        <v>389</v>
      </c>
      <c r="C251" s="30" t="s">
        <v>344</v>
      </c>
      <c r="D251" s="27">
        <v>21410.588285192251</v>
      </c>
      <c r="E251" s="28">
        <v>17707.050734664143</v>
      </c>
      <c r="F251" s="27">
        <f t="shared" si="7"/>
        <v>3703.5375505281081</v>
      </c>
      <c r="G251" s="27">
        <f t="shared" si="6"/>
        <v>17.297691689721141</v>
      </c>
      <c r="H251" s="29">
        <v>30</v>
      </c>
      <c r="I251" s="29">
        <v>0</v>
      </c>
      <c r="J251" s="15" t="s">
        <v>75</v>
      </c>
      <c r="K251" s="13"/>
      <c r="L251" s="13"/>
      <c r="M251" s="15">
        <v>160</v>
      </c>
    </row>
    <row r="252" spans="1:14" ht="30" customHeight="1">
      <c r="A252" s="16" t="s">
        <v>13</v>
      </c>
      <c r="B252" s="30" t="s">
        <v>389</v>
      </c>
      <c r="C252" s="30" t="s">
        <v>345</v>
      </c>
      <c r="D252" s="27">
        <v>21639.576905192254</v>
      </c>
      <c r="E252" s="28">
        <v>17907.390734664143</v>
      </c>
      <c r="F252" s="27">
        <f t="shared" si="7"/>
        <v>3732.1861705281117</v>
      </c>
      <c r="G252" s="27">
        <f t="shared" si="6"/>
        <v>17.24703854830268</v>
      </c>
      <c r="H252" s="29">
        <v>59</v>
      </c>
      <c r="I252" s="29">
        <v>2</v>
      </c>
      <c r="J252" s="15" t="s">
        <v>75</v>
      </c>
      <c r="K252" s="13"/>
      <c r="L252" s="13"/>
      <c r="M252" s="15">
        <v>63</v>
      </c>
    </row>
    <row r="253" spans="1:14" ht="30" customHeight="1">
      <c r="A253" s="16" t="s">
        <v>13</v>
      </c>
      <c r="B253" s="30" t="s">
        <v>386</v>
      </c>
      <c r="C253" s="30" t="s">
        <v>346</v>
      </c>
      <c r="D253" s="27">
        <v>22661.876105192245</v>
      </c>
      <c r="E253" s="28">
        <v>18801.790734664144</v>
      </c>
      <c r="F253" s="27">
        <f t="shared" si="7"/>
        <v>3860.0853705281006</v>
      </c>
      <c r="G253" s="27">
        <f t="shared" si="6"/>
        <v>17.03338837707124</v>
      </c>
      <c r="H253" s="29">
        <v>56</v>
      </c>
      <c r="I253" s="29">
        <v>0</v>
      </c>
      <c r="J253" s="15" t="s">
        <v>59</v>
      </c>
      <c r="K253" s="13"/>
      <c r="L253" s="13"/>
      <c r="M253" s="15">
        <v>250</v>
      </c>
    </row>
    <row r="254" spans="1:14" ht="30" customHeight="1">
      <c r="A254" s="16" t="s">
        <v>13</v>
      </c>
      <c r="B254" s="30" t="s">
        <v>388</v>
      </c>
      <c r="C254" s="30" t="s">
        <v>347</v>
      </c>
      <c r="D254" s="27">
        <v>25250.424395192251</v>
      </c>
      <c r="E254" s="28">
        <v>21066.487401330814</v>
      </c>
      <c r="F254" s="27">
        <f t="shared" si="7"/>
        <v>4183.9369938614363</v>
      </c>
      <c r="G254" s="27">
        <f t="shared" si="6"/>
        <v>16.569769000231414</v>
      </c>
      <c r="H254" s="29">
        <v>85</v>
      </c>
      <c r="I254" s="29">
        <v>2</v>
      </c>
      <c r="J254" s="15" t="s">
        <v>72</v>
      </c>
      <c r="K254" s="13"/>
      <c r="L254" s="13"/>
      <c r="M254" s="15">
        <v>25</v>
      </c>
    </row>
    <row r="255" spans="1:14" ht="30" customHeight="1">
      <c r="A255" s="16" t="s">
        <v>13</v>
      </c>
      <c r="B255" s="30" t="s">
        <v>387</v>
      </c>
      <c r="C255" s="30" t="s">
        <v>348</v>
      </c>
      <c r="D255" s="27">
        <v>22768.437995192249</v>
      </c>
      <c r="E255" s="28">
        <v>18895.020734664144</v>
      </c>
      <c r="F255" s="27">
        <f t="shared" si="7"/>
        <v>3873.4172605281055</v>
      </c>
      <c r="G255" s="27">
        <f t="shared" si="6"/>
        <v>17.012222188215155</v>
      </c>
      <c r="H255" s="29">
        <v>60</v>
      </c>
      <c r="I255" s="29">
        <v>0</v>
      </c>
      <c r="J255" s="15" t="s">
        <v>76</v>
      </c>
      <c r="K255" s="13"/>
      <c r="L255" s="13"/>
      <c r="M255" s="15">
        <v>630</v>
      </c>
    </row>
    <row r="256" spans="1:14" ht="30" customHeight="1">
      <c r="A256" s="16" t="s">
        <v>30</v>
      </c>
      <c r="B256" s="30" t="s">
        <v>388</v>
      </c>
      <c r="C256" s="30" t="s">
        <v>349</v>
      </c>
      <c r="D256" s="27">
        <v>21684.523475192247</v>
      </c>
      <c r="E256" s="28">
        <v>17946.714067997476</v>
      </c>
      <c r="F256" s="27">
        <f t="shared" si="7"/>
        <v>3737.8094071947708</v>
      </c>
      <c r="G256" s="27">
        <f t="shared" si="6"/>
        <v>17.237221797707189</v>
      </c>
      <c r="H256" s="29">
        <v>59</v>
      </c>
      <c r="I256" s="29">
        <v>0</v>
      </c>
      <c r="J256" s="15" t="s">
        <v>76</v>
      </c>
      <c r="K256" s="13"/>
      <c r="L256" s="13"/>
      <c r="M256" s="15">
        <v>400</v>
      </c>
    </row>
    <row r="257" spans="1:13" ht="30" customHeight="1">
      <c r="A257" s="16" t="s">
        <v>13</v>
      </c>
      <c r="B257" s="30" t="s">
        <v>387</v>
      </c>
      <c r="C257" s="30" t="s">
        <v>350</v>
      </c>
      <c r="D257" s="27">
        <v>23991.695645192249</v>
      </c>
      <c r="E257" s="28">
        <v>19965.237401330811</v>
      </c>
      <c r="F257" s="27">
        <f t="shared" si="7"/>
        <v>4026.4582438614379</v>
      </c>
      <c r="G257" s="27">
        <f t="shared" si="6"/>
        <v>16.782716417412995</v>
      </c>
      <c r="H257" s="29">
        <v>24</v>
      </c>
      <c r="I257" s="29">
        <v>2</v>
      </c>
      <c r="J257" s="15" t="s">
        <v>55</v>
      </c>
      <c r="K257" s="13"/>
      <c r="L257" s="13"/>
      <c r="M257" s="15">
        <v>160</v>
      </c>
    </row>
    <row r="258" spans="1:13" ht="30" customHeight="1">
      <c r="A258" s="16" t="s">
        <v>13</v>
      </c>
      <c r="B258" s="30" t="s">
        <v>384</v>
      </c>
      <c r="C258" s="30" t="s">
        <v>99</v>
      </c>
      <c r="D258" s="27">
        <v>20153.341625192254</v>
      </c>
      <c r="E258" s="28">
        <v>16607.097401330811</v>
      </c>
      <c r="F258" s="27">
        <f t="shared" si="7"/>
        <v>3546.2442238614422</v>
      </c>
      <c r="G258" s="27">
        <f t="shared" si="6"/>
        <v>17.596308789945464</v>
      </c>
      <c r="H258" s="29">
        <v>41</v>
      </c>
      <c r="I258" s="29">
        <v>2</v>
      </c>
      <c r="J258" s="15" t="s">
        <v>75</v>
      </c>
      <c r="K258" s="13"/>
      <c r="L258" s="13"/>
      <c r="M258" s="15">
        <v>160</v>
      </c>
    </row>
    <row r="259" spans="1:13" ht="30" customHeight="1">
      <c r="A259" s="16" t="s">
        <v>13</v>
      </c>
      <c r="B259" s="30" t="s">
        <v>390</v>
      </c>
      <c r="C259" s="30" t="s">
        <v>351</v>
      </c>
      <c r="D259" s="27">
        <v>18866.053115192248</v>
      </c>
      <c r="E259" s="28">
        <v>15480.860734664144</v>
      </c>
      <c r="F259" s="27">
        <f t="shared" si="7"/>
        <v>3385.192380528104</v>
      </c>
      <c r="G259" s="27">
        <f t="shared" ref="G259:G293" si="8">+F259*100/D259</f>
        <v>17.943299321054671</v>
      </c>
      <c r="H259" s="29">
        <v>43</v>
      </c>
      <c r="I259" s="29">
        <v>2</v>
      </c>
      <c r="J259" s="15" t="s">
        <v>75</v>
      </c>
      <c r="K259" s="13">
        <v>40.865291666700003</v>
      </c>
      <c r="L259" s="13">
        <v>71.961494999999999</v>
      </c>
      <c r="M259" s="15">
        <v>100</v>
      </c>
    </row>
    <row r="260" spans="1:13" ht="30" customHeight="1">
      <c r="A260" s="16" t="s">
        <v>30</v>
      </c>
      <c r="B260" s="30" t="s">
        <v>388</v>
      </c>
      <c r="C260" s="30" t="s">
        <v>352</v>
      </c>
      <c r="D260" s="27">
        <v>20483.920085192251</v>
      </c>
      <c r="E260" s="28">
        <v>16896.317401330809</v>
      </c>
      <c r="F260" s="27">
        <f t="shared" si="7"/>
        <v>3587.6026838614416</v>
      </c>
      <c r="G260" s="27">
        <f t="shared" si="8"/>
        <v>17.514238822162298</v>
      </c>
      <c r="H260" s="29">
        <v>40</v>
      </c>
      <c r="I260" s="29">
        <v>2</v>
      </c>
      <c r="J260" s="15" t="s">
        <v>68</v>
      </c>
      <c r="K260" s="13"/>
      <c r="L260" s="13"/>
      <c r="M260" s="15">
        <v>100</v>
      </c>
    </row>
    <row r="261" spans="1:13" ht="30" customHeight="1">
      <c r="A261" s="16" t="s">
        <v>13</v>
      </c>
      <c r="B261" s="30" t="s">
        <v>389</v>
      </c>
      <c r="C261" s="30" t="s">
        <v>353</v>
      </c>
      <c r="D261" s="27">
        <v>23648.395595192251</v>
      </c>
      <c r="E261" s="28">
        <v>19664.887401330809</v>
      </c>
      <c r="F261" s="27">
        <f t="shared" ref="F261:F324" si="9">+D261-E261</f>
        <v>3983.5081938614421</v>
      </c>
      <c r="G261" s="27">
        <f t="shared" si="8"/>
        <v>16.84472918184477</v>
      </c>
      <c r="H261" s="29">
        <v>71</v>
      </c>
      <c r="I261" s="29">
        <v>0</v>
      </c>
      <c r="J261" s="15" t="s">
        <v>72</v>
      </c>
      <c r="K261" s="13"/>
      <c r="L261" s="13"/>
      <c r="M261" s="15">
        <v>250</v>
      </c>
    </row>
    <row r="262" spans="1:13" ht="30" customHeight="1">
      <c r="A262" s="16" t="s">
        <v>30</v>
      </c>
      <c r="B262" s="30" t="s">
        <v>390</v>
      </c>
      <c r="C262" s="30" t="s">
        <v>354</v>
      </c>
      <c r="D262" s="27">
        <v>18863.542325192248</v>
      </c>
      <c r="E262" s="28">
        <v>15478.664067997477</v>
      </c>
      <c r="F262" s="27">
        <f t="shared" si="9"/>
        <v>3384.8782571947704</v>
      </c>
      <c r="G262" s="27">
        <f t="shared" si="8"/>
        <v>17.944022383718821</v>
      </c>
      <c r="H262" s="29">
        <v>52</v>
      </c>
      <c r="I262" s="29">
        <v>0</v>
      </c>
      <c r="J262" s="15" t="s">
        <v>72</v>
      </c>
      <c r="K262" s="13"/>
      <c r="L262" s="13"/>
      <c r="M262" s="15">
        <v>160</v>
      </c>
    </row>
    <row r="263" spans="1:13" ht="30" customHeight="1">
      <c r="A263" s="16" t="s">
        <v>30</v>
      </c>
      <c r="B263" s="30" t="s">
        <v>387</v>
      </c>
      <c r="C263" s="30" t="s">
        <v>355</v>
      </c>
      <c r="D263" s="27">
        <v>125859.87519519226</v>
      </c>
      <c r="E263" s="28">
        <v>109088.75406799751</v>
      </c>
      <c r="F263" s="27">
        <f t="shared" si="9"/>
        <v>16771.121127194754</v>
      </c>
      <c r="G263" s="27">
        <f t="shared" si="8"/>
        <v>13.325232605852285</v>
      </c>
      <c r="H263" s="29">
        <v>79</v>
      </c>
      <c r="I263" s="29">
        <v>2</v>
      </c>
      <c r="J263" s="15" t="s">
        <v>71</v>
      </c>
      <c r="K263" s="13"/>
      <c r="L263" s="13"/>
      <c r="M263" s="15">
        <v>160</v>
      </c>
    </row>
    <row r="264" spans="1:13" ht="30" customHeight="1">
      <c r="A264" s="16" t="s">
        <v>30</v>
      </c>
      <c r="B264" s="30" t="s">
        <v>384</v>
      </c>
      <c r="C264" s="30" t="s">
        <v>120</v>
      </c>
      <c r="D264" s="27">
        <v>22342.102805192244</v>
      </c>
      <c r="E264" s="28">
        <v>18522.024067997478</v>
      </c>
      <c r="F264" s="27">
        <f t="shared" si="9"/>
        <v>3820.0787371947663</v>
      </c>
      <c r="G264" s="27">
        <f t="shared" si="8"/>
        <v>17.098116370259429</v>
      </c>
      <c r="H264" s="29">
        <v>30</v>
      </c>
      <c r="I264" s="29">
        <v>0</v>
      </c>
      <c r="J264" s="15" t="s">
        <v>71</v>
      </c>
      <c r="K264" s="13"/>
      <c r="L264" s="13"/>
      <c r="M264" s="15">
        <v>100</v>
      </c>
    </row>
    <row r="265" spans="1:13" ht="30" customHeight="1">
      <c r="A265" s="16" t="s">
        <v>30</v>
      </c>
      <c r="B265" s="30" t="s">
        <v>384</v>
      </c>
      <c r="C265" s="30" t="s">
        <v>103</v>
      </c>
      <c r="D265" s="27">
        <v>21508.608155192254</v>
      </c>
      <c r="E265" s="28">
        <v>17792.807401330811</v>
      </c>
      <c r="F265" s="27">
        <f t="shared" si="9"/>
        <v>3715.8007538614438</v>
      </c>
      <c r="G265" s="27">
        <f t="shared" si="8"/>
        <v>17.275877300151738</v>
      </c>
      <c r="H265" s="29">
        <v>89</v>
      </c>
      <c r="I265" s="29">
        <v>0</v>
      </c>
      <c r="J265" s="15" t="s">
        <v>77</v>
      </c>
      <c r="K265" s="13">
        <v>40.858196666700003</v>
      </c>
      <c r="L265" s="13">
        <v>72.1313583333</v>
      </c>
      <c r="M265" s="15">
        <v>250</v>
      </c>
    </row>
    <row r="266" spans="1:13" ht="30" customHeight="1">
      <c r="A266" s="16" t="s">
        <v>13</v>
      </c>
      <c r="B266" s="30" t="s">
        <v>388</v>
      </c>
      <c r="C266" s="30" t="s">
        <v>356</v>
      </c>
      <c r="D266" s="27">
        <v>18866.559845192249</v>
      </c>
      <c r="E266" s="28">
        <v>15481.304067997477</v>
      </c>
      <c r="F266" s="27">
        <f t="shared" si="9"/>
        <v>3385.2557771947722</v>
      </c>
      <c r="G266" s="27">
        <f t="shared" si="8"/>
        <v>17.943153415207462</v>
      </c>
      <c r="H266" s="29">
        <v>16</v>
      </c>
      <c r="I266" s="29">
        <v>2</v>
      </c>
      <c r="J266" s="15" t="s">
        <v>69</v>
      </c>
      <c r="K266" s="13"/>
      <c r="L266" s="13"/>
      <c r="M266" s="15">
        <v>160</v>
      </c>
    </row>
    <row r="267" spans="1:13" ht="30" customHeight="1">
      <c r="A267" s="16" t="s">
        <v>30</v>
      </c>
      <c r="B267" s="30" t="s">
        <v>392</v>
      </c>
      <c r="C267" s="30" t="s">
        <v>357</v>
      </c>
      <c r="D267" s="27">
        <v>21049.983215192253</v>
      </c>
      <c r="E267" s="28">
        <v>17391.560734664145</v>
      </c>
      <c r="F267" s="27">
        <f t="shared" si="9"/>
        <v>3658.4224805281083</v>
      </c>
      <c r="G267" s="27">
        <f t="shared" si="8"/>
        <v>17.379693100599443</v>
      </c>
      <c r="H267" s="29">
        <v>44</v>
      </c>
      <c r="I267" s="29">
        <v>0</v>
      </c>
      <c r="J267" s="15" t="s">
        <v>73</v>
      </c>
      <c r="K267" s="13"/>
      <c r="L267" s="13"/>
      <c r="M267" s="15">
        <v>160</v>
      </c>
    </row>
    <row r="268" spans="1:13" ht="30" customHeight="1">
      <c r="A268" s="16" t="s">
        <v>30</v>
      </c>
      <c r="B268" s="30" t="s">
        <v>389</v>
      </c>
      <c r="C268" s="30" t="s">
        <v>358</v>
      </c>
      <c r="D268" s="27">
        <v>21072.073595192254</v>
      </c>
      <c r="E268" s="28">
        <v>17410.887401330809</v>
      </c>
      <c r="F268" s="27">
        <f t="shared" si="9"/>
        <v>3661.1861938614456</v>
      </c>
      <c r="G268" s="27">
        <f t="shared" si="8"/>
        <v>17.374589061309901</v>
      </c>
      <c r="H268" s="29">
        <v>37</v>
      </c>
      <c r="I268" s="29">
        <v>0</v>
      </c>
      <c r="J268" s="15" t="s">
        <v>78</v>
      </c>
      <c r="K268" s="13"/>
      <c r="L268" s="13"/>
      <c r="M268" s="15">
        <v>250</v>
      </c>
    </row>
    <row r="269" spans="1:13" ht="30" customHeight="1">
      <c r="A269" s="16" t="s">
        <v>30</v>
      </c>
      <c r="B269" s="30" t="s">
        <v>391</v>
      </c>
      <c r="C269" s="30" t="s">
        <v>359</v>
      </c>
      <c r="D269" s="27">
        <v>20554.988015192248</v>
      </c>
      <c r="E269" s="28">
        <v>16958.494067997479</v>
      </c>
      <c r="F269" s="27">
        <f t="shared" si="9"/>
        <v>3596.4939471947691</v>
      </c>
      <c r="G269" s="27">
        <f t="shared" si="8"/>
        <v>17.496940132179063</v>
      </c>
      <c r="H269" s="29">
        <v>24</v>
      </c>
      <c r="I269" s="29">
        <v>0</v>
      </c>
      <c r="J269" s="15" t="s">
        <v>79</v>
      </c>
      <c r="K269" s="13">
        <v>40.883151666700002</v>
      </c>
      <c r="L269" s="13">
        <v>72.085181666699995</v>
      </c>
      <c r="M269" s="15">
        <v>160</v>
      </c>
    </row>
    <row r="270" spans="1:13" ht="30" customHeight="1">
      <c r="A270" s="16" t="s">
        <v>30</v>
      </c>
      <c r="B270" s="30" t="s">
        <v>384</v>
      </c>
      <c r="C270" s="30" t="s">
        <v>102</v>
      </c>
      <c r="D270" s="27">
        <v>19711.073015192254</v>
      </c>
      <c r="E270" s="28">
        <v>16220.160734664143</v>
      </c>
      <c r="F270" s="27">
        <f t="shared" si="9"/>
        <v>3490.9122805281113</v>
      </c>
      <c r="G270" s="27">
        <f t="shared" si="8"/>
        <v>17.710412202509222</v>
      </c>
      <c r="H270" s="29">
        <v>32</v>
      </c>
      <c r="I270" s="29">
        <v>0</v>
      </c>
      <c r="J270" s="15" t="s">
        <v>80</v>
      </c>
      <c r="K270" s="13"/>
      <c r="L270" s="13"/>
      <c r="M270" s="15">
        <v>63</v>
      </c>
    </row>
    <row r="271" spans="1:13" ht="30" customHeight="1">
      <c r="A271" s="16" t="s">
        <v>30</v>
      </c>
      <c r="B271" s="30" t="s">
        <v>392</v>
      </c>
      <c r="C271" s="30" t="s">
        <v>360</v>
      </c>
      <c r="D271" s="27">
        <v>23798.216225192245</v>
      </c>
      <c r="E271" s="28">
        <v>19795.964067997476</v>
      </c>
      <c r="F271" s="27">
        <f t="shared" si="9"/>
        <v>4002.2521571947691</v>
      </c>
      <c r="G271" s="27">
        <f t="shared" si="8"/>
        <v>16.817445977140409</v>
      </c>
      <c r="H271" s="29">
        <v>77</v>
      </c>
      <c r="I271" s="29">
        <v>0</v>
      </c>
      <c r="J271" s="15" t="s">
        <v>75</v>
      </c>
      <c r="K271" s="13"/>
      <c r="L271" s="13"/>
      <c r="M271" s="15">
        <v>400</v>
      </c>
    </row>
    <row r="272" spans="1:13" ht="30" customHeight="1">
      <c r="A272" s="16" t="s">
        <v>13</v>
      </c>
      <c r="B272" s="30" t="s">
        <v>388</v>
      </c>
      <c r="C272" s="30" t="s">
        <v>361</v>
      </c>
      <c r="D272" s="27">
        <v>20370.90024519225</v>
      </c>
      <c r="E272" s="28">
        <v>16797.437401330812</v>
      </c>
      <c r="F272" s="27">
        <f t="shared" si="9"/>
        <v>3573.4628438614382</v>
      </c>
      <c r="G272" s="27">
        <f t="shared" si="8"/>
        <v>17.541997657687286</v>
      </c>
      <c r="H272" s="29">
        <v>52</v>
      </c>
      <c r="I272" s="29">
        <v>0</v>
      </c>
      <c r="J272" s="15" t="s">
        <v>75</v>
      </c>
      <c r="K272" s="13"/>
      <c r="L272" s="13"/>
      <c r="M272" s="15">
        <v>400</v>
      </c>
    </row>
    <row r="273" spans="1:13" ht="30" customHeight="1">
      <c r="A273" s="16" t="s">
        <v>13</v>
      </c>
      <c r="B273" s="30" t="s">
        <v>387</v>
      </c>
      <c r="C273" s="30" t="s">
        <v>362</v>
      </c>
      <c r="D273" s="27">
        <v>30445.447025192254</v>
      </c>
      <c r="E273" s="28">
        <v>25611.564067997482</v>
      </c>
      <c r="F273" s="27">
        <f t="shared" si="9"/>
        <v>4833.8829571947717</v>
      </c>
      <c r="G273" s="27">
        <f t="shared" si="8"/>
        <v>15.877194883014687</v>
      </c>
      <c r="H273" s="29">
        <v>53</v>
      </c>
      <c r="I273" s="29">
        <v>0</v>
      </c>
      <c r="J273" s="15" t="s">
        <v>68</v>
      </c>
      <c r="K273" s="13">
        <v>40.890700000000002</v>
      </c>
      <c r="L273" s="13">
        <v>71.955235000000002</v>
      </c>
      <c r="M273" s="15">
        <v>40</v>
      </c>
    </row>
    <row r="274" spans="1:13" ht="30" customHeight="1">
      <c r="A274" s="16" t="s">
        <v>13</v>
      </c>
      <c r="B274" s="30" t="s">
        <v>388</v>
      </c>
      <c r="C274" s="30" t="s">
        <v>363</v>
      </c>
      <c r="D274" s="27">
        <v>19247.376965192248</v>
      </c>
      <c r="E274" s="28">
        <v>15814.477401330809</v>
      </c>
      <c r="F274" s="27">
        <f t="shared" si="9"/>
        <v>3432.8995638614397</v>
      </c>
      <c r="G274" s="27">
        <f t="shared" si="8"/>
        <v>17.835674804258456</v>
      </c>
      <c r="H274" s="29">
        <v>30</v>
      </c>
      <c r="I274" s="29">
        <v>2</v>
      </c>
      <c r="J274" s="15" t="s">
        <v>74</v>
      </c>
      <c r="K274" s="13">
        <v>40.883293333300003</v>
      </c>
      <c r="L274" s="13">
        <v>71.964291666700007</v>
      </c>
      <c r="M274" s="15">
        <v>63</v>
      </c>
    </row>
    <row r="275" spans="1:13" ht="30" customHeight="1">
      <c r="A275" s="16" t="s">
        <v>13</v>
      </c>
      <c r="B275" s="30" t="s">
        <v>389</v>
      </c>
      <c r="C275" s="30" t="s">
        <v>364</v>
      </c>
      <c r="D275" s="27">
        <v>22743.314855192246</v>
      </c>
      <c r="E275" s="28">
        <v>18873.040734664144</v>
      </c>
      <c r="F275" s="27">
        <f t="shared" si="9"/>
        <v>3870.2741205281018</v>
      </c>
      <c r="G275" s="27">
        <f t="shared" si="8"/>
        <v>17.017194481852442</v>
      </c>
      <c r="H275" s="29">
        <v>74</v>
      </c>
      <c r="I275" s="29">
        <v>0</v>
      </c>
      <c r="J275" s="15" t="s">
        <v>76</v>
      </c>
      <c r="K275" s="13">
        <v>40.875286666699999</v>
      </c>
      <c r="L275" s="13">
        <v>71.9537066667</v>
      </c>
      <c r="M275" s="15">
        <v>25</v>
      </c>
    </row>
    <row r="276" spans="1:13" ht="30" customHeight="1">
      <c r="A276" s="16" t="s">
        <v>13</v>
      </c>
      <c r="B276" s="30" t="s">
        <v>386</v>
      </c>
      <c r="C276" s="30" t="s">
        <v>365</v>
      </c>
      <c r="D276" s="27">
        <v>21042.469895192247</v>
      </c>
      <c r="E276" s="28">
        <v>17384.987401330811</v>
      </c>
      <c r="F276" s="27">
        <f t="shared" si="9"/>
        <v>3657.4824938614365</v>
      </c>
      <c r="G276" s="27">
        <f t="shared" si="8"/>
        <v>17.381431514829409</v>
      </c>
      <c r="H276" s="29">
        <v>42</v>
      </c>
      <c r="I276" s="29">
        <v>0</v>
      </c>
      <c r="J276" s="15" t="s">
        <v>81</v>
      </c>
      <c r="K276" s="13"/>
      <c r="L276" s="13"/>
      <c r="M276" s="15">
        <v>160</v>
      </c>
    </row>
    <row r="277" spans="1:13" ht="30" customHeight="1">
      <c r="A277" s="16" t="s">
        <v>13</v>
      </c>
      <c r="B277" s="30" t="s">
        <v>389</v>
      </c>
      <c r="C277" s="30" t="s">
        <v>366</v>
      </c>
      <c r="D277" s="27">
        <v>20763.337865192254</v>
      </c>
      <c r="E277" s="28">
        <v>17140.777401330812</v>
      </c>
      <c r="F277" s="27">
        <f t="shared" si="9"/>
        <v>3622.5604638614423</v>
      </c>
      <c r="G277" s="27">
        <f t="shared" si="8"/>
        <v>17.446908042344763</v>
      </c>
      <c r="H277" s="29">
        <v>19</v>
      </c>
      <c r="I277" s="29">
        <v>0</v>
      </c>
      <c r="J277" s="15" t="s">
        <v>77</v>
      </c>
      <c r="K277" s="13"/>
      <c r="L277" s="13"/>
      <c r="M277" s="15">
        <v>60</v>
      </c>
    </row>
    <row r="278" spans="1:13" ht="30" customHeight="1">
      <c r="A278" s="16" t="s">
        <v>30</v>
      </c>
      <c r="B278" s="30" t="s">
        <v>384</v>
      </c>
      <c r="C278" s="30" t="s">
        <v>91</v>
      </c>
      <c r="D278" s="27">
        <v>19967.828915192251</v>
      </c>
      <c r="E278" s="28">
        <v>16444.794067997478</v>
      </c>
      <c r="F278" s="27">
        <f t="shared" si="9"/>
        <v>3523.0348471947727</v>
      </c>
      <c r="G278" s="27">
        <f t="shared" si="8"/>
        <v>17.643554850944859</v>
      </c>
      <c r="H278" s="29">
        <v>21</v>
      </c>
      <c r="I278" s="29">
        <v>0</v>
      </c>
      <c r="J278" s="15" t="s">
        <v>82</v>
      </c>
      <c r="K278" s="13"/>
      <c r="L278" s="13"/>
      <c r="M278" s="15">
        <v>250</v>
      </c>
    </row>
    <row r="279" spans="1:13" ht="30" customHeight="1">
      <c r="A279" s="16" t="s">
        <v>30</v>
      </c>
      <c r="B279" s="30" t="s">
        <v>390</v>
      </c>
      <c r="C279" s="30" t="s">
        <v>367</v>
      </c>
      <c r="D279" s="27">
        <v>26813.004455192255</v>
      </c>
      <c r="E279" s="28">
        <v>22433.574067997477</v>
      </c>
      <c r="F279" s="27">
        <f t="shared" si="9"/>
        <v>4379.4303871947777</v>
      </c>
      <c r="G279" s="27">
        <f t="shared" si="8"/>
        <v>16.333232609248736</v>
      </c>
      <c r="H279" s="29">
        <v>53</v>
      </c>
      <c r="I279" s="29">
        <v>0</v>
      </c>
      <c r="J279" s="15" t="s">
        <v>70</v>
      </c>
      <c r="K279" s="13">
        <v>40.870626666699998</v>
      </c>
      <c r="L279" s="13">
        <v>72.030681666700005</v>
      </c>
      <c r="M279" s="15">
        <v>40</v>
      </c>
    </row>
    <row r="280" spans="1:13" ht="30" customHeight="1">
      <c r="A280" s="16" t="s">
        <v>30</v>
      </c>
      <c r="B280" s="30" t="s">
        <v>384</v>
      </c>
      <c r="C280" s="30" t="s">
        <v>106</v>
      </c>
      <c r="D280" s="27">
        <v>20506.00665519225</v>
      </c>
      <c r="E280" s="28">
        <v>16915.640734664143</v>
      </c>
      <c r="F280" s="27">
        <f t="shared" si="9"/>
        <v>3590.3659205281074</v>
      </c>
      <c r="G280" s="27">
        <f t="shared" si="8"/>
        <v>17.50884987457567</v>
      </c>
      <c r="H280" s="29">
        <v>47</v>
      </c>
      <c r="I280" s="29">
        <v>2</v>
      </c>
      <c r="J280" s="15" t="s">
        <v>59</v>
      </c>
      <c r="K280" s="13"/>
      <c r="L280" s="13"/>
      <c r="M280" s="15">
        <v>250</v>
      </c>
    </row>
    <row r="281" spans="1:13" ht="30" customHeight="1">
      <c r="A281" s="16" t="s">
        <v>13</v>
      </c>
      <c r="B281" s="30" t="s">
        <v>388</v>
      </c>
      <c r="C281" s="30" t="s">
        <v>368</v>
      </c>
      <c r="D281" s="27">
        <v>20123.033075192252</v>
      </c>
      <c r="E281" s="28">
        <v>16580.580734664145</v>
      </c>
      <c r="F281" s="27">
        <f t="shared" si="9"/>
        <v>3542.452340528107</v>
      </c>
      <c r="G281" s="27">
        <f t="shared" si="8"/>
        <v>17.603968185567687</v>
      </c>
      <c r="H281" s="29">
        <v>37</v>
      </c>
      <c r="I281" s="29">
        <v>0</v>
      </c>
      <c r="J281" s="15" t="s">
        <v>83</v>
      </c>
      <c r="K281" s="13"/>
      <c r="L281" s="13"/>
      <c r="M281" s="15">
        <v>63</v>
      </c>
    </row>
    <row r="282" spans="1:13" ht="30" customHeight="1">
      <c r="A282" s="16" t="s">
        <v>13</v>
      </c>
      <c r="B282" s="30" t="s">
        <v>389</v>
      </c>
      <c r="C282" s="30" t="s">
        <v>369</v>
      </c>
      <c r="D282" s="27">
        <v>24545.940155192253</v>
      </c>
      <c r="E282" s="28">
        <v>20450.140734664143</v>
      </c>
      <c r="F282" s="27">
        <f t="shared" si="9"/>
        <v>4095.7994205281102</v>
      </c>
      <c r="G282" s="27">
        <f t="shared" si="8"/>
        <v>16.686260109135471</v>
      </c>
      <c r="H282" s="29">
        <v>76</v>
      </c>
      <c r="I282" s="29">
        <v>0</v>
      </c>
      <c r="J282" s="15" t="s">
        <v>55</v>
      </c>
      <c r="K282" s="13"/>
      <c r="L282" s="13"/>
      <c r="M282" s="15">
        <v>400</v>
      </c>
    </row>
    <row r="283" spans="1:13" ht="30" customHeight="1">
      <c r="A283" s="16" t="s">
        <v>13</v>
      </c>
      <c r="B283" s="30" t="s">
        <v>390</v>
      </c>
      <c r="C283" s="30" t="s">
        <v>370</v>
      </c>
      <c r="D283" s="27">
        <v>21809.85342519225</v>
      </c>
      <c r="E283" s="28">
        <v>18056.364067997478</v>
      </c>
      <c r="F283" s="27">
        <f t="shared" si="9"/>
        <v>3753.4893571947723</v>
      </c>
      <c r="G283" s="27">
        <f t="shared" si="8"/>
        <v>17.2100622779022</v>
      </c>
      <c r="H283" s="29">
        <v>54</v>
      </c>
      <c r="I283" s="29">
        <v>2</v>
      </c>
      <c r="J283" s="15" t="s">
        <v>56</v>
      </c>
      <c r="K283" s="13"/>
      <c r="L283" s="13"/>
      <c r="M283" s="15">
        <v>25</v>
      </c>
    </row>
    <row r="284" spans="1:13" ht="30" customHeight="1">
      <c r="A284" s="16" t="s">
        <v>13</v>
      </c>
      <c r="B284" s="30" t="s">
        <v>391</v>
      </c>
      <c r="C284" s="30" t="s">
        <v>371</v>
      </c>
      <c r="D284" s="27">
        <v>20173.008845192249</v>
      </c>
      <c r="E284" s="28">
        <v>16624.304067997477</v>
      </c>
      <c r="F284" s="27">
        <f t="shared" si="9"/>
        <v>3548.7047771947728</v>
      </c>
      <c r="G284" s="27">
        <f t="shared" si="8"/>
        <v>17.591350920566917</v>
      </c>
      <c r="H284" s="29">
        <v>46</v>
      </c>
      <c r="I284" s="29">
        <v>0</v>
      </c>
      <c r="J284" s="15" t="s">
        <v>75</v>
      </c>
      <c r="K284" s="13"/>
      <c r="L284" s="13"/>
      <c r="M284" s="15">
        <v>25</v>
      </c>
    </row>
    <row r="285" spans="1:13" ht="30" customHeight="1">
      <c r="A285" s="16" t="s">
        <v>13</v>
      </c>
      <c r="B285" s="30" t="s">
        <v>388</v>
      </c>
      <c r="C285" s="30" t="s">
        <v>372</v>
      </c>
      <c r="D285" s="27">
        <v>20467.73520519225</v>
      </c>
      <c r="E285" s="28">
        <v>16882.157401330809</v>
      </c>
      <c r="F285" s="27">
        <f t="shared" si="9"/>
        <v>3585.5778038614408</v>
      </c>
      <c r="G285" s="27">
        <f t="shared" si="8"/>
        <v>17.518195188258311</v>
      </c>
      <c r="H285" s="29">
        <v>29</v>
      </c>
      <c r="I285" s="29">
        <v>2</v>
      </c>
      <c r="J285" s="15" t="s">
        <v>55</v>
      </c>
      <c r="K285" s="13">
        <v>40.882366666700001</v>
      </c>
      <c r="L285" s="13">
        <v>72.011693333300002</v>
      </c>
      <c r="M285" s="15">
        <v>63</v>
      </c>
    </row>
    <row r="286" spans="1:13" ht="30" customHeight="1">
      <c r="A286" s="16" t="s">
        <v>30</v>
      </c>
      <c r="B286" s="30" t="s">
        <v>392</v>
      </c>
      <c r="C286" s="30" t="s">
        <v>373</v>
      </c>
      <c r="D286" s="27">
        <v>26750.398535192253</v>
      </c>
      <c r="E286" s="28">
        <v>22378.800734664146</v>
      </c>
      <c r="F286" s="27">
        <f t="shared" si="9"/>
        <v>4371.5978005281067</v>
      </c>
      <c r="G286" s="27">
        <f t="shared" si="8"/>
        <v>16.342178210081343</v>
      </c>
      <c r="H286" s="29">
        <v>171</v>
      </c>
      <c r="I286" s="29">
        <v>2</v>
      </c>
      <c r="J286" s="15" t="s">
        <v>84</v>
      </c>
      <c r="K286" s="13"/>
      <c r="L286" s="13"/>
      <c r="M286" s="15">
        <v>100</v>
      </c>
    </row>
    <row r="287" spans="1:13" ht="30" customHeight="1">
      <c r="A287" s="16" t="s">
        <v>13</v>
      </c>
      <c r="B287" s="30" t="s">
        <v>388</v>
      </c>
      <c r="C287" s="30" t="s">
        <v>26</v>
      </c>
      <c r="D287" s="27">
        <v>20130.885485192252</v>
      </c>
      <c r="E287" s="28">
        <v>16587.450734664144</v>
      </c>
      <c r="F287" s="27">
        <f t="shared" si="9"/>
        <v>3543.4347505281075</v>
      </c>
      <c r="G287" s="27">
        <f t="shared" si="8"/>
        <v>17.601981557813563</v>
      </c>
      <c r="H287" s="29">
        <v>34</v>
      </c>
      <c r="I287" s="29">
        <v>0</v>
      </c>
      <c r="J287" s="15" t="s">
        <v>85</v>
      </c>
      <c r="K287" s="13"/>
      <c r="L287" s="13"/>
      <c r="M287" s="15">
        <v>100</v>
      </c>
    </row>
    <row r="288" spans="1:13" ht="30" customHeight="1">
      <c r="A288" s="16" t="s">
        <v>13</v>
      </c>
      <c r="B288" s="30" t="s">
        <v>390</v>
      </c>
      <c r="C288" s="30" t="s">
        <v>374</v>
      </c>
      <c r="D288" s="27">
        <v>21886.781135192246</v>
      </c>
      <c r="E288" s="28">
        <v>18123.667401330811</v>
      </c>
      <c r="F288" s="27">
        <f t="shared" si="9"/>
        <v>3763.1137338614353</v>
      </c>
      <c r="G288" s="27">
        <f t="shared" si="8"/>
        <v>17.193545778235247</v>
      </c>
      <c r="H288" s="29">
        <v>46</v>
      </c>
      <c r="I288" s="29">
        <v>0</v>
      </c>
      <c r="J288" s="15" t="s">
        <v>81</v>
      </c>
      <c r="K288" s="13"/>
      <c r="L288" s="13"/>
      <c r="M288" s="15">
        <v>100</v>
      </c>
    </row>
    <row r="289" spans="1:13" ht="30" customHeight="1">
      <c r="A289" s="16" t="s">
        <v>13</v>
      </c>
      <c r="B289" s="30" t="s">
        <v>390</v>
      </c>
      <c r="C289" s="30" t="s">
        <v>375</v>
      </c>
      <c r="D289" s="27">
        <v>21317.140415192254</v>
      </c>
      <c r="E289" s="28">
        <v>17625.294067997478</v>
      </c>
      <c r="F289" s="27">
        <f t="shared" si="9"/>
        <v>3691.8463471947762</v>
      </c>
      <c r="G289" s="27">
        <f t="shared" si="8"/>
        <v>17.318675372441977</v>
      </c>
      <c r="H289" s="29">
        <v>53</v>
      </c>
      <c r="I289" s="29">
        <v>5</v>
      </c>
      <c r="J289" s="15" t="s">
        <v>65</v>
      </c>
      <c r="K289" s="13"/>
      <c r="L289" s="13"/>
      <c r="M289" s="15">
        <v>63</v>
      </c>
    </row>
    <row r="290" spans="1:13" ht="30" customHeight="1">
      <c r="A290" s="16" t="s">
        <v>13</v>
      </c>
      <c r="B290" s="30" t="s">
        <v>390</v>
      </c>
      <c r="C290" s="30" t="s">
        <v>376</v>
      </c>
      <c r="D290" s="27">
        <v>22156.66248519225</v>
      </c>
      <c r="E290" s="28">
        <v>18359.784067997476</v>
      </c>
      <c r="F290" s="27">
        <f t="shared" si="9"/>
        <v>3796.8784171947736</v>
      </c>
      <c r="G290" s="27">
        <f t="shared" si="8"/>
        <v>17.136508802859208</v>
      </c>
      <c r="H290" s="29">
        <v>66</v>
      </c>
      <c r="I290" s="29">
        <v>0</v>
      </c>
      <c r="J290" s="15" t="s">
        <v>60</v>
      </c>
      <c r="K290" s="13"/>
      <c r="L290" s="13"/>
      <c r="M290" s="15">
        <v>160</v>
      </c>
    </row>
    <row r="291" spans="1:13" ht="30" customHeight="1">
      <c r="A291" s="16" t="s">
        <v>13</v>
      </c>
      <c r="B291" s="30" t="s">
        <v>389</v>
      </c>
      <c r="C291" s="30" t="s">
        <v>377</v>
      </c>
      <c r="D291" s="27">
        <v>25191.617045192248</v>
      </c>
      <c r="E291" s="28">
        <v>21015.03740133081</v>
      </c>
      <c r="F291" s="27">
        <f t="shared" si="9"/>
        <v>4176.5796438614379</v>
      </c>
      <c r="G291" s="27">
        <f t="shared" si="8"/>
        <v>16.579243945987685</v>
      </c>
      <c r="H291" s="29">
        <v>101</v>
      </c>
      <c r="I291" s="29">
        <v>0</v>
      </c>
      <c r="J291" s="15" t="s">
        <v>60</v>
      </c>
      <c r="K291" s="13">
        <v>40.881914999999999</v>
      </c>
      <c r="L291" s="13">
        <v>71.997399999999999</v>
      </c>
      <c r="M291" s="15">
        <v>100</v>
      </c>
    </row>
    <row r="292" spans="1:13" ht="30" customHeight="1">
      <c r="A292" s="16" t="s">
        <v>13</v>
      </c>
      <c r="B292" s="30" t="s">
        <v>392</v>
      </c>
      <c r="C292" s="30" t="s">
        <v>378</v>
      </c>
      <c r="D292" s="27">
        <v>20485.01355519225</v>
      </c>
      <c r="E292" s="28">
        <v>16897.274067997478</v>
      </c>
      <c r="F292" s="27">
        <f t="shared" si="9"/>
        <v>3587.7394871947727</v>
      </c>
      <c r="G292" s="27">
        <f t="shared" si="8"/>
        <v>17.513971750755339</v>
      </c>
      <c r="H292" s="29">
        <v>36</v>
      </c>
      <c r="I292" s="29">
        <v>0</v>
      </c>
      <c r="J292" s="15" t="s">
        <v>55</v>
      </c>
      <c r="K292" s="13"/>
      <c r="L292" s="13"/>
      <c r="M292" s="15">
        <v>160</v>
      </c>
    </row>
    <row r="293" spans="1:13" ht="30" customHeight="1">
      <c r="A293" s="16" t="s">
        <v>30</v>
      </c>
      <c r="B293" s="30" t="s">
        <v>391</v>
      </c>
      <c r="C293" s="30" t="s">
        <v>379</v>
      </c>
      <c r="D293" s="27">
        <v>22316.09955519225</v>
      </c>
      <c r="E293" s="28">
        <v>18499.274067997478</v>
      </c>
      <c r="F293" s="27">
        <f t="shared" si="9"/>
        <v>3816.825487194772</v>
      </c>
      <c r="G293" s="27">
        <f t="shared" si="8"/>
        <v>17.103461461780032</v>
      </c>
      <c r="H293" s="29">
        <v>33</v>
      </c>
      <c r="I293" s="29">
        <v>0</v>
      </c>
      <c r="J293" s="15" t="s">
        <v>75</v>
      </c>
      <c r="K293" s="13">
        <v>40.837551666700001</v>
      </c>
      <c r="L293" s="13">
        <v>72.172751666699995</v>
      </c>
      <c r="M293" s="15">
        <v>100</v>
      </c>
    </row>
    <row r="294" spans="1:13" ht="30" customHeight="1">
      <c r="A294" s="16" t="s">
        <v>30</v>
      </c>
      <c r="B294" s="30" t="s">
        <v>388</v>
      </c>
      <c r="C294" s="30" t="s">
        <v>380</v>
      </c>
      <c r="D294" s="27">
        <v>19870.658675192251</v>
      </c>
      <c r="E294" s="28">
        <v>16359.780734664142</v>
      </c>
      <c r="F294" s="27">
        <f t="shared" si="9"/>
        <v>3510.8779405281093</v>
      </c>
      <c r="G294" s="27">
        <f t="shared" ref="G294:G357" si="10">+F294*100/D294</f>
        <v>17.66865405881741</v>
      </c>
      <c r="H294" s="29">
        <v>31</v>
      </c>
      <c r="I294" s="29">
        <v>0</v>
      </c>
      <c r="J294" s="15" t="s">
        <v>86</v>
      </c>
      <c r="K294" s="13">
        <v>40.883151666700002</v>
      </c>
      <c r="L294" s="13">
        <v>72.085181666699995</v>
      </c>
      <c r="M294" s="15">
        <v>63</v>
      </c>
    </row>
    <row r="295" spans="1:13" ht="30" customHeight="1">
      <c r="A295" s="16" t="s">
        <v>13</v>
      </c>
      <c r="B295" s="30" t="s">
        <v>390</v>
      </c>
      <c r="C295" s="30" t="s">
        <v>381</v>
      </c>
      <c r="D295" s="27">
        <v>19665.398735192248</v>
      </c>
      <c r="E295" s="28">
        <v>16180.200734664144</v>
      </c>
      <c r="F295" s="27">
        <f t="shared" si="9"/>
        <v>3485.1980005281039</v>
      </c>
      <c r="G295" s="27">
        <f t="shared" si="10"/>
        <v>17.722488353572825</v>
      </c>
      <c r="H295" s="29">
        <v>19</v>
      </c>
      <c r="I295" s="29">
        <v>0</v>
      </c>
      <c r="J295" s="15" t="s">
        <v>70</v>
      </c>
      <c r="K295" s="13">
        <v>40.883535000000002</v>
      </c>
      <c r="L295" s="13">
        <v>71.979993333300001</v>
      </c>
      <c r="M295" s="15">
        <v>100</v>
      </c>
    </row>
    <row r="296" spans="1:13" ht="30" customHeight="1">
      <c r="A296" s="16" t="s">
        <v>30</v>
      </c>
      <c r="B296" s="30" t="s">
        <v>385</v>
      </c>
      <c r="C296" s="30" t="s">
        <v>382</v>
      </c>
      <c r="D296" s="27">
        <v>25012.066985192247</v>
      </c>
      <c r="E296" s="28">
        <v>20857.950734664148</v>
      </c>
      <c r="F296" s="27">
        <f t="shared" si="9"/>
        <v>4154.116250528099</v>
      </c>
      <c r="G296" s="27">
        <f t="shared" si="10"/>
        <v>16.608448446053806</v>
      </c>
      <c r="H296" s="29">
        <v>138</v>
      </c>
      <c r="I296" s="29">
        <v>14</v>
      </c>
      <c r="J296" s="15" t="s">
        <v>56</v>
      </c>
      <c r="K296" s="13">
        <v>40.858853333299997</v>
      </c>
      <c r="L296" s="13">
        <v>72.0770083333</v>
      </c>
      <c r="M296" s="15">
        <v>100</v>
      </c>
    </row>
    <row r="297" spans="1:13" ht="30" customHeight="1">
      <c r="A297" s="16" t="s">
        <v>45</v>
      </c>
      <c r="B297" s="30" t="s">
        <v>385</v>
      </c>
      <c r="C297" s="30" t="s">
        <v>383</v>
      </c>
      <c r="D297" s="27">
        <v>19251.529083283465</v>
      </c>
      <c r="E297" s="28">
        <v>15818.204940745225</v>
      </c>
      <c r="F297" s="27">
        <f t="shared" si="9"/>
        <v>3433.3241425382403</v>
      </c>
      <c r="G297" s="27">
        <f t="shared" si="10"/>
        <v>17.834033482148037</v>
      </c>
      <c r="H297" s="29">
        <v>4</v>
      </c>
      <c r="I297" s="29">
        <v>3</v>
      </c>
      <c r="J297" s="15" t="s">
        <v>87</v>
      </c>
      <c r="K297" s="13">
        <v>40.833135628299999</v>
      </c>
      <c r="L297" s="13">
        <v>72.203557438199994</v>
      </c>
      <c r="M297" s="15">
        <v>630</v>
      </c>
    </row>
    <row r="298" spans="1:13" ht="30" customHeight="1">
      <c r="A298" s="16" t="s">
        <v>30</v>
      </c>
      <c r="B298" s="30" t="s">
        <v>384</v>
      </c>
      <c r="C298" s="30" t="s">
        <v>114</v>
      </c>
      <c r="D298" s="27">
        <v>19176.27855519225</v>
      </c>
      <c r="E298" s="28">
        <v>15752.274067997478</v>
      </c>
      <c r="F298" s="27">
        <f t="shared" si="9"/>
        <v>3424.0044871947721</v>
      </c>
      <c r="G298" s="27">
        <f t="shared" si="10"/>
        <v>17.855416927429197</v>
      </c>
      <c r="H298" s="29">
        <v>20</v>
      </c>
      <c r="I298" s="29">
        <v>0</v>
      </c>
      <c r="J298" s="15" t="s">
        <v>88</v>
      </c>
      <c r="K298" s="13">
        <v>40.8940533333</v>
      </c>
      <c r="L298" s="13">
        <v>71.926556666699994</v>
      </c>
      <c r="M298" s="15">
        <v>40</v>
      </c>
    </row>
    <row r="299" spans="1:13" ht="30" customHeight="1">
      <c r="A299" s="16" t="s">
        <v>13</v>
      </c>
      <c r="B299" s="30" t="s">
        <v>388</v>
      </c>
      <c r="C299" s="30" t="s">
        <v>402</v>
      </c>
      <c r="D299" s="44">
        <v>2800.5969999999998</v>
      </c>
      <c r="E299" s="44">
        <v>2800.5969999999998</v>
      </c>
      <c r="F299" s="27">
        <f t="shared" si="9"/>
        <v>0</v>
      </c>
      <c r="G299" s="27">
        <f t="shared" si="10"/>
        <v>0</v>
      </c>
      <c r="H299" s="29">
        <v>1</v>
      </c>
      <c r="I299" s="35"/>
      <c r="J299" s="12"/>
      <c r="K299" s="13"/>
      <c r="L299" s="13"/>
      <c r="M299" s="36"/>
    </row>
    <row r="300" spans="1:13" ht="30" customHeight="1">
      <c r="A300" s="16" t="s">
        <v>13</v>
      </c>
      <c r="B300" s="30" t="s">
        <v>387</v>
      </c>
      <c r="C300" s="30" t="s">
        <v>404</v>
      </c>
      <c r="D300" s="44">
        <v>2815.9704999999999</v>
      </c>
      <c r="E300" s="44">
        <v>2815.9704999999999</v>
      </c>
      <c r="F300" s="27">
        <f t="shared" si="9"/>
        <v>0</v>
      </c>
      <c r="G300" s="27">
        <f t="shared" si="10"/>
        <v>0</v>
      </c>
      <c r="H300" s="29">
        <v>1</v>
      </c>
      <c r="I300" s="12"/>
      <c r="J300" s="12"/>
      <c r="K300" s="13"/>
      <c r="L300" s="13"/>
      <c r="M300" s="36"/>
    </row>
    <row r="301" spans="1:13" ht="30" customHeight="1">
      <c r="A301" s="16" t="s">
        <v>13</v>
      </c>
      <c r="B301" s="30" t="s">
        <v>388</v>
      </c>
      <c r="C301" s="30" t="s">
        <v>405</v>
      </c>
      <c r="D301" s="44">
        <v>699.55200000000002</v>
      </c>
      <c r="E301" s="44">
        <v>699.55200000000002</v>
      </c>
      <c r="F301" s="27">
        <f t="shared" si="9"/>
        <v>0</v>
      </c>
      <c r="G301" s="27">
        <f t="shared" si="10"/>
        <v>0</v>
      </c>
      <c r="H301" s="29">
        <v>1</v>
      </c>
      <c r="I301" s="12"/>
      <c r="J301" s="12"/>
      <c r="K301" s="13"/>
      <c r="L301" s="13"/>
      <c r="M301" s="36"/>
    </row>
    <row r="302" spans="1:13" ht="30" customHeight="1">
      <c r="A302" s="16" t="s">
        <v>13</v>
      </c>
      <c r="B302" s="30" t="s">
        <v>388</v>
      </c>
      <c r="C302" s="30" t="s">
        <v>407</v>
      </c>
      <c r="D302" s="44">
        <v>2856.9665</v>
      </c>
      <c r="E302" s="44">
        <v>2856.9665</v>
      </c>
      <c r="F302" s="27">
        <f t="shared" si="9"/>
        <v>0</v>
      </c>
      <c r="G302" s="27">
        <f t="shared" si="10"/>
        <v>0</v>
      </c>
      <c r="H302" s="29">
        <v>1</v>
      </c>
      <c r="I302" s="12"/>
      <c r="J302" s="12"/>
      <c r="K302" s="13"/>
      <c r="L302" s="13"/>
      <c r="M302" s="36"/>
    </row>
    <row r="303" spans="1:13" ht="30" customHeight="1">
      <c r="A303" s="16" t="s">
        <v>13</v>
      </c>
      <c r="B303" s="30" t="s">
        <v>388</v>
      </c>
      <c r="C303" s="30" t="s">
        <v>408</v>
      </c>
      <c r="D303" s="44">
        <v>2867.2154999999998</v>
      </c>
      <c r="E303" s="44">
        <v>2867.2154999999998</v>
      </c>
      <c r="F303" s="27">
        <f t="shared" si="9"/>
        <v>0</v>
      </c>
      <c r="G303" s="27">
        <f t="shared" si="10"/>
        <v>0</v>
      </c>
      <c r="H303" s="29">
        <v>1</v>
      </c>
      <c r="I303" s="35"/>
      <c r="J303" s="12"/>
      <c r="K303" s="13"/>
      <c r="L303" s="13"/>
      <c r="M303" s="36"/>
    </row>
    <row r="304" spans="1:13" ht="30" customHeight="1">
      <c r="A304" s="16" t="s">
        <v>13</v>
      </c>
      <c r="B304" s="30" t="s">
        <v>388</v>
      </c>
      <c r="C304" s="30" t="s">
        <v>410</v>
      </c>
      <c r="D304" s="44">
        <v>3000.2249999999999</v>
      </c>
      <c r="E304" s="44">
        <v>3000.2249999999999</v>
      </c>
      <c r="F304" s="27">
        <f t="shared" si="9"/>
        <v>0</v>
      </c>
      <c r="G304" s="27">
        <f t="shared" si="10"/>
        <v>0</v>
      </c>
      <c r="H304" s="29">
        <v>1</v>
      </c>
      <c r="I304" s="12"/>
      <c r="J304" s="12"/>
      <c r="K304" s="13"/>
      <c r="L304" s="13"/>
      <c r="M304" s="36"/>
    </row>
    <row r="305" spans="1:13" ht="30" customHeight="1">
      <c r="A305" s="16" t="s">
        <v>13</v>
      </c>
      <c r="B305" s="30" t="s">
        <v>387</v>
      </c>
      <c r="C305" s="30" t="s">
        <v>411</v>
      </c>
      <c r="D305" s="44">
        <v>3649.125</v>
      </c>
      <c r="E305" s="44">
        <v>3649.125</v>
      </c>
      <c r="F305" s="27">
        <f t="shared" si="9"/>
        <v>0</v>
      </c>
      <c r="G305" s="27">
        <f t="shared" si="10"/>
        <v>0</v>
      </c>
      <c r="H305" s="29">
        <v>1</v>
      </c>
      <c r="I305" s="12"/>
      <c r="J305" s="12"/>
      <c r="K305" s="13"/>
      <c r="L305" s="13"/>
      <c r="M305" s="36"/>
    </row>
    <row r="306" spans="1:13" ht="30" customHeight="1">
      <c r="A306" s="16" t="s">
        <v>13</v>
      </c>
      <c r="B306" s="30" t="s">
        <v>387</v>
      </c>
      <c r="C306" s="30" t="s">
        <v>412</v>
      </c>
      <c r="D306" s="44">
        <v>4763.625</v>
      </c>
      <c r="E306" s="44">
        <v>4763.625</v>
      </c>
      <c r="F306" s="27">
        <f t="shared" si="9"/>
        <v>0</v>
      </c>
      <c r="G306" s="27">
        <f t="shared" si="10"/>
        <v>0</v>
      </c>
      <c r="H306" s="29">
        <v>1</v>
      </c>
      <c r="I306" s="12"/>
      <c r="J306" s="12"/>
      <c r="K306" s="13"/>
      <c r="L306" s="13"/>
      <c r="M306" s="36"/>
    </row>
    <row r="307" spans="1:13" ht="30" customHeight="1">
      <c r="A307" s="16" t="s">
        <v>13</v>
      </c>
      <c r="B307" s="30" t="s">
        <v>388</v>
      </c>
      <c r="C307" s="30" t="s">
        <v>413</v>
      </c>
      <c r="D307" s="44">
        <v>5506.125</v>
      </c>
      <c r="E307" s="44">
        <v>5506.125</v>
      </c>
      <c r="F307" s="27">
        <f t="shared" si="9"/>
        <v>0</v>
      </c>
      <c r="G307" s="27">
        <f t="shared" si="10"/>
        <v>0</v>
      </c>
      <c r="H307" s="29">
        <v>1</v>
      </c>
      <c r="I307" s="12"/>
      <c r="J307" s="12"/>
      <c r="K307" s="13"/>
      <c r="L307" s="13"/>
      <c r="M307" s="36"/>
    </row>
    <row r="308" spans="1:13" ht="30" customHeight="1">
      <c r="A308" s="16" t="s">
        <v>13</v>
      </c>
      <c r="B308" s="30" t="s">
        <v>388</v>
      </c>
      <c r="C308" s="30" t="s">
        <v>414</v>
      </c>
      <c r="D308" s="44">
        <v>2821.0949999999998</v>
      </c>
      <c r="E308" s="44">
        <v>2821.0949999999998</v>
      </c>
      <c r="F308" s="27">
        <f t="shared" si="9"/>
        <v>0</v>
      </c>
      <c r="G308" s="27">
        <f t="shared" si="10"/>
        <v>0</v>
      </c>
      <c r="H308" s="29">
        <v>1</v>
      </c>
      <c r="I308" s="12"/>
      <c r="J308" s="12"/>
      <c r="K308" s="13"/>
      <c r="L308" s="13"/>
      <c r="M308" s="36"/>
    </row>
    <row r="309" spans="1:13" ht="30" customHeight="1">
      <c r="A309" s="16" t="s">
        <v>13</v>
      </c>
      <c r="B309" s="30" t="s">
        <v>388</v>
      </c>
      <c r="C309" s="30" t="s">
        <v>415</v>
      </c>
      <c r="D309" s="44">
        <v>1760.3235000000002</v>
      </c>
      <c r="E309" s="44">
        <v>1760.3235000000002</v>
      </c>
      <c r="F309" s="27">
        <f t="shared" si="9"/>
        <v>0</v>
      </c>
      <c r="G309" s="27">
        <f t="shared" si="10"/>
        <v>0</v>
      </c>
      <c r="H309" s="29">
        <v>1</v>
      </c>
      <c r="I309" s="12"/>
      <c r="J309" s="12"/>
      <c r="K309" s="13"/>
      <c r="L309" s="13"/>
      <c r="M309" s="36"/>
    </row>
    <row r="310" spans="1:13" ht="30" customHeight="1">
      <c r="A310" s="16" t="s">
        <v>13</v>
      </c>
      <c r="B310" s="30" t="s">
        <v>388</v>
      </c>
      <c r="C310" s="30" t="s">
        <v>416</v>
      </c>
      <c r="D310" s="44">
        <v>1734.701</v>
      </c>
      <c r="E310" s="44">
        <v>1734.701</v>
      </c>
      <c r="F310" s="27">
        <f t="shared" si="9"/>
        <v>0</v>
      </c>
      <c r="G310" s="27">
        <f t="shared" si="10"/>
        <v>0</v>
      </c>
      <c r="H310" s="29">
        <v>1</v>
      </c>
      <c r="I310" s="12"/>
      <c r="J310" s="12"/>
      <c r="K310" s="13"/>
      <c r="L310" s="13"/>
      <c r="M310" s="36"/>
    </row>
    <row r="311" spans="1:13" ht="30" customHeight="1">
      <c r="A311" s="16" t="s">
        <v>13</v>
      </c>
      <c r="B311" s="30" t="s">
        <v>388</v>
      </c>
      <c r="C311" s="30" t="s">
        <v>417</v>
      </c>
      <c r="D311" s="44">
        <v>2831.3440000000001</v>
      </c>
      <c r="E311" s="44">
        <v>2831.3440000000001</v>
      </c>
      <c r="F311" s="27">
        <f t="shared" si="9"/>
        <v>0</v>
      </c>
      <c r="G311" s="27">
        <f t="shared" si="10"/>
        <v>0</v>
      </c>
      <c r="H311" s="29">
        <v>1</v>
      </c>
      <c r="I311" s="12"/>
      <c r="J311" s="12"/>
      <c r="K311" s="13"/>
      <c r="L311" s="13"/>
      <c r="M311" s="36"/>
    </row>
    <row r="312" spans="1:13" ht="30" customHeight="1">
      <c r="A312" s="16" t="s">
        <v>13</v>
      </c>
      <c r="B312" s="30" t="s">
        <v>388</v>
      </c>
      <c r="C312" s="30" t="s">
        <v>431</v>
      </c>
      <c r="D312" s="44">
        <v>2851.8420000000001</v>
      </c>
      <c r="E312" s="44">
        <v>2851.8420000000001</v>
      </c>
      <c r="F312" s="27">
        <f t="shared" si="9"/>
        <v>0</v>
      </c>
      <c r="G312" s="27">
        <f t="shared" si="10"/>
        <v>0</v>
      </c>
      <c r="H312" s="29">
        <v>1</v>
      </c>
      <c r="I312" s="12"/>
      <c r="J312" s="12"/>
      <c r="K312" s="13"/>
      <c r="L312" s="13"/>
      <c r="M312" s="36"/>
    </row>
    <row r="313" spans="1:13" ht="30" customHeight="1">
      <c r="A313" s="16" t="s">
        <v>13</v>
      </c>
      <c r="B313" s="30" t="s">
        <v>388</v>
      </c>
      <c r="C313" s="30" t="s">
        <v>418</v>
      </c>
      <c r="D313" s="44">
        <v>940.40350000000001</v>
      </c>
      <c r="E313" s="44">
        <v>940.40350000000001</v>
      </c>
      <c r="F313" s="27">
        <f t="shared" si="9"/>
        <v>0</v>
      </c>
      <c r="G313" s="27">
        <f t="shared" si="10"/>
        <v>0</v>
      </c>
      <c r="H313" s="29">
        <v>1</v>
      </c>
      <c r="I313" s="12"/>
      <c r="J313" s="12"/>
      <c r="K313" s="13"/>
      <c r="L313" s="13"/>
      <c r="M313" s="36"/>
    </row>
    <row r="314" spans="1:13" ht="30" customHeight="1">
      <c r="A314" s="16" t="s">
        <v>13</v>
      </c>
      <c r="B314" s="30" t="s">
        <v>387</v>
      </c>
      <c r="C314" s="30" t="s">
        <v>419</v>
      </c>
      <c r="D314" s="44">
        <v>2836.4684999999999</v>
      </c>
      <c r="E314" s="44">
        <v>2836.4684999999999</v>
      </c>
      <c r="F314" s="27">
        <f t="shared" si="9"/>
        <v>0</v>
      </c>
      <c r="G314" s="27">
        <f t="shared" si="10"/>
        <v>0</v>
      </c>
      <c r="H314" s="29">
        <v>1</v>
      </c>
      <c r="I314" s="12"/>
      <c r="J314" s="12"/>
      <c r="K314" s="13"/>
      <c r="L314" s="13"/>
      <c r="M314" s="36"/>
    </row>
    <row r="315" spans="1:13" ht="30" customHeight="1">
      <c r="A315" s="16" t="s">
        <v>13</v>
      </c>
      <c r="B315" s="30" t="s">
        <v>387</v>
      </c>
      <c r="C315" s="30" t="s">
        <v>420</v>
      </c>
      <c r="D315" s="44">
        <v>2903.087</v>
      </c>
      <c r="E315" s="44">
        <v>2903.087</v>
      </c>
      <c r="F315" s="27">
        <f t="shared" si="9"/>
        <v>0</v>
      </c>
      <c r="G315" s="27">
        <f t="shared" si="10"/>
        <v>0</v>
      </c>
      <c r="H315" s="29">
        <v>1</v>
      </c>
      <c r="I315" s="12"/>
      <c r="J315" s="12"/>
      <c r="K315" s="13"/>
      <c r="L315" s="13"/>
      <c r="M315" s="36"/>
    </row>
    <row r="316" spans="1:13" ht="30" customHeight="1">
      <c r="A316" s="16" t="s">
        <v>13</v>
      </c>
      <c r="B316" s="30" t="s">
        <v>387</v>
      </c>
      <c r="C316" s="30" t="s">
        <v>421</v>
      </c>
      <c r="D316" s="44">
        <v>2913.3359999999998</v>
      </c>
      <c r="E316" s="44">
        <v>2913.3359999999998</v>
      </c>
      <c r="F316" s="27">
        <f t="shared" si="9"/>
        <v>0</v>
      </c>
      <c r="G316" s="27">
        <f t="shared" si="10"/>
        <v>0</v>
      </c>
      <c r="H316" s="29">
        <v>1</v>
      </c>
      <c r="I316" s="12"/>
      <c r="J316" s="12"/>
      <c r="K316" s="13"/>
      <c r="L316" s="13"/>
      <c r="M316" s="36"/>
    </row>
    <row r="317" spans="1:13" ht="30" customHeight="1">
      <c r="A317" s="16" t="s">
        <v>13</v>
      </c>
      <c r="B317" s="30" t="s">
        <v>387</v>
      </c>
      <c r="C317" s="30" t="s">
        <v>422</v>
      </c>
      <c r="D317" s="44">
        <v>2979.9544999999998</v>
      </c>
      <c r="E317" s="44">
        <v>2979.9544999999998</v>
      </c>
      <c r="F317" s="27">
        <f t="shared" si="9"/>
        <v>0</v>
      </c>
      <c r="G317" s="27">
        <f t="shared" si="10"/>
        <v>0</v>
      </c>
      <c r="H317" s="29">
        <v>1</v>
      </c>
      <c r="I317" s="12"/>
      <c r="J317" s="12"/>
      <c r="K317" s="13"/>
      <c r="L317" s="13"/>
      <c r="M317" s="36"/>
    </row>
    <row r="318" spans="1:13" ht="30" customHeight="1">
      <c r="A318" s="16" t="s">
        <v>13</v>
      </c>
      <c r="B318" s="30" t="s">
        <v>387</v>
      </c>
      <c r="C318" s="30" t="s">
        <v>423</v>
      </c>
      <c r="D318" s="44">
        <v>3805.0249999999996</v>
      </c>
      <c r="E318" s="44">
        <v>3805.0249999999996</v>
      </c>
      <c r="F318" s="27">
        <f t="shared" si="9"/>
        <v>0</v>
      </c>
      <c r="G318" s="27">
        <f t="shared" si="10"/>
        <v>0</v>
      </c>
      <c r="H318" s="29">
        <v>1</v>
      </c>
      <c r="I318" s="12"/>
      <c r="J318" s="12"/>
      <c r="K318" s="13"/>
      <c r="L318" s="13"/>
      <c r="M318" s="36"/>
    </row>
    <row r="319" spans="1:13" ht="30" customHeight="1">
      <c r="A319" s="16" t="s">
        <v>13</v>
      </c>
      <c r="B319" s="30" t="s">
        <v>386</v>
      </c>
      <c r="C319" s="30" t="s">
        <v>424</v>
      </c>
      <c r="D319" s="44">
        <v>2678.4249999999997</v>
      </c>
      <c r="E319" s="44">
        <v>2678.4249999999997</v>
      </c>
      <c r="F319" s="27">
        <f t="shared" si="9"/>
        <v>0</v>
      </c>
      <c r="G319" s="27">
        <f t="shared" si="10"/>
        <v>0</v>
      </c>
      <c r="H319" s="29">
        <v>1</v>
      </c>
      <c r="I319" s="12"/>
      <c r="J319" s="12"/>
      <c r="K319" s="13"/>
      <c r="L319" s="13"/>
      <c r="M319" s="36"/>
    </row>
    <row r="320" spans="1:13" ht="30" customHeight="1">
      <c r="A320" s="16" t="s">
        <v>13</v>
      </c>
      <c r="B320" s="30"/>
      <c r="C320" s="30" t="s">
        <v>394</v>
      </c>
      <c r="D320" s="44">
        <v>4765.0249999999996</v>
      </c>
      <c r="E320" s="44">
        <v>4765.0249999999996</v>
      </c>
      <c r="F320" s="27">
        <f t="shared" si="9"/>
        <v>0</v>
      </c>
      <c r="G320" s="27">
        <f t="shared" si="10"/>
        <v>0</v>
      </c>
      <c r="H320" s="29">
        <v>1</v>
      </c>
      <c r="I320" s="12"/>
      <c r="J320" s="12"/>
      <c r="K320" s="13"/>
      <c r="L320" s="13"/>
      <c r="M320" s="36"/>
    </row>
    <row r="321" spans="1:13" ht="30" customHeight="1">
      <c r="A321" s="16" t="s">
        <v>13</v>
      </c>
      <c r="B321" s="30" t="s">
        <v>386</v>
      </c>
      <c r="C321" s="30" t="s">
        <v>395</v>
      </c>
      <c r="D321" s="44">
        <v>2037.0465000000002</v>
      </c>
      <c r="E321" s="44">
        <v>2037.0465000000002</v>
      </c>
      <c r="F321" s="27">
        <f t="shared" si="9"/>
        <v>0</v>
      </c>
      <c r="G321" s="27">
        <f t="shared" si="10"/>
        <v>0</v>
      </c>
      <c r="H321" s="29">
        <v>1</v>
      </c>
      <c r="I321" s="12"/>
      <c r="J321" s="12"/>
      <c r="K321" s="13"/>
      <c r="L321" s="13"/>
      <c r="M321" s="36"/>
    </row>
    <row r="322" spans="1:13" ht="30" customHeight="1">
      <c r="A322" s="16" t="s">
        <v>13</v>
      </c>
      <c r="B322" s="30" t="s">
        <v>384</v>
      </c>
      <c r="C322" s="30" t="s">
        <v>396</v>
      </c>
      <c r="D322" s="44">
        <v>2221.5284999999999</v>
      </c>
      <c r="E322" s="44">
        <v>2221.5284999999999</v>
      </c>
      <c r="F322" s="27">
        <f t="shared" si="9"/>
        <v>0</v>
      </c>
      <c r="G322" s="27">
        <f t="shared" si="10"/>
        <v>0</v>
      </c>
      <c r="H322" s="29">
        <v>1</v>
      </c>
      <c r="I322" s="12"/>
      <c r="J322" s="12"/>
      <c r="K322" s="13"/>
      <c r="L322" s="13"/>
      <c r="M322" s="36"/>
    </row>
    <row r="323" spans="1:13" ht="30" customHeight="1">
      <c r="A323" s="16" t="s">
        <v>13</v>
      </c>
      <c r="B323" s="30" t="s">
        <v>386</v>
      </c>
      <c r="C323" s="30" t="s">
        <v>397</v>
      </c>
      <c r="D323" s="44">
        <v>2795.4724999999999</v>
      </c>
      <c r="E323" s="44">
        <v>2795.4724999999999</v>
      </c>
      <c r="F323" s="27">
        <f t="shared" si="9"/>
        <v>0</v>
      </c>
      <c r="G323" s="27">
        <f t="shared" si="10"/>
        <v>0</v>
      </c>
      <c r="H323" s="29">
        <v>1</v>
      </c>
      <c r="I323" s="12"/>
      <c r="J323" s="12"/>
      <c r="K323" s="13"/>
      <c r="L323" s="13"/>
      <c r="M323" s="36"/>
    </row>
    <row r="324" spans="1:13" ht="30" customHeight="1">
      <c r="A324" s="16" t="s">
        <v>13</v>
      </c>
      <c r="B324" s="30" t="s">
        <v>387</v>
      </c>
      <c r="C324" s="30" t="s">
        <v>398</v>
      </c>
      <c r="D324" s="44">
        <v>4700.125</v>
      </c>
      <c r="E324" s="44">
        <v>4700.125</v>
      </c>
      <c r="F324" s="27">
        <f t="shared" si="9"/>
        <v>0</v>
      </c>
      <c r="G324" s="27">
        <f t="shared" si="10"/>
        <v>0</v>
      </c>
      <c r="H324" s="29">
        <v>1</v>
      </c>
      <c r="I324" s="12"/>
      <c r="J324" s="12"/>
      <c r="K324" s="13"/>
      <c r="L324" s="13"/>
      <c r="M324" s="36"/>
    </row>
    <row r="325" spans="1:13" ht="30" customHeight="1">
      <c r="A325" s="16" t="s">
        <v>13</v>
      </c>
      <c r="B325" s="30" t="s">
        <v>387</v>
      </c>
      <c r="C325" s="30" t="s">
        <v>399</v>
      </c>
      <c r="D325" s="44">
        <v>2862.0909999999999</v>
      </c>
      <c r="E325" s="44">
        <v>2862.0909999999999</v>
      </c>
      <c r="F325" s="27">
        <f t="shared" ref="F325:F362" si="11">+D325-E325</f>
        <v>0</v>
      </c>
      <c r="G325" s="27">
        <f t="shared" si="10"/>
        <v>0</v>
      </c>
      <c r="H325" s="29">
        <v>1</v>
      </c>
      <c r="I325" s="12"/>
      <c r="J325" s="12"/>
      <c r="K325" s="13"/>
      <c r="L325" s="13"/>
      <c r="M325" s="36"/>
    </row>
    <row r="326" spans="1:13" ht="30" customHeight="1">
      <c r="A326" s="16" t="s">
        <v>13</v>
      </c>
      <c r="B326" s="30" t="s">
        <v>387</v>
      </c>
      <c r="C326" s="30" t="s">
        <v>400</v>
      </c>
      <c r="D326" s="44">
        <v>1642.46</v>
      </c>
      <c r="E326" s="44">
        <v>1642.46</v>
      </c>
      <c r="F326" s="27">
        <f t="shared" si="11"/>
        <v>0</v>
      </c>
      <c r="G326" s="27">
        <f t="shared" si="10"/>
        <v>0</v>
      </c>
      <c r="H326" s="29">
        <v>1</v>
      </c>
      <c r="I326" s="12"/>
      <c r="J326" s="12"/>
      <c r="K326" s="13"/>
      <c r="L326" s="13"/>
      <c r="M326" s="36"/>
    </row>
    <row r="327" spans="1:13" ht="30" customHeight="1">
      <c r="A327" s="16" t="s">
        <v>13</v>
      </c>
      <c r="B327" s="30" t="s">
        <v>387</v>
      </c>
      <c r="C327" s="30" t="s">
        <v>401</v>
      </c>
      <c r="D327" s="44">
        <v>3889.0249999999996</v>
      </c>
      <c r="E327" s="44">
        <v>3889.0249999999996</v>
      </c>
      <c r="F327" s="27">
        <f t="shared" si="11"/>
        <v>0</v>
      </c>
      <c r="G327" s="27">
        <f t="shared" si="10"/>
        <v>0</v>
      </c>
      <c r="H327" s="29">
        <v>1</v>
      </c>
      <c r="I327" s="12"/>
      <c r="J327" s="12"/>
      <c r="K327" s="13"/>
      <c r="L327" s="13"/>
      <c r="M327" s="36"/>
    </row>
    <row r="328" spans="1:13" ht="30" customHeight="1">
      <c r="A328" s="16" t="s">
        <v>13</v>
      </c>
      <c r="B328" s="30" t="s">
        <v>387</v>
      </c>
      <c r="C328" s="30" t="s">
        <v>403</v>
      </c>
      <c r="D328" s="44">
        <v>2001.1750000000002</v>
      </c>
      <c r="E328" s="44">
        <v>2001.1750000000002</v>
      </c>
      <c r="F328" s="27">
        <f t="shared" si="11"/>
        <v>0</v>
      </c>
      <c r="G328" s="27">
        <f t="shared" si="10"/>
        <v>0</v>
      </c>
      <c r="H328" s="29">
        <v>1</v>
      </c>
      <c r="I328" s="12"/>
      <c r="J328" s="12"/>
      <c r="K328" s="13"/>
      <c r="L328" s="13"/>
      <c r="M328" s="36"/>
    </row>
    <row r="329" spans="1:13" ht="30" customHeight="1">
      <c r="A329" s="16" t="s">
        <v>13</v>
      </c>
      <c r="B329" s="30" t="s">
        <v>386</v>
      </c>
      <c r="C329" s="30" t="s">
        <v>425</v>
      </c>
      <c r="D329" s="44">
        <v>2327.125</v>
      </c>
      <c r="E329" s="44">
        <v>2327.125</v>
      </c>
      <c r="F329" s="27">
        <f t="shared" si="11"/>
        <v>0</v>
      </c>
      <c r="G329" s="27">
        <f t="shared" si="10"/>
        <v>0</v>
      </c>
      <c r="H329" s="29">
        <v>1</v>
      </c>
      <c r="I329" s="12"/>
      <c r="J329" s="12"/>
      <c r="K329" s="13"/>
      <c r="L329" s="13"/>
      <c r="M329" s="36"/>
    </row>
    <row r="330" spans="1:13" ht="30" customHeight="1">
      <c r="A330" s="16" t="s">
        <v>13</v>
      </c>
      <c r="B330" s="30" t="s">
        <v>386</v>
      </c>
      <c r="C330" s="30" t="s">
        <v>427</v>
      </c>
      <c r="D330" s="44">
        <v>2805.7215000000001</v>
      </c>
      <c r="E330" s="44">
        <v>2805.7215000000001</v>
      </c>
      <c r="F330" s="27">
        <f t="shared" si="11"/>
        <v>0</v>
      </c>
      <c r="G330" s="27">
        <f t="shared" si="10"/>
        <v>0</v>
      </c>
      <c r="H330" s="29">
        <v>1</v>
      </c>
      <c r="I330" s="12"/>
      <c r="J330" s="12"/>
      <c r="K330" s="13"/>
      <c r="L330" s="13"/>
      <c r="M330" s="36"/>
    </row>
    <row r="331" spans="1:13" ht="30" customHeight="1">
      <c r="A331" s="16" t="s">
        <v>13</v>
      </c>
      <c r="B331" s="30" t="s">
        <v>386</v>
      </c>
      <c r="C331" s="30" t="s">
        <v>428</v>
      </c>
      <c r="D331" s="44">
        <v>1668.0825000000002</v>
      </c>
      <c r="E331" s="44">
        <v>1668.0825000000002</v>
      </c>
      <c r="F331" s="27">
        <f t="shared" si="11"/>
        <v>0</v>
      </c>
      <c r="G331" s="27">
        <f t="shared" si="10"/>
        <v>0</v>
      </c>
      <c r="H331" s="29">
        <v>1</v>
      </c>
      <c r="I331" s="12"/>
      <c r="J331" s="12"/>
      <c r="K331" s="13"/>
      <c r="L331" s="13"/>
      <c r="M331" s="36"/>
    </row>
    <row r="332" spans="1:13" ht="30" customHeight="1">
      <c r="A332" s="16" t="s">
        <v>13</v>
      </c>
      <c r="B332" s="30" t="s">
        <v>384</v>
      </c>
      <c r="C332" s="30" t="s">
        <v>406</v>
      </c>
      <c r="D332" s="44">
        <v>2846.7174999999997</v>
      </c>
      <c r="E332" s="44">
        <v>2846.7174999999997</v>
      </c>
      <c r="F332" s="27">
        <f t="shared" si="11"/>
        <v>0</v>
      </c>
      <c r="G332" s="27">
        <f t="shared" si="10"/>
        <v>0</v>
      </c>
      <c r="H332" s="29">
        <v>1</v>
      </c>
      <c r="I332" s="12"/>
      <c r="J332" s="12"/>
      <c r="K332" s="13"/>
      <c r="L332" s="13"/>
      <c r="M332" s="36"/>
    </row>
    <row r="333" spans="1:13" ht="30" customHeight="1">
      <c r="A333" s="16" t="s">
        <v>13</v>
      </c>
      <c r="B333" s="30" t="s">
        <v>384</v>
      </c>
      <c r="C333" s="30" t="s">
        <v>409</v>
      </c>
      <c r="D333" s="44">
        <v>2892.8379999999997</v>
      </c>
      <c r="E333" s="44">
        <v>2892.8379999999997</v>
      </c>
      <c r="F333" s="27">
        <f t="shared" si="11"/>
        <v>0</v>
      </c>
      <c r="G333" s="27">
        <f t="shared" si="10"/>
        <v>0</v>
      </c>
      <c r="H333" s="29">
        <v>1</v>
      </c>
      <c r="I333" s="12"/>
      <c r="J333" s="12"/>
      <c r="K333" s="13"/>
      <c r="L333" s="13"/>
      <c r="M333" s="36"/>
    </row>
    <row r="334" spans="1:13" ht="30" customHeight="1">
      <c r="A334" s="16" t="s">
        <v>13</v>
      </c>
      <c r="B334" s="30" t="s">
        <v>384</v>
      </c>
      <c r="C334" s="30" t="s">
        <v>429</v>
      </c>
      <c r="D334" s="44">
        <v>489.44749999999999</v>
      </c>
      <c r="E334" s="44">
        <v>489.44749999999999</v>
      </c>
      <c r="F334" s="27">
        <f t="shared" si="11"/>
        <v>0</v>
      </c>
      <c r="G334" s="27">
        <f t="shared" si="10"/>
        <v>0</v>
      </c>
      <c r="H334" s="29">
        <v>1</v>
      </c>
      <c r="I334" s="12"/>
      <c r="J334" s="12"/>
      <c r="K334" s="13"/>
      <c r="L334" s="13"/>
      <c r="M334" s="36"/>
    </row>
    <row r="335" spans="1:13" ht="30" customHeight="1">
      <c r="A335" s="16" t="s">
        <v>13</v>
      </c>
      <c r="B335" s="30" t="s">
        <v>386</v>
      </c>
      <c r="C335" s="30" t="s">
        <v>430</v>
      </c>
      <c r="D335" s="44">
        <v>1806.4440000000002</v>
      </c>
      <c r="E335" s="44">
        <v>1806.4440000000002</v>
      </c>
      <c r="F335" s="27">
        <f t="shared" si="11"/>
        <v>0</v>
      </c>
      <c r="G335" s="27">
        <f t="shared" si="10"/>
        <v>0</v>
      </c>
      <c r="H335" s="29">
        <v>1</v>
      </c>
      <c r="I335" s="12"/>
      <c r="J335" s="12"/>
      <c r="K335" s="13"/>
      <c r="L335" s="13"/>
      <c r="M335" s="36"/>
    </row>
    <row r="336" spans="1:13" ht="30" customHeight="1">
      <c r="A336" s="16" t="s">
        <v>13</v>
      </c>
      <c r="B336" s="30" t="s">
        <v>386</v>
      </c>
      <c r="C336" s="30" t="s">
        <v>436</v>
      </c>
      <c r="D336" s="44">
        <v>576.56399999999996</v>
      </c>
      <c r="E336" s="44">
        <v>576.56399999999996</v>
      </c>
      <c r="F336" s="27">
        <f t="shared" si="11"/>
        <v>0</v>
      </c>
      <c r="G336" s="27">
        <f t="shared" si="10"/>
        <v>0</v>
      </c>
      <c r="H336" s="29">
        <v>1</v>
      </c>
      <c r="I336" s="12"/>
      <c r="J336" s="12"/>
      <c r="K336" s="13"/>
      <c r="L336" s="13"/>
      <c r="M336" s="36"/>
    </row>
    <row r="337" spans="1:13" ht="30" customHeight="1">
      <c r="A337" s="16" t="s">
        <v>13</v>
      </c>
      <c r="B337" s="30" t="s">
        <v>386</v>
      </c>
      <c r="C337" s="30" t="s">
        <v>432</v>
      </c>
      <c r="D337" s="44">
        <v>2882.5889999999999</v>
      </c>
      <c r="E337" s="44">
        <v>2882.5889999999999</v>
      </c>
      <c r="F337" s="27">
        <f t="shared" si="11"/>
        <v>0</v>
      </c>
      <c r="G337" s="27">
        <f t="shared" si="10"/>
        <v>0</v>
      </c>
      <c r="H337" s="29">
        <v>1</v>
      </c>
      <c r="I337" s="12"/>
      <c r="J337" s="12"/>
      <c r="K337" s="13"/>
      <c r="L337" s="13"/>
      <c r="M337" s="36"/>
    </row>
    <row r="338" spans="1:13" ht="30" customHeight="1">
      <c r="A338" s="16" t="s">
        <v>13</v>
      </c>
      <c r="B338" s="30" t="s">
        <v>384</v>
      </c>
      <c r="C338" s="30" t="s">
        <v>433</v>
      </c>
      <c r="D338" s="44">
        <v>2841.5929999999998</v>
      </c>
      <c r="E338" s="44">
        <v>2841.5929999999998</v>
      </c>
      <c r="F338" s="27">
        <f t="shared" si="11"/>
        <v>0</v>
      </c>
      <c r="G338" s="27">
        <f t="shared" si="10"/>
        <v>0</v>
      </c>
      <c r="H338" s="29">
        <v>1</v>
      </c>
      <c r="I338" s="12"/>
      <c r="J338" s="12"/>
      <c r="K338" s="13"/>
      <c r="L338" s="13"/>
      <c r="M338" s="36"/>
    </row>
    <row r="339" spans="1:13" ht="30" customHeight="1">
      <c r="A339" s="16" t="s">
        <v>13</v>
      </c>
      <c r="B339" s="30" t="s">
        <v>386</v>
      </c>
      <c r="C339" s="30" t="s">
        <v>434</v>
      </c>
      <c r="D339" s="44">
        <v>2938.9584999999997</v>
      </c>
      <c r="E339" s="44">
        <v>2938.9584999999997</v>
      </c>
      <c r="F339" s="27">
        <f t="shared" si="11"/>
        <v>0</v>
      </c>
      <c r="G339" s="27">
        <f t="shared" si="10"/>
        <v>0</v>
      </c>
      <c r="H339" s="29">
        <v>1</v>
      </c>
      <c r="I339" s="12"/>
      <c r="J339" s="12"/>
      <c r="K339" s="13"/>
      <c r="L339" s="13"/>
      <c r="M339" s="36"/>
    </row>
    <row r="340" spans="1:13" ht="30" customHeight="1">
      <c r="A340" s="16" t="s">
        <v>13</v>
      </c>
      <c r="B340" s="30" t="s">
        <v>384</v>
      </c>
      <c r="C340" s="30" t="s">
        <v>393</v>
      </c>
      <c r="D340" s="27">
        <v>2006.2995000000001</v>
      </c>
      <c r="E340" s="27">
        <v>2006.2995000000001</v>
      </c>
      <c r="F340" s="27">
        <f t="shared" si="11"/>
        <v>0</v>
      </c>
      <c r="G340" s="27">
        <f t="shared" si="10"/>
        <v>0</v>
      </c>
      <c r="H340" s="29">
        <v>1</v>
      </c>
      <c r="I340" s="12"/>
      <c r="J340" s="12"/>
      <c r="K340" s="13"/>
      <c r="L340" s="13"/>
      <c r="M340" s="36"/>
    </row>
    <row r="341" spans="1:13" ht="30" customHeight="1">
      <c r="A341" s="16" t="s">
        <v>13</v>
      </c>
      <c r="B341" s="30" t="s">
        <v>384</v>
      </c>
      <c r="C341" s="30" t="s">
        <v>435</v>
      </c>
      <c r="D341" s="27">
        <v>2923.585</v>
      </c>
      <c r="E341" s="27">
        <v>2923.585</v>
      </c>
      <c r="F341" s="27">
        <f t="shared" si="11"/>
        <v>0</v>
      </c>
      <c r="G341" s="27">
        <f t="shared" si="10"/>
        <v>0</v>
      </c>
      <c r="H341" s="29">
        <v>1</v>
      </c>
      <c r="I341" s="12"/>
      <c r="J341" s="12"/>
      <c r="K341" s="13"/>
      <c r="L341" s="13"/>
      <c r="M341" s="36"/>
    </row>
    <row r="342" spans="1:13" ht="30" customHeight="1">
      <c r="A342" s="16" t="s">
        <v>13</v>
      </c>
      <c r="B342" s="30" t="s">
        <v>384</v>
      </c>
      <c r="C342" s="30" t="s">
        <v>426</v>
      </c>
      <c r="D342" s="27">
        <v>1985.8015</v>
      </c>
      <c r="E342" s="27">
        <v>1985.8015</v>
      </c>
      <c r="F342" s="27">
        <f t="shared" si="11"/>
        <v>0</v>
      </c>
      <c r="G342" s="27">
        <f t="shared" si="10"/>
        <v>0</v>
      </c>
      <c r="H342" s="29">
        <v>1</v>
      </c>
      <c r="I342" s="12"/>
      <c r="J342" s="12"/>
      <c r="K342" s="13"/>
      <c r="L342" s="13"/>
      <c r="M342" s="36"/>
    </row>
    <row r="343" spans="1:13" ht="30" customHeight="1">
      <c r="A343" s="5" t="s">
        <v>45</v>
      </c>
      <c r="B343" s="30" t="s">
        <v>392</v>
      </c>
      <c r="C343" s="30" t="s">
        <v>437</v>
      </c>
      <c r="D343" s="27">
        <v>2236.902</v>
      </c>
      <c r="E343" s="27">
        <v>2236.902</v>
      </c>
      <c r="F343" s="27">
        <f t="shared" si="11"/>
        <v>0</v>
      </c>
      <c r="G343" s="27">
        <f t="shared" si="10"/>
        <v>0</v>
      </c>
      <c r="H343" s="29">
        <v>1</v>
      </c>
      <c r="I343" s="12"/>
      <c r="J343" s="12"/>
      <c r="K343" s="13"/>
      <c r="L343" s="13"/>
      <c r="M343" s="36"/>
    </row>
    <row r="344" spans="1:13" ht="30" customHeight="1">
      <c r="A344" s="5" t="s">
        <v>45</v>
      </c>
      <c r="B344" s="30" t="s">
        <v>392</v>
      </c>
      <c r="C344" s="30" t="s">
        <v>438</v>
      </c>
      <c r="D344" s="27">
        <v>2985.0790000000002</v>
      </c>
      <c r="E344" s="27">
        <v>2985.0790000000002</v>
      </c>
      <c r="F344" s="27">
        <f t="shared" si="11"/>
        <v>0</v>
      </c>
      <c r="G344" s="27">
        <f t="shared" si="10"/>
        <v>0</v>
      </c>
      <c r="H344" s="29">
        <v>1</v>
      </c>
      <c r="I344" s="12"/>
      <c r="J344" s="12"/>
      <c r="K344" s="13"/>
      <c r="L344" s="13"/>
      <c r="M344" s="36"/>
    </row>
    <row r="345" spans="1:13" ht="30" customHeight="1">
      <c r="A345" s="5" t="s">
        <v>45</v>
      </c>
      <c r="B345" s="30" t="s">
        <v>392</v>
      </c>
      <c r="C345" s="30" t="s">
        <v>440</v>
      </c>
      <c r="D345" s="27">
        <v>1545.0945000000002</v>
      </c>
      <c r="E345" s="27">
        <v>1545.0945000000002</v>
      </c>
      <c r="F345" s="27">
        <f t="shared" si="11"/>
        <v>0</v>
      </c>
      <c r="G345" s="27">
        <f t="shared" si="10"/>
        <v>0</v>
      </c>
      <c r="H345" s="29">
        <v>1</v>
      </c>
      <c r="I345" s="12"/>
      <c r="J345" s="12"/>
      <c r="K345" s="13"/>
      <c r="L345" s="13"/>
      <c r="M345" s="36"/>
    </row>
    <row r="346" spans="1:13" ht="30" customHeight="1">
      <c r="A346" s="5" t="s">
        <v>45</v>
      </c>
      <c r="B346" s="30" t="s">
        <v>392</v>
      </c>
      <c r="C346" s="30" t="s">
        <v>439</v>
      </c>
      <c r="D346" s="27">
        <v>1550.2190000000001</v>
      </c>
      <c r="E346" s="27">
        <v>1550.2190000000001</v>
      </c>
      <c r="F346" s="27">
        <f t="shared" si="11"/>
        <v>0</v>
      </c>
      <c r="G346" s="27">
        <f t="shared" si="10"/>
        <v>0</v>
      </c>
      <c r="H346" s="29">
        <v>1</v>
      </c>
      <c r="I346" s="12"/>
      <c r="J346" s="12"/>
      <c r="K346" s="13"/>
      <c r="L346" s="13"/>
      <c r="M346" s="36"/>
    </row>
    <row r="347" spans="1:13" ht="30" customHeight="1">
      <c r="A347" s="16" t="s">
        <v>30</v>
      </c>
      <c r="B347" s="30" t="s">
        <v>389</v>
      </c>
      <c r="C347" s="30" t="s">
        <v>441</v>
      </c>
      <c r="D347" s="27">
        <v>2887.7134999999998</v>
      </c>
      <c r="E347" s="27">
        <v>2887.7134999999998</v>
      </c>
      <c r="F347" s="27">
        <f t="shared" si="11"/>
        <v>0</v>
      </c>
      <c r="G347" s="27">
        <f t="shared" si="10"/>
        <v>0</v>
      </c>
      <c r="H347" s="29">
        <v>1</v>
      </c>
      <c r="I347" s="12"/>
      <c r="J347" s="12"/>
      <c r="K347" s="13"/>
      <c r="L347" s="13"/>
      <c r="M347" s="36"/>
    </row>
    <row r="348" spans="1:13" ht="30" customHeight="1">
      <c r="A348" s="16" t="s">
        <v>30</v>
      </c>
      <c r="B348" s="30" t="s">
        <v>391</v>
      </c>
      <c r="C348" s="30" t="s">
        <v>442</v>
      </c>
      <c r="D348" s="27">
        <v>2826.2195000000002</v>
      </c>
      <c r="E348" s="27">
        <v>2826.2195000000002</v>
      </c>
      <c r="F348" s="27">
        <f t="shared" si="11"/>
        <v>0</v>
      </c>
      <c r="G348" s="27">
        <f t="shared" si="10"/>
        <v>0</v>
      </c>
      <c r="H348" s="29">
        <v>1</v>
      </c>
      <c r="I348" s="12"/>
      <c r="J348" s="12"/>
      <c r="K348" s="13"/>
      <c r="L348" s="13"/>
      <c r="M348" s="36"/>
    </row>
    <row r="349" spans="1:13" ht="30" customHeight="1">
      <c r="A349" s="16" t="s">
        <v>30</v>
      </c>
      <c r="B349" s="30" t="s">
        <v>389</v>
      </c>
      <c r="C349" s="30" t="s">
        <v>443</v>
      </c>
      <c r="D349" s="27">
        <v>2877.4645</v>
      </c>
      <c r="E349" s="27">
        <v>2877.4645</v>
      </c>
      <c r="F349" s="27">
        <f t="shared" si="11"/>
        <v>0</v>
      </c>
      <c r="G349" s="27">
        <f t="shared" si="10"/>
        <v>0</v>
      </c>
      <c r="H349" s="29">
        <v>1</v>
      </c>
      <c r="I349" s="12"/>
      <c r="J349" s="12"/>
      <c r="K349" s="13"/>
      <c r="L349" s="13"/>
      <c r="M349" s="36"/>
    </row>
    <row r="350" spans="1:13" ht="30" customHeight="1">
      <c r="A350" s="16" t="s">
        <v>30</v>
      </c>
      <c r="B350" s="30" t="s">
        <v>389</v>
      </c>
      <c r="C350" s="30" t="s">
        <v>444</v>
      </c>
      <c r="D350" s="27">
        <v>1432.3555000000001</v>
      </c>
      <c r="E350" s="27">
        <v>1432.3555000000001</v>
      </c>
      <c r="F350" s="27">
        <f t="shared" si="11"/>
        <v>0</v>
      </c>
      <c r="G350" s="27">
        <f t="shared" si="10"/>
        <v>0</v>
      </c>
      <c r="H350" s="29">
        <v>1</v>
      </c>
      <c r="I350" s="12"/>
      <c r="J350" s="12"/>
      <c r="K350" s="13"/>
      <c r="L350" s="13"/>
      <c r="M350" s="36"/>
    </row>
    <row r="351" spans="1:13" ht="30" customHeight="1">
      <c r="A351" s="16" t="s">
        <v>30</v>
      </c>
      <c r="B351" s="30" t="s">
        <v>391</v>
      </c>
      <c r="C351" s="30" t="s">
        <v>445</v>
      </c>
      <c r="D351" s="27">
        <v>2897.9625000000001</v>
      </c>
      <c r="E351" s="27">
        <v>2897.9625000000001</v>
      </c>
      <c r="F351" s="27">
        <f t="shared" si="11"/>
        <v>0</v>
      </c>
      <c r="G351" s="27">
        <f t="shared" si="10"/>
        <v>0</v>
      </c>
      <c r="H351" s="29">
        <v>1</v>
      </c>
      <c r="I351" s="12"/>
      <c r="J351" s="12"/>
      <c r="K351" s="13"/>
      <c r="L351" s="13"/>
      <c r="M351" s="36"/>
    </row>
    <row r="352" spans="1:13" ht="30" customHeight="1">
      <c r="A352" s="16" t="s">
        <v>30</v>
      </c>
      <c r="B352" s="30" t="s">
        <v>391</v>
      </c>
      <c r="C352" s="30" t="s">
        <v>446</v>
      </c>
      <c r="D352" s="27">
        <v>1293.9940000000001</v>
      </c>
      <c r="E352" s="27">
        <v>1293.9940000000001</v>
      </c>
      <c r="F352" s="27">
        <f t="shared" si="11"/>
        <v>0</v>
      </c>
      <c r="G352" s="27">
        <f t="shared" si="10"/>
        <v>0</v>
      </c>
      <c r="H352" s="29">
        <v>1</v>
      </c>
      <c r="I352" s="12"/>
      <c r="J352" s="12"/>
      <c r="K352" s="13"/>
      <c r="L352" s="13"/>
      <c r="M352" s="36"/>
    </row>
    <row r="353" spans="1:13" ht="30" customHeight="1">
      <c r="A353" s="16" t="s">
        <v>30</v>
      </c>
      <c r="B353" s="30" t="s">
        <v>389</v>
      </c>
      <c r="C353" s="30" t="s">
        <v>447</v>
      </c>
      <c r="D353" s="27">
        <v>2959.4564999999998</v>
      </c>
      <c r="E353" s="27">
        <v>2959.4564999999998</v>
      </c>
      <c r="F353" s="27">
        <f t="shared" si="11"/>
        <v>0</v>
      </c>
      <c r="G353" s="27">
        <f t="shared" si="10"/>
        <v>0</v>
      </c>
      <c r="H353" s="29">
        <v>1</v>
      </c>
      <c r="I353" s="12"/>
      <c r="J353" s="12"/>
      <c r="K353" s="13"/>
      <c r="L353" s="13"/>
      <c r="M353" s="36"/>
    </row>
    <row r="354" spans="1:13" ht="30" customHeight="1">
      <c r="A354" s="16" t="s">
        <v>30</v>
      </c>
      <c r="B354" s="30" t="s">
        <v>391</v>
      </c>
      <c r="C354" s="30" t="s">
        <v>448</v>
      </c>
      <c r="D354" s="27">
        <v>2180.5324999999998</v>
      </c>
      <c r="E354" s="27">
        <v>2180.5324999999998</v>
      </c>
      <c r="F354" s="27">
        <f t="shared" si="11"/>
        <v>0</v>
      </c>
      <c r="G354" s="27">
        <f t="shared" si="10"/>
        <v>0</v>
      </c>
      <c r="H354" s="29">
        <v>1</v>
      </c>
      <c r="I354" s="12"/>
      <c r="J354" s="12"/>
      <c r="K354" s="13"/>
      <c r="L354" s="13"/>
      <c r="M354" s="36"/>
    </row>
    <row r="355" spans="1:13" ht="30" customHeight="1">
      <c r="A355" s="16" t="s">
        <v>30</v>
      </c>
      <c r="B355" s="30" t="s">
        <v>391</v>
      </c>
      <c r="C355" s="30" t="s">
        <v>449</v>
      </c>
      <c r="D355" s="27">
        <v>2995.328</v>
      </c>
      <c r="E355" s="27">
        <v>2995.328</v>
      </c>
      <c r="F355" s="27">
        <f t="shared" si="11"/>
        <v>0</v>
      </c>
      <c r="G355" s="27">
        <f t="shared" si="10"/>
        <v>0</v>
      </c>
      <c r="H355" s="29">
        <v>1</v>
      </c>
      <c r="I355" s="12"/>
      <c r="J355" s="12"/>
      <c r="K355" s="13"/>
      <c r="L355" s="13"/>
      <c r="M355" s="36"/>
    </row>
    <row r="356" spans="1:13" ht="30" customHeight="1">
      <c r="A356" s="16" t="s">
        <v>30</v>
      </c>
      <c r="B356" s="30" t="s">
        <v>389</v>
      </c>
      <c r="C356" s="30" t="s">
        <v>450</v>
      </c>
      <c r="D356" s="27">
        <v>1114.6365000000001</v>
      </c>
      <c r="E356" s="27">
        <v>1114.6365000000001</v>
      </c>
      <c r="F356" s="27">
        <f t="shared" si="11"/>
        <v>0</v>
      </c>
      <c r="G356" s="27">
        <f t="shared" si="10"/>
        <v>0</v>
      </c>
      <c r="H356" s="29">
        <v>1</v>
      </c>
      <c r="I356" s="12"/>
      <c r="J356" s="12"/>
      <c r="K356" s="13"/>
      <c r="L356" s="13"/>
      <c r="M356" s="36"/>
    </row>
    <row r="357" spans="1:13" ht="30" customHeight="1">
      <c r="A357" s="16" t="s">
        <v>30</v>
      </c>
      <c r="B357" s="30" t="s">
        <v>390</v>
      </c>
      <c r="C357" s="30" t="s">
        <v>451</v>
      </c>
      <c r="D357" s="27">
        <v>1196.6285</v>
      </c>
      <c r="E357" s="27">
        <v>1196.6285</v>
      </c>
      <c r="F357" s="27">
        <f t="shared" si="11"/>
        <v>0</v>
      </c>
      <c r="G357" s="27">
        <f t="shared" si="10"/>
        <v>0</v>
      </c>
      <c r="H357" s="29">
        <v>1</v>
      </c>
      <c r="I357" s="12"/>
      <c r="J357" s="12"/>
      <c r="K357" s="13"/>
      <c r="L357" s="13"/>
      <c r="M357" s="36"/>
    </row>
    <row r="358" spans="1:13" ht="30" customHeight="1">
      <c r="A358" s="16" t="s">
        <v>30</v>
      </c>
      <c r="B358" s="30" t="s">
        <v>391</v>
      </c>
      <c r="C358" s="30" t="s">
        <v>452</v>
      </c>
      <c r="D358" s="27">
        <v>2949.2075</v>
      </c>
      <c r="E358" s="27">
        <v>2949.2075</v>
      </c>
      <c r="F358" s="27">
        <f t="shared" si="11"/>
        <v>0</v>
      </c>
      <c r="G358" s="27">
        <f t="shared" ref="G358:G362" si="12">+F358*100/D358</f>
        <v>0</v>
      </c>
      <c r="H358" s="29">
        <v>1</v>
      </c>
      <c r="I358" s="12"/>
      <c r="J358" s="12"/>
      <c r="K358" s="13"/>
      <c r="L358" s="13"/>
      <c r="M358" s="36"/>
    </row>
    <row r="359" spans="1:13" ht="30" customHeight="1">
      <c r="A359" s="16" t="s">
        <v>30</v>
      </c>
      <c r="B359" s="30" t="s">
        <v>390</v>
      </c>
      <c r="C359" s="30" t="s">
        <v>453</v>
      </c>
      <c r="D359" s="27">
        <v>3000.4524999999999</v>
      </c>
      <c r="E359" s="27">
        <v>3000.4524999999999</v>
      </c>
      <c r="F359" s="27">
        <f t="shared" si="11"/>
        <v>0</v>
      </c>
      <c r="G359" s="27">
        <f t="shared" si="12"/>
        <v>0</v>
      </c>
      <c r="H359" s="29">
        <v>1</v>
      </c>
      <c r="I359" s="12"/>
      <c r="J359" s="12"/>
      <c r="K359" s="13"/>
      <c r="L359" s="13"/>
      <c r="M359" s="36"/>
    </row>
    <row r="360" spans="1:13" ht="30" customHeight="1">
      <c r="A360" s="16" t="s">
        <v>30</v>
      </c>
      <c r="B360" s="30" t="s">
        <v>389</v>
      </c>
      <c r="C360" s="30" t="s">
        <v>454</v>
      </c>
      <c r="D360" s="27">
        <v>2872.34</v>
      </c>
      <c r="E360" s="27">
        <v>2872.34</v>
      </c>
      <c r="F360" s="27">
        <f t="shared" si="11"/>
        <v>0</v>
      </c>
      <c r="G360" s="27">
        <f t="shared" si="12"/>
        <v>0</v>
      </c>
      <c r="H360" s="29">
        <v>1</v>
      </c>
      <c r="I360" s="12"/>
      <c r="J360" s="12"/>
      <c r="K360" s="13"/>
      <c r="L360" s="13"/>
      <c r="M360" s="36"/>
    </row>
    <row r="361" spans="1:13" ht="30" customHeight="1">
      <c r="A361" s="16" t="s">
        <v>30</v>
      </c>
      <c r="B361" s="30" t="s">
        <v>391</v>
      </c>
      <c r="C361" s="30" t="s">
        <v>456</v>
      </c>
      <c r="D361" s="27">
        <v>2974.83</v>
      </c>
      <c r="E361" s="27">
        <v>2974.83</v>
      </c>
      <c r="F361" s="27">
        <f t="shared" si="11"/>
        <v>0</v>
      </c>
      <c r="G361" s="27">
        <f t="shared" si="12"/>
        <v>0</v>
      </c>
      <c r="H361" s="29">
        <v>1</v>
      </c>
      <c r="I361" s="12"/>
      <c r="J361" s="12"/>
      <c r="K361" s="13"/>
      <c r="L361" s="13"/>
      <c r="M361" s="36"/>
    </row>
    <row r="362" spans="1:13" ht="30" customHeight="1">
      <c r="A362" s="16" t="s">
        <v>30</v>
      </c>
      <c r="B362" s="30" t="s">
        <v>391</v>
      </c>
      <c r="C362" s="30" t="s">
        <v>455</v>
      </c>
      <c r="D362" s="27">
        <v>2964.5810000000001</v>
      </c>
      <c r="E362" s="27">
        <v>2964.5810000000001</v>
      </c>
      <c r="F362" s="27">
        <f t="shared" si="11"/>
        <v>0</v>
      </c>
      <c r="G362" s="27">
        <f t="shared" si="12"/>
        <v>0</v>
      </c>
      <c r="H362" s="29">
        <v>1</v>
      </c>
      <c r="I362" s="12"/>
      <c r="J362" s="12"/>
      <c r="K362" s="13"/>
      <c r="L362" s="13"/>
      <c r="M362" s="36"/>
    </row>
    <row r="363" spans="1:13" ht="30" customHeight="1">
      <c r="A363" s="2"/>
      <c r="B363" s="2"/>
      <c r="C363" s="2"/>
      <c r="D363" s="31"/>
      <c r="E363" s="2"/>
      <c r="F363" s="2"/>
      <c r="G363" s="2"/>
      <c r="H363" s="2"/>
      <c r="I363" s="2"/>
      <c r="J363" s="2"/>
      <c r="K363" s="11"/>
      <c r="L363" s="11"/>
      <c r="M363" s="9"/>
    </row>
    <row r="364" spans="1:13" ht="3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11"/>
      <c r="L364" s="11"/>
      <c r="M364" s="9"/>
    </row>
    <row r="365" spans="1:13" ht="3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11"/>
      <c r="L365" s="11"/>
      <c r="M365" s="9"/>
    </row>
    <row r="366" spans="1:13" ht="3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11"/>
      <c r="L366" s="11"/>
      <c r="M366" s="9"/>
    </row>
    <row r="367" spans="1:13" ht="3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11"/>
      <c r="L367" s="11"/>
      <c r="M367" s="9"/>
    </row>
    <row r="368" spans="1:13" ht="3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11"/>
      <c r="L368" s="11"/>
      <c r="M368" s="9"/>
    </row>
    <row r="369" spans="1:13" ht="3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11"/>
      <c r="L369" s="11"/>
      <c r="M369" s="9"/>
    </row>
    <row r="370" spans="1:13" ht="3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11"/>
      <c r="L370" s="11"/>
      <c r="M370" s="9"/>
    </row>
    <row r="371" spans="1:13" ht="3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11"/>
      <c r="L371" s="11"/>
      <c r="M371" s="9"/>
    </row>
    <row r="372" spans="1:13" ht="3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11"/>
      <c r="L372" s="11"/>
      <c r="M372" s="9"/>
    </row>
    <row r="373" spans="1:13" ht="3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11"/>
      <c r="L373" s="11"/>
      <c r="M373" s="9"/>
    </row>
    <row r="374" spans="1:13" ht="3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11"/>
      <c r="L374" s="11"/>
      <c r="M374" s="9"/>
    </row>
    <row r="375" spans="1:13" ht="3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11"/>
      <c r="L375" s="11"/>
      <c r="M375" s="9"/>
    </row>
    <row r="376" spans="1:13" ht="3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11"/>
      <c r="L376" s="11"/>
      <c r="M376" s="9"/>
    </row>
    <row r="377" spans="1:13" ht="3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11"/>
      <c r="L377" s="11"/>
      <c r="M377" s="9"/>
    </row>
    <row r="378" spans="1:13" ht="3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11"/>
      <c r="L378" s="11"/>
      <c r="M378" s="9"/>
    </row>
    <row r="379" spans="1:13" ht="3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11"/>
      <c r="L379" s="11"/>
      <c r="M379" s="9"/>
    </row>
    <row r="380" spans="1:13" ht="3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11"/>
      <c r="L380" s="11"/>
      <c r="M380" s="9"/>
    </row>
    <row r="381" spans="1:13" ht="3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11"/>
      <c r="L381" s="11"/>
      <c r="M381" s="9"/>
    </row>
    <row r="382" spans="1:13" ht="3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11"/>
      <c r="L382" s="11"/>
      <c r="M382" s="9"/>
    </row>
    <row r="383" spans="1:13" ht="3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11"/>
      <c r="L383" s="11"/>
      <c r="M383" s="9"/>
    </row>
    <row r="384" spans="1:13" ht="3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11"/>
      <c r="L384" s="11"/>
      <c r="M384" s="9"/>
    </row>
    <row r="385" spans="1:13" ht="3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11"/>
      <c r="L385" s="11"/>
      <c r="M385" s="9"/>
    </row>
    <row r="386" spans="1:13" ht="3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11"/>
      <c r="L386" s="11"/>
      <c r="M386" s="9"/>
    </row>
    <row r="387" spans="1:13" ht="3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11"/>
      <c r="L387" s="11"/>
      <c r="M387" s="9"/>
    </row>
    <row r="388" spans="1:13" ht="3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11"/>
      <c r="L388" s="11"/>
      <c r="M388" s="9"/>
    </row>
    <row r="389" spans="1:13" ht="3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11"/>
      <c r="L389" s="11"/>
      <c r="M389" s="9"/>
    </row>
    <row r="390" spans="1:13" ht="3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11"/>
      <c r="L390" s="11"/>
      <c r="M390" s="9"/>
    </row>
    <row r="391" spans="1:13" ht="3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11"/>
      <c r="L391" s="11"/>
      <c r="M391" s="9"/>
    </row>
    <row r="392" spans="1:13" ht="3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11"/>
      <c r="L392" s="11"/>
      <c r="M392" s="9"/>
    </row>
    <row r="393" spans="1:13" ht="3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11"/>
      <c r="L393" s="11"/>
      <c r="M393" s="9"/>
    </row>
    <row r="394" spans="1:13" ht="3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11"/>
      <c r="L394" s="11"/>
      <c r="M394" s="9"/>
    </row>
    <row r="395" spans="1:13" ht="3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11"/>
      <c r="L395" s="11"/>
      <c r="M395" s="9"/>
    </row>
    <row r="396" spans="1:13" ht="3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11"/>
      <c r="L396" s="11"/>
      <c r="M396" s="9"/>
    </row>
    <row r="397" spans="1:13" ht="3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11"/>
      <c r="L397" s="11"/>
      <c r="M397" s="9"/>
    </row>
    <row r="398" spans="1:13" ht="3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11"/>
      <c r="L398" s="11"/>
      <c r="M398" s="9"/>
    </row>
    <row r="399" spans="1:13" ht="3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11"/>
      <c r="L399" s="11"/>
      <c r="M399" s="9"/>
    </row>
    <row r="400" spans="1:13" ht="3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11"/>
      <c r="L400" s="11"/>
      <c r="M400" s="9"/>
    </row>
    <row r="401" spans="1:13" ht="3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11"/>
      <c r="L401" s="11"/>
      <c r="M401" s="9"/>
    </row>
    <row r="402" spans="1:13" ht="3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11"/>
      <c r="L402" s="11"/>
      <c r="M402" s="9"/>
    </row>
    <row r="403" spans="1:13" ht="3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11"/>
      <c r="L403" s="11"/>
      <c r="M403" s="9"/>
    </row>
    <row r="404" spans="1:13" ht="3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11"/>
      <c r="L404" s="11"/>
      <c r="M404" s="9"/>
    </row>
    <row r="405" spans="1:13" ht="3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11"/>
      <c r="L405" s="11"/>
      <c r="M405" s="9"/>
    </row>
    <row r="406" spans="1:13" ht="3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11"/>
      <c r="L406" s="11"/>
      <c r="M406" s="9"/>
    </row>
    <row r="407" spans="1:13" ht="3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11"/>
      <c r="L407" s="11"/>
      <c r="M407" s="9"/>
    </row>
    <row r="408" spans="1:13" ht="3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11"/>
      <c r="L408" s="11"/>
      <c r="M408" s="9"/>
    </row>
    <row r="409" spans="1:13" ht="3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11"/>
      <c r="L409" s="11"/>
      <c r="M409" s="9"/>
    </row>
    <row r="410" spans="1:13" ht="3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11"/>
      <c r="L410" s="11"/>
      <c r="M410" s="9"/>
    </row>
    <row r="411" spans="1:13" ht="3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11"/>
      <c r="L411" s="11"/>
      <c r="M411" s="9"/>
    </row>
    <row r="412" spans="1:13" ht="3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11"/>
      <c r="L412" s="11"/>
      <c r="M412" s="9"/>
    </row>
    <row r="413" spans="1:13" ht="3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11"/>
      <c r="L413" s="11"/>
      <c r="M413" s="9"/>
    </row>
    <row r="414" spans="1:13" ht="3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11"/>
      <c r="L414" s="11"/>
      <c r="M414" s="9"/>
    </row>
    <row r="415" spans="1:13" ht="3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11"/>
      <c r="L415" s="11"/>
      <c r="M415" s="9"/>
    </row>
    <row r="416" spans="1:13" ht="3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11"/>
      <c r="L416" s="11"/>
      <c r="M416" s="9"/>
    </row>
    <row r="417" spans="1:13" ht="3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11"/>
      <c r="L417" s="11"/>
      <c r="M417" s="9"/>
    </row>
    <row r="418" spans="1:13" ht="3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11"/>
      <c r="L418" s="11"/>
      <c r="M418" s="9"/>
    </row>
    <row r="419" spans="1:13" ht="3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11"/>
      <c r="L419" s="11"/>
      <c r="M419" s="9"/>
    </row>
    <row r="420" spans="1:13" ht="3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11"/>
      <c r="L420" s="11"/>
      <c r="M420" s="9"/>
    </row>
    <row r="421" spans="1:13" ht="3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11"/>
      <c r="L421" s="11"/>
      <c r="M421" s="9"/>
    </row>
    <row r="422" spans="1:13" ht="3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11"/>
      <c r="L422" s="11"/>
      <c r="M422" s="9"/>
    </row>
    <row r="423" spans="1:13" ht="3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11"/>
      <c r="L423" s="11"/>
      <c r="M423" s="9"/>
    </row>
    <row r="424" spans="1:13" ht="3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11"/>
      <c r="L424" s="11"/>
      <c r="M424" s="9"/>
    </row>
    <row r="425" spans="1:13" ht="3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11"/>
      <c r="L425" s="11"/>
      <c r="M425" s="9"/>
    </row>
    <row r="426" spans="1:13" ht="3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11"/>
      <c r="L426" s="11"/>
      <c r="M426" s="9"/>
    </row>
    <row r="427" spans="1:13" ht="3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11"/>
      <c r="L427" s="11"/>
      <c r="M427" s="9"/>
    </row>
    <row r="428" spans="1:13" ht="3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11"/>
      <c r="L428" s="11"/>
      <c r="M428" s="9"/>
    </row>
    <row r="429" spans="1:13" ht="3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11"/>
      <c r="L429" s="11"/>
      <c r="M429" s="9"/>
    </row>
    <row r="430" spans="1:13" ht="3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11"/>
      <c r="L430" s="11"/>
      <c r="M430" s="9"/>
    </row>
    <row r="431" spans="1:13" ht="3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11"/>
      <c r="L431" s="11"/>
      <c r="M431" s="9"/>
    </row>
    <row r="432" spans="1:13" ht="3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11"/>
      <c r="L432" s="11"/>
      <c r="M432" s="9"/>
    </row>
    <row r="433" spans="1:13" ht="3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11"/>
      <c r="L433" s="11"/>
      <c r="M433" s="9"/>
    </row>
    <row r="434" spans="1:13" ht="3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11"/>
      <c r="L434" s="11"/>
      <c r="M434" s="9"/>
    </row>
    <row r="435" spans="1:13" ht="3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11"/>
      <c r="L435" s="11"/>
      <c r="M435" s="9"/>
    </row>
    <row r="436" spans="1:13" ht="3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11"/>
      <c r="L436" s="11"/>
      <c r="M436" s="9"/>
    </row>
    <row r="437" spans="1:13" ht="3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11"/>
      <c r="L437" s="11"/>
      <c r="M437" s="9"/>
    </row>
    <row r="438" spans="1:13" ht="3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11"/>
      <c r="L438" s="11"/>
      <c r="M438" s="9"/>
    </row>
    <row r="439" spans="1:13" ht="3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11"/>
      <c r="L439" s="11"/>
      <c r="M439" s="9"/>
    </row>
    <row r="440" spans="1:13" ht="3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11"/>
      <c r="L440" s="11"/>
      <c r="M440" s="9"/>
    </row>
    <row r="441" spans="1:13" ht="3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11"/>
      <c r="L441" s="11"/>
      <c r="M441" s="9"/>
    </row>
    <row r="442" spans="1:13" ht="3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11"/>
      <c r="L442" s="11"/>
      <c r="M442" s="9"/>
    </row>
    <row r="443" spans="1:13" ht="3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11"/>
      <c r="L443" s="11"/>
      <c r="M443" s="9"/>
    </row>
    <row r="444" spans="1:13" ht="3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11"/>
      <c r="L444" s="11"/>
      <c r="M444" s="9"/>
    </row>
    <row r="445" spans="1:13" ht="3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11"/>
      <c r="L445" s="11"/>
      <c r="M445" s="9"/>
    </row>
    <row r="446" spans="1:13" ht="3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11"/>
      <c r="L446" s="11"/>
      <c r="M446" s="9"/>
    </row>
    <row r="447" spans="1:13" ht="3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11"/>
      <c r="L447" s="11"/>
      <c r="M447" s="9"/>
    </row>
    <row r="448" spans="1:13" ht="3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11"/>
      <c r="L448" s="11"/>
      <c r="M448" s="9"/>
    </row>
    <row r="449" spans="1:13" ht="3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11"/>
      <c r="L449" s="11"/>
      <c r="M449" s="9"/>
    </row>
    <row r="450" spans="1:13" ht="3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11"/>
      <c r="L450" s="11"/>
      <c r="M450" s="9"/>
    </row>
    <row r="451" spans="1:13" ht="3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11"/>
      <c r="L451" s="11"/>
      <c r="M451" s="9"/>
    </row>
    <row r="452" spans="1:13" ht="3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11"/>
      <c r="L452" s="11"/>
      <c r="M452" s="9"/>
    </row>
    <row r="453" spans="1:13" ht="3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11"/>
      <c r="L453" s="11"/>
      <c r="M453" s="9"/>
    </row>
    <row r="454" spans="1:13" ht="3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11"/>
      <c r="L454" s="11"/>
      <c r="M454" s="9"/>
    </row>
    <row r="455" spans="1:13" ht="3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11"/>
      <c r="L455" s="11"/>
      <c r="M455" s="9"/>
    </row>
    <row r="456" spans="1:13" ht="3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11"/>
      <c r="L456" s="11"/>
      <c r="M456" s="9"/>
    </row>
    <row r="457" spans="1:13" ht="3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11"/>
      <c r="L457" s="11"/>
      <c r="M457" s="9"/>
    </row>
    <row r="458" spans="1:13" ht="3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11"/>
      <c r="L458" s="11"/>
      <c r="M458" s="9"/>
    </row>
    <row r="459" spans="1:13" ht="3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11"/>
      <c r="L459" s="11"/>
      <c r="M459" s="9"/>
    </row>
    <row r="460" spans="1:13" ht="3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11"/>
      <c r="L460" s="11"/>
      <c r="M460" s="9"/>
    </row>
    <row r="461" spans="1:13" ht="3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11"/>
      <c r="L461" s="11"/>
      <c r="M461" s="9"/>
    </row>
    <row r="462" spans="1:13" ht="3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11"/>
      <c r="L462" s="11"/>
      <c r="M462" s="9"/>
    </row>
    <row r="463" spans="1:13" ht="3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11"/>
      <c r="L463" s="11"/>
      <c r="M463" s="9"/>
    </row>
    <row r="464" spans="1:13" ht="3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11"/>
      <c r="L464" s="11"/>
      <c r="M464" s="9"/>
    </row>
    <row r="465" spans="1:13" ht="3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11"/>
      <c r="L465" s="11"/>
      <c r="M465" s="9"/>
    </row>
    <row r="466" spans="1:13" ht="3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11"/>
      <c r="L466" s="11"/>
      <c r="M466" s="9"/>
    </row>
    <row r="467" spans="1:13" ht="3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11"/>
      <c r="L467" s="11"/>
      <c r="M467" s="9"/>
    </row>
    <row r="468" spans="1:13" ht="3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11"/>
      <c r="L468" s="11"/>
      <c r="M468" s="9"/>
    </row>
    <row r="469" spans="1:13" ht="3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11"/>
      <c r="L469" s="11"/>
      <c r="M469" s="9"/>
    </row>
    <row r="470" spans="1:13" ht="3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11"/>
      <c r="L470" s="11"/>
      <c r="M470" s="9"/>
    </row>
    <row r="471" spans="1:13" ht="3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11"/>
      <c r="L471" s="11"/>
      <c r="M471" s="9"/>
    </row>
    <row r="472" spans="1:13" ht="3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11"/>
      <c r="L472" s="11"/>
      <c r="M472" s="9"/>
    </row>
    <row r="473" spans="1:13" ht="3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11"/>
      <c r="L473" s="11"/>
      <c r="M473" s="9"/>
    </row>
    <row r="474" spans="1:13" ht="3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11"/>
      <c r="L474" s="11"/>
      <c r="M474" s="9"/>
    </row>
    <row r="475" spans="1:13" ht="3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11"/>
      <c r="L475" s="11"/>
      <c r="M475" s="9"/>
    </row>
    <row r="476" spans="1:13" ht="3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11"/>
      <c r="L476" s="11"/>
      <c r="M476" s="9"/>
    </row>
    <row r="477" spans="1:13" ht="3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11"/>
      <c r="L477" s="11"/>
      <c r="M477" s="9"/>
    </row>
    <row r="478" spans="1:13" ht="3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11"/>
      <c r="L478" s="11"/>
      <c r="M478" s="9"/>
    </row>
    <row r="479" spans="1:13" ht="3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11"/>
      <c r="L479" s="11"/>
      <c r="M479" s="9"/>
    </row>
    <row r="480" spans="1:13" ht="3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11"/>
      <c r="L480" s="11"/>
      <c r="M480" s="9"/>
    </row>
    <row r="481" spans="1:13" ht="3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11"/>
      <c r="L481" s="11"/>
      <c r="M481" s="9"/>
    </row>
    <row r="482" spans="1:13" ht="3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11"/>
      <c r="L482" s="11"/>
      <c r="M482" s="9"/>
    </row>
    <row r="483" spans="1:13" ht="3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11"/>
      <c r="L483" s="11"/>
      <c r="M483" s="9"/>
    </row>
    <row r="484" spans="1:13" ht="3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11"/>
      <c r="L484" s="11"/>
      <c r="M484" s="9"/>
    </row>
    <row r="485" spans="1:13" ht="3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11"/>
      <c r="L485" s="11"/>
      <c r="M485" s="9"/>
    </row>
    <row r="486" spans="1:13" ht="3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11"/>
      <c r="L486" s="11"/>
      <c r="M486" s="9"/>
    </row>
    <row r="487" spans="1:13" ht="3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11"/>
      <c r="L487" s="11"/>
      <c r="M487" s="9"/>
    </row>
    <row r="488" spans="1:13" ht="3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11"/>
      <c r="L488" s="11"/>
      <c r="M488" s="9"/>
    </row>
    <row r="489" spans="1:13" ht="3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11"/>
      <c r="L489" s="11"/>
      <c r="M489" s="9"/>
    </row>
    <row r="490" spans="1:13" ht="3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11"/>
      <c r="L490" s="11"/>
      <c r="M490" s="9"/>
    </row>
    <row r="491" spans="1:13" ht="3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11"/>
      <c r="L491" s="11"/>
      <c r="M491" s="9"/>
    </row>
    <row r="492" spans="1:13" ht="3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11"/>
      <c r="L492" s="11"/>
      <c r="M492" s="9"/>
    </row>
    <row r="493" spans="1:13" ht="3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11"/>
      <c r="L493" s="11"/>
      <c r="M493" s="9"/>
    </row>
    <row r="494" spans="1:13" ht="3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11"/>
      <c r="L494" s="11"/>
      <c r="M494" s="9"/>
    </row>
    <row r="495" spans="1:13" ht="3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11"/>
      <c r="L495" s="11"/>
      <c r="M495" s="9"/>
    </row>
    <row r="496" spans="1:13" ht="3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11"/>
      <c r="L496" s="11"/>
      <c r="M496" s="9"/>
    </row>
    <row r="497" spans="1:13" ht="3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11"/>
      <c r="L497" s="11"/>
      <c r="M497" s="9"/>
    </row>
    <row r="498" spans="1:13" ht="3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11"/>
      <c r="L498" s="11"/>
      <c r="M498" s="9"/>
    </row>
    <row r="499" spans="1:13" ht="3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11"/>
      <c r="L499" s="11"/>
      <c r="M499" s="9"/>
    </row>
    <row r="500" spans="1:13" ht="3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11"/>
      <c r="L500" s="11"/>
      <c r="M500" s="9"/>
    </row>
    <row r="501" spans="1:13" ht="3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11"/>
      <c r="L501" s="11"/>
      <c r="M501" s="9"/>
    </row>
    <row r="502" spans="1:13" ht="3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11"/>
      <c r="L502" s="11"/>
      <c r="M502" s="9"/>
    </row>
    <row r="503" spans="1:13" ht="3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11"/>
      <c r="L503" s="11"/>
      <c r="M503" s="9"/>
    </row>
    <row r="504" spans="1:13" ht="3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11"/>
      <c r="L504" s="11"/>
      <c r="M504" s="9"/>
    </row>
    <row r="505" spans="1:13" ht="3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11"/>
      <c r="L505" s="11"/>
      <c r="M505" s="9"/>
    </row>
    <row r="506" spans="1:13" ht="3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11"/>
      <c r="L506" s="11"/>
      <c r="M506" s="9"/>
    </row>
    <row r="507" spans="1:13" ht="3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11"/>
      <c r="L507" s="11"/>
      <c r="M507" s="9"/>
    </row>
    <row r="508" spans="1:13" ht="3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11"/>
      <c r="L508" s="11"/>
      <c r="M508" s="9"/>
    </row>
    <row r="509" spans="1:13" ht="3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11"/>
      <c r="L509" s="11"/>
      <c r="M509" s="9"/>
    </row>
    <row r="510" spans="1:13" ht="3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11"/>
      <c r="L510" s="11"/>
      <c r="M510" s="9"/>
    </row>
    <row r="511" spans="1:13" ht="3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11"/>
      <c r="L511" s="11"/>
      <c r="M511" s="9"/>
    </row>
    <row r="512" spans="1:13" ht="3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11"/>
      <c r="L512" s="11"/>
      <c r="M512" s="9"/>
    </row>
    <row r="513" spans="1:13" ht="3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11"/>
      <c r="L513" s="11"/>
      <c r="M513" s="9"/>
    </row>
    <row r="514" spans="1:13" ht="3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11"/>
      <c r="L514" s="11"/>
      <c r="M514" s="9"/>
    </row>
    <row r="515" spans="1:13" ht="3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11"/>
      <c r="L515" s="11"/>
      <c r="M515" s="9"/>
    </row>
    <row r="516" spans="1:13" ht="3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11"/>
      <c r="L516" s="11"/>
      <c r="M516" s="9"/>
    </row>
    <row r="517" spans="1:13" ht="3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11"/>
      <c r="L517" s="11"/>
      <c r="M517" s="9"/>
    </row>
    <row r="518" spans="1:13" ht="3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11"/>
      <c r="L518" s="11"/>
      <c r="M518" s="9"/>
    </row>
    <row r="519" spans="1:13" ht="3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11"/>
      <c r="L519" s="11"/>
      <c r="M519" s="9"/>
    </row>
    <row r="520" spans="1:13" ht="3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11"/>
      <c r="L520" s="11"/>
      <c r="M520" s="9"/>
    </row>
    <row r="521" spans="1:13" ht="3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11"/>
      <c r="L521" s="11"/>
      <c r="M521" s="9"/>
    </row>
    <row r="522" spans="1:13" ht="3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11"/>
      <c r="L522" s="11"/>
      <c r="M522" s="9"/>
    </row>
    <row r="523" spans="1:13" ht="3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11"/>
      <c r="L523" s="11"/>
      <c r="M523" s="9"/>
    </row>
    <row r="524" spans="1:13" ht="3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11"/>
      <c r="L524" s="11"/>
      <c r="M524" s="9"/>
    </row>
    <row r="525" spans="1:13" ht="3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11"/>
      <c r="L525" s="11"/>
      <c r="M525" s="9"/>
    </row>
    <row r="526" spans="1:13" ht="3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11"/>
      <c r="L526" s="11"/>
      <c r="M526" s="9"/>
    </row>
    <row r="527" spans="1:13" ht="3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11"/>
      <c r="L527" s="11"/>
      <c r="M527" s="9"/>
    </row>
    <row r="528" spans="1:13" ht="3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11"/>
      <c r="L528" s="11"/>
      <c r="M528" s="9"/>
    </row>
    <row r="529" spans="1:13" ht="3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11"/>
      <c r="L529" s="11"/>
      <c r="M529" s="9"/>
    </row>
    <row r="530" spans="1:13" ht="3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11"/>
      <c r="L530" s="11"/>
      <c r="M530" s="9"/>
    </row>
    <row r="531" spans="1:13" ht="3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11"/>
      <c r="L531" s="11"/>
      <c r="M531" s="9"/>
    </row>
    <row r="532" spans="1:13" ht="3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11"/>
      <c r="L532" s="11"/>
      <c r="M532" s="9"/>
    </row>
    <row r="533" spans="1:13" ht="3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11"/>
      <c r="L533" s="11"/>
      <c r="M533" s="9"/>
    </row>
    <row r="534" spans="1:13" ht="3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11"/>
      <c r="L534" s="11"/>
      <c r="M534" s="9"/>
    </row>
    <row r="535" spans="1:13" ht="3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11"/>
      <c r="L535" s="11"/>
      <c r="M535" s="9"/>
    </row>
    <row r="536" spans="1:13" ht="3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11"/>
      <c r="L536" s="11"/>
      <c r="M536" s="9"/>
    </row>
    <row r="537" spans="1:13" ht="3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11"/>
      <c r="L537" s="11"/>
      <c r="M537" s="9"/>
    </row>
    <row r="538" spans="1:13" ht="3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11"/>
      <c r="L538" s="11"/>
      <c r="M538" s="9"/>
    </row>
    <row r="539" spans="1:13" ht="3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11"/>
      <c r="L539" s="11"/>
      <c r="M539" s="9"/>
    </row>
    <row r="540" spans="1:13" ht="3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11"/>
      <c r="L540" s="11"/>
      <c r="M540" s="9"/>
    </row>
    <row r="541" spans="1:13" ht="3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11"/>
      <c r="L541" s="11"/>
      <c r="M541" s="9"/>
    </row>
    <row r="542" spans="1:13" ht="3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11"/>
      <c r="L542" s="11"/>
      <c r="M542" s="9"/>
    </row>
    <row r="543" spans="1:13" ht="3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11"/>
      <c r="L543" s="11"/>
      <c r="M543" s="9"/>
    </row>
    <row r="544" spans="1:13" ht="3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11"/>
      <c r="L544" s="11"/>
      <c r="M544" s="9"/>
    </row>
    <row r="545" spans="1:13" ht="3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11"/>
      <c r="L545" s="11"/>
      <c r="M545" s="9"/>
    </row>
    <row r="546" spans="1:13" ht="3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11"/>
      <c r="L546" s="11"/>
      <c r="M546" s="9"/>
    </row>
    <row r="547" spans="1:13" ht="3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11"/>
      <c r="L547" s="11"/>
      <c r="M547" s="9"/>
    </row>
    <row r="548" spans="1:13" ht="3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11"/>
      <c r="L548" s="11"/>
      <c r="M548" s="9"/>
    </row>
    <row r="549" spans="1:13" ht="3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11"/>
      <c r="L549" s="11"/>
      <c r="M549" s="9"/>
    </row>
    <row r="550" spans="1:13" ht="3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11"/>
      <c r="L550" s="11"/>
      <c r="M550" s="9"/>
    </row>
    <row r="551" spans="1:13" ht="3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11"/>
      <c r="L551" s="11"/>
      <c r="M551" s="9"/>
    </row>
    <row r="552" spans="1:13" ht="3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11"/>
      <c r="L552" s="11"/>
      <c r="M552" s="9"/>
    </row>
    <row r="553" spans="1:13" ht="3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11"/>
      <c r="L553" s="11"/>
      <c r="M553" s="9"/>
    </row>
    <row r="554" spans="1:13" ht="3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11"/>
      <c r="L554" s="11"/>
      <c r="M554" s="9"/>
    </row>
    <row r="555" spans="1:13" ht="3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11"/>
      <c r="L555" s="11"/>
      <c r="M555" s="9"/>
    </row>
    <row r="556" spans="1:13" ht="3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11"/>
      <c r="L556" s="11"/>
      <c r="M556" s="9"/>
    </row>
    <row r="557" spans="1:13" ht="3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11"/>
      <c r="L557" s="11"/>
      <c r="M557" s="9"/>
    </row>
    <row r="558" spans="1:13" ht="3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11"/>
      <c r="L558" s="11"/>
      <c r="M558" s="9"/>
    </row>
    <row r="559" spans="1:13" ht="3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11"/>
      <c r="L559" s="11"/>
      <c r="M559" s="9"/>
    </row>
    <row r="560" spans="1:13" ht="3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11"/>
      <c r="L560" s="11"/>
      <c r="M560" s="9"/>
    </row>
    <row r="561" spans="1:13" ht="3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11"/>
      <c r="L561" s="11"/>
      <c r="M561" s="9"/>
    </row>
    <row r="562" spans="1:13" ht="3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11"/>
      <c r="L562" s="11"/>
      <c r="M562" s="9"/>
    </row>
    <row r="563" spans="1:13" ht="3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11"/>
      <c r="L563" s="11"/>
      <c r="M563" s="9"/>
    </row>
    <row r="564" spans="1:13" ht="3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11"/>
      <c r="L564" s="11"/>
      <c r="M564" s="9"/>
    </row>
    <row r="565" spans="1:13" ht="3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11"/>
      <c r="L565" s="11"/>
      <c r="M565" s="9"/>
    </row>
    <row r="566" spans="1:13" ht="3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11"/>
      <c r="L566" s="11"/>
      <c r="M566" s="9"/>
    </row>
    <row r="567" spans="1:13" ht="3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11"/>
      <c r="L567" s="11"/>
      <c r="M567" s="9"/>
    </row>
    <row r="568" spans="1:13" ht="3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11"/>
      <c r="L568" s="11"/>
      <c r="M568" s="9"/>
    </row>
    <row r="569" spans="1:13" ht="3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11"/>
      <c r="L569" s="11"/>
      <c r="M569" s="9"/>
    </row>
    <row r="570" spans="1:13" ht="3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11"/>
      <c r="L570" s="11"/>
      <c r="M570" s="9"/>
    </row>
    <row r="571" spans="1:13" ht="3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11"/>
      <c r="L571" s="11"/>
      <c r="M571" s="9"/>
    </row>
    <row r="572" spans="1:13" ht="3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11"/>
      <c r="L572" s="11"/>
      <c r="M572" s="9"/>
    </row>
    <row r="573" spans="1:13" ht="3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11"/>
      <c r="L573" s="11"/>
      <c r="M573" s="9"/>
    </row>
    <row r="574" spans="1:13" ht="3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11"/>
      <c r="L574" s="11"/>
      <c r="M574" s="9"/>
    </row>
    <row r="575" spans="1:13" ht="3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11"/>
      <c r="L575" s="11"/>
      <c r="M575" s="9"/>
    </row>
    <row r="576" spans="1:13" ht="3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11"/>
      <c r="L576" s="11"/>
      <c r="M576" s="9"/>
    </row>
    <row r="577" spans="1:13" ht="3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11"/>
      <c r="L577" s="11"/>
      <c r="M577" s="9"/>
    </row>
    <row r="578" spans="1:13" ht="3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11"/>
      <c r="L578" s="11"/>
      <c r="M578" s="9"/>
    </row>
    <row r="579" spans="1:13" ht="3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11"/>
      <c r="L579" s="11"/>
      <c r="M579" s="9"/>
    </row>
    <row r="580" spans="1:13" ht="3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11"/>
      <c r="L580" s="11"/>
      <c r="M580" s="9"/>
    </row>
    <row r="581" spans="1:13" ht="3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11"/>
      <c r="L581" s="11"/>
      <c r="M581" s="9"/>
    </row>
    <row r="582" spans="1:13" ht="3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11"/>
      <c r="L582" s="11"/>
      <c r="M582" s="9"/>
    </row>
    <row r="583" spans="1:13" ht="3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11"/>
      <c r="L583" s="11"/>
      <c r="M583" s="9"/>
    </row>
    <row r="584" spans="1:13" ht="3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11"/>
      <c r="L584" s="11"/>
      <c r="M584" s="9"/>
    </row>
    <row r="585" spans="1:13" ht="3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11"/>
      <c r="L585" s="11"/>
      <c r="M585" s="9"/>
    </row>
  </sheetData>
  <autoFilter ref="A2:M301" xr:uid="{48C3EA1C-1E31-4450-8B8A-792657D07DD1}"/>
  <mergeCells count="1">
    <mergeCell ref="A1:M1"/>
  </mergeCells>
  <conditionalFormatting sqref="C1:C298 C363:C1048576">
    <cfRule type="duplicateValues" dxfId="9" priority="2"/>
  </conditionalFormatting>
  <conditionalFormatting sqref="C299:C362">
    <cfRule type="duplicateValues" dxfId="6" priority="1"/>
  </conditionalFormatting>
  <pageMargins left="0.7" right="0.7" top="0.75" bottom="0.75" header="0.3" footer="0.3"/>
  <pageSetup paperSize="9" orientation="portrait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DC44F-2BCD-4966-AB68-4EC64B382B10}">
  <sheetPr>
    <outlinePr summaryBelow="0" summaryRight="0"/>
  </sheetPr>
  <dimension ref="A1:N362"/>
  <sheetViews>
    <sheetView zoomScale="55" zoomScaleNormal="55" workbookViewId="0">
      <pane xSplit="1" ySplit="2" topLeftCell="B279" activePane="bottomRight" state="frozen"/>
      <selection pane="topRight" activeCell="B1" sqref="B1"/>
      <selection pane="bottomLeft" activeCell="A3" sqref="A3"/>
      <selection pane="bottomRight" activeCell="G303" sqref="G303"/>
    </sheetView>
  </sheetViews>
  <sheetFormatPr defaultColWidth="12.5703125" defaultRowHeight="15.75" customHeight="1"/>
  <cols>
    <col min="1" max="10" width="31.5703125" style="32" customWidth="1"/>
    <col min="11" max="12" width="31.5703125" style="33" customWidth="1"/>
    <col min="13" max="13" width="31.5703125" style="34" customWidth="1"/>
    <col min="14" max="16384" width="12.5703125" style="32"/>
  </cols>
  <sheetData>
    <row r="1" spans="1:14" ht="30" customHeight="1">
      <c r="A1" s="37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9"/>
      <c r="L1" s="39"/>
      <c r="M1" s="40"/>
    </row>
    <row r="2" spans="1:14" ht="3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/>
      <c r="H2" s="1" t="s">
        <v>7</v>
      </c>
      <c r="I2" s="1" t="s">
        <v>8</v>
      </c>
      <c r="J2" s="1" t="s">
        <v>9</v>
      </c>
      <c r="K2" s="10" t="s">
        <v>10</v>
      </c>
      <c r="L2" s="10" t="s">
        <v>11</v>
      </c>
      <c r="M2" s="8" t="s">
        <v>12</v>
      </c>
    </row>
    <row r="3" spans="1:14" ht="30" customHeight="1">
      <c r="A3" s="7" t="s">
        <v>13</v>
      </c>
      <c r="B3" s="30" t="s">
        <v>384</v>
      </c>
      <c r="C3" s="30" t="s">
        <v>89</v>
      </c>
      <c r="D3" s="27">
        <v>22610.177091138208</v>
      </c>
      <c r="E3" s="28">
        <v>18623.773437366825</v>
      </c>
      <c r="F3" s="27">
        <f>+D3-E3</f>
        <v>3986.4036537713837</v>
      </c>
      <c r="G3" s="27">
        <f t="shared" ref="G3:G66" si="0">+F3*100/D3</f>
        <v>17.631014731564431</v>
      </c>
      <c r="H3" s="29">
        <v>60</v>
      </c>
      <c r="I3" s="29">
        <v>4</v>
      </c>
      <c r="J3" s="18" t="s">
        <v>14</v>
      </c>
      <c r="K3" s="30">
        <v>40.865291666700003</v>
      </c>
      <c r="L3" s="30">
        <v>71.961494999999999</v>
      </c>
      <c r="M3" s="15">
        <v>160</v>
      </c>
      <c r="N3" s="32">
        <v>3</v>
      </c>
    </row>
    <row r="4" spans="1:14" ht="30" customHeight="1">
      <c r="A4" s="7" t="s">
        <v>13</v>
      </c>
      <c r="B4" s="30" t="s">
        <v>385</v>
      </c>
      <c r="C4" s="30" t="s">
        <v>123</v>
      </c>
      <c r="D4" s="27">
        <v>24364.647801138206</v>
      </c>
      <c r="E4" s="28">
        <v>20158.743437366826</v>
      </c>
      <c r="F4" s="27">
        <f>+D4-E4</f>
        <v>4205.9043637713803</v>
      </c>
      <c r="G4" s="27">
        <f t="shared" si="0"/>
        <v>17.262323667058709</v>
      </c>
      <c r="H4" s="29">
        <v>34</v>
      </c>
      <c r="I4" s="29">
        <v>5</v>
      </c>
      <c r="J4" s="4" t="s">
        <v>16</v>
      </c>
      <c r="K4" s="30">
        <v>40.859666666700001</v>
      </c>
      <c r="L4" s="30">
        <v>72.121076666700006</v>
      </c>
      <c r="M4" s="15">
        <v>63</v>
      </c>
    </row>
    <row r="5" spans="1:14" ht="30" customHeight="1">
      <c r="A5" s="7" t="s">
        <v>13</v>
      </c>
      <c r="B5" s="30" t="s">
        <v>386</v>
      </c>
      <c r="C5" s="30" t="s">
        <v>124</v>
      </c>
      <c r="D5" s="27">
        <v>26043.680511138205</v>
      </c>
      <c r="E5" s="28">
        <v>21627.713437366823</v>
      </c>
      <c r="F5" s="27">
        <f t="shared" ref="F5:F68" si="1">+D5-E5</f>
        <v>4415.9670737713823</v>
      </c>
      <c r="G5" s="27">
        <f t="shared" si="0"/>
        <v>16.956002328022677</v>
      </c>
      <c r="H5" s="29">
        <v>18</v>
      </c>
      <c r="I5" s="29">
        <v>5</v>
      </c>
      <c r="J5" s="4" t="s">
        <v>15</v>
      </c>
      <c r="K5" s="30">
        <v>40.875443333299998</v>
      </c>
      <c r="L5" s="30">
        <v>71.966825</v>
      </c>
      <c r="M5" s="15">
        <v>250</v>
      </c>
    </row>
    <row r="6" spans="1:14" ht="30" customHeight="1">
      <c r="A6" s="7" t="s">
        <v>13</v>
      </c>
      <c r="B6" s="30" t="s">
        <v>387</v>
      </c>
      <c r="C6" s="30" t="s">
        <v>125</v>
      </c>
      <c r="D6" s="27">
        <v>25577.290791138206</v>
      </c>
      <c r="E6" s="28">
        <v>21219.673437366826</v>
      </c>
      <c r="F6" s="27">
        <f t="shared" si="1"/>
        <v>4357.6173537713803</v>
      </c>
      <c r="G6" s="27">
        <f t="shared" si="0"/>
        <v>17.037055993753526</v>
      </c>
      <c r="H6" s="29">
        <v>68</v>
      </c>
      <c r="I6" s="29">
        <v>4</v>
      </c>
      <c r="J6" s="4" t="s">
        <v>15</v>
      </c>
      <c r="K6" s="30">
        <v>40.879336666500002</v>
      </c>
      <c r="L6" s="30">
        <v>71.986581666700005</v>
      </c>
      <c r="M6" s="15">
        <v>160</v>
      </c>
    </row>
    <row r="7" spans="1:14" ht="30" customHeight="1">
      <c r="A7" s="7" t="s">
        <v>13</v>
      </c>
      <c r="B7" s="30" t="s">
        <v>388</v>
      </c>
      <c r="C7" s="30" t="s">
        <v>126</v>
      </c>
      <c r="D7" s="27">
        <v>21738.929151138207</v>
      </c>
      <c r="E7" s="28">
        <v>17861.526770700159</v>
      </c>
      <c r="F7" s="27">
        <f t="shared" si="1"/>
        <v>3877.4023804380486</v>
      </c>
      <c r="G7" s="27">
        <f t="shared" si="0"/>
        <v>17.836216096389624</v>
      </c>
      <c r="H7" s="29">
        <v>12</v>
      </c>
      <c r="I7" s="29">
        <v>4</v>
      </c>
      <c r="J7" s="4" t="s">
        <v>15</v>
      </c>
      <c r="K7" s="30">
        <v>40.874026666600002</v>
      </c>
      <c r="L7" s="30">
        <v>72.094549999700007</v>
      </c>
      <c r="M7" s="15">
        <v>400</v>
      </c>
    </row>
    <row r="8" spans="1:14" ht="30" customHeight="1">
      <c r="A8" s="7" t="s">
        <v>13</v>
      </c>
      <c r="B8" s="30" t="s">
        <v>385</v>
      </c>
      <c r="C8" s="30" t="s">
        <v>127</v>
      </c>
      <c r="D8" s="27">
        <v>25262.801961138204</v>
      </c>
      <c r="E8" s="28">
        <v>20944.530104033493</v>
      </c>
      <c r="F8" s="27">
        <f t="shared" si="1"/>
        <v>4318.2718571047117</v>
      </c>
      <c r="G8" s="27">
        <f t="shared" si="0"/>
        <v>17.093400263943462</v>
      </c>
      <c r="H8" s="29">
        <v>61</v>
      </c>
      <c r="I8" s="29">
        <v>3</v>
      </c>
      <c r="J8" s="4" t="s">
        <v>17</v>
      </c>
      <c r="K8" s="30">
        <v>40.859666666700001</v>
      </c>
      <c r="L8" s="30">
        <v>72.121076666700006</v>
      </c>
      <c r="M8" s="15">
        <v>100</v>
      </c>
    </row>
    <row r="9" spans="1:14" ht="30" customHeight="1">
      <c r="A9" s="7" t="s">
        <v>13</v>
      </c>
      <c r="B9" s="30" t="s">
        <v>385</v>
      </c>
      <c r="C9" s="30" t="s">
        <v>128</v>
      </c>
      <c r="D9" s="27">
        <v>28208.709201138208</v>
      </c>
      <c r="E9" s="28">
        <v>23521.876770700164</v>
      </c>
      <c r="F9" s="27">
        <f t="shared" si="1"/>
        <v>4686.832430438044</v>
      </c>
      <c r="G9" s="27">
        <f t="shared" si="0"/>
        <v>16.614841880992316</v>
      </c>
      <c r="H9" s="29">
        <v>92</v>
      </c>
      <c r="I9" s="29">
        <v>0</v>
      </c>
      <c r="J9" s="4" t="s">
        <v>17</v>
      </c>
      <c r="K9" s="30">
        <v>40.861923333299998</v>
      </c>
      <c r="L9" s="30">
        <v>72.000451666700002</v>
      </c>
      <c r="M9" s="15">
        <v>250</v>
      </c>
    </row>
    <row r="10" spans="1:14" ht="30" customHeight="1">
      <c r="A10" s="7" t="s">
        <v>13</v>
      </c>
      <c r="B10" s="30" t="s">
        <v>388</v>
      </c>
      <c r="C10" s="30" t="s">
        <v>129</v>
      </c>
      <c r="D10" s="27">
        <v>26883.149241138206</v>
      </c>
      <c r="E10" s="28">
        <v>22362.15677070016</v>
      </c>
      <c r="F10" s="27">
        <f t="shared" si="1"/>
        <v>4520.9924704380464</v>
      </c>
      <c r="G10" s="27">
        <f t="shared" si="0"/>
        <v>16.817198126176944</v>
      </c>
      <c r="H10" s="29">
        <v>100</v>
      </c>
      <c r="I10" s="29">
        <v>0</v>
      </c>
      <c r="J10" s="4" t="s">
        <v>17</v>
      </c>
      <c r="K10" s="30">
        <v>40.876303333300001</v>
      </c>
      <c r="L10" s="30">
        <v>71.989218333300002</v>
      </c>
      <c r="M10" s="15">
        <v>160</v>
      </c>
    </row>
    <row r="11" spans="1:14" ht="30" customHeight="1">
      <c r="A11" s="7" t="s">
        <v>13</v>
      </c>
      <c r="B11" s="30" t="s">
        <v>387</v>
      </c>
      <c r="C11" s="30" t="s">
        <v>130</v>
      </c>
      <c r="D11" s="27">
        <v>27264.545481138208</v>
      </c>
      <c r="E11" s="28">
        <v>22695.836770700163</v>
      </c>
      <c r="F11" s="27">
        <f t="shared" si="1"/>
        <v>4568.7087104380444</v>
      </c>
      <c r="G11" s="27">
        <f t="shared" si="0"/>
        <v>16.756959009636553</v>
      </c>
      <c r="H11" s="29">
        <v>69</v>
      </c>
      <c r="I11" s="29">
        <v>0</v>
      </c>
      <c r="J11" s="4" t="s">
        <v>14</v>
      </c>
      <c r="K11" s="30">
        <v>40.880254999999998</v>
      </c>
      <c r="L11" s="30">
        <v>71.986491666700005</v>
      </c>
      <c r="M11" s="15">
        <v>400</v>
      </c>
    </row>
    <row r="12" spans="1:14" ht="30" customHeight="1">
      <c r="A12" s="7" t="s">
        <v>13</v>
      </c>
      <c r="B12" s="30" t="s">
        <v>388</v>
      </c>
      <c r="C12" s="30" t="s">
        <v>131</v>
      </c>
      <c r="D12" s="27">
        <v>24689.507451138204</v>
      </c>
      <c r="E12" s="28">
        <v>20442.960104033493</v>
      </c>
      <c r="F12" s="27">
        <f t="shared" si="1"/>
        <v>4246.5473471047117</v>
      </c>
      <c r="G12" s="27">
        <f t="shared" si="0"/>
        <v>17.199805850760068</v>
      </c>
      <c r="H12" s="29">
        <v>64</v>
      </c>
      <c r="I12" s="29">
        <v>2</v>
      </c>
      <c r="J12" s="4" t="s">
        <v>16</v>
      </c>
      <c r="K12" s="30">
        <v>40.881878333300001</v>
      </c>
      <c r="L12" s="30">
        <v>71.992743333299998</v>
      </c>
      <c r="M12" s="15">
        <v>60</v>
      </c>
    </row>
    <row r="13" spans="1:14" ht="30" customHeight="1">
      <c r="A13" s="7" t="s">
        <v>13</v>
      </c>
      <c r="B13" s="30" t="s">
        <v>388</v>
      </c>
      <c r="C13" s="30" t="s">
        <v>132</v>
      </c>
      <c r="D13" s="27">
        <v>29288.177451138214</v>
      </c>
      <c r="E13" s="28">
        <v>24466.293437366829</v>
      </c>
      <c r="F13" s="27">
        <f t="shared" si="1"/>
        <v>4821.8840137713851</v>
      </c>
      <c r="G13" s="27">
        <f t="shared" si="0"/>
        <v>16.463585082464714</v>
      </c>
      <c r="H13" s="29">
        <v>25</v>
      </c>
      <c r="I13" s="29">
        <v>2</v>
      </c>
      <c r="J13" s="4" t="s">
        <v>18</v>
      </c>
      <c r="K13" s="30">
        <v>40.8861933333</v>
      </c>
      <c r="L13" s="30">
        <v>71.991990000000001</v>
      </c>
      <c r="M13" s="15">
        <v>100</v>
      </c>
    </row>
    <row r="14" spans="1:14" ht="30" customHeight="1">
      <c r="A14" s="7" t="s">
        <v>13</v>
      </c>
      <c r="B14" s="30" t="s">
        <v>388</v>
      </c>
      <c r="C14" s="30" t="s">
        <v>133</v>
      </c>
      <c r="D14" s="27">
        <v>29344.382571138212</v>
      </c>
      <c r="E14" s="28">
        <v>24515.466770700161</v>
      </c>
      <c r="F14" s="27">
        <f t="shared" si="1"/>
        <v>4828.9158004380515</v>
      </c>
      <c r="G14" s="27">
        <f t="shared" si="0"/>
        <v>16.456014328233138</v>
      </c>
      <c r="H14" s="29">
        <v>108</v>
      </c>
      <c r="I14" s="29">
        <v>2</v>
      </c>
      <c r="J14" s="4" t="s">
        <v>18</v>
      </c>
      <c r="K14" s="30">
        <v>40.871985000000002</v>
      </c>
      <c r="L14" s="30">
        <v>72.001351666700003</v>
      </c>
      <c r="M14" s="15">
        <v>100</v>
      </c>
    </row>
    <row r="15" spans="1:14" ht="30" customHeight="1">
      <c r="A15" s="7" t="s">
        <v>13</v>
      </c>
      <c r="B15" s="30" t="s">
        <v>384</v>
      </c>
      <c r="C15" s="30" t="s">
        <v>109</v>
      </c>
      <c r="D15" s="27">
        <v>27447.063531138207</v>
      </c>
      <c r="E15" s="28">
        <v>22855.520104033498</v>
      </c>
      <c r="F15" s="27">
        <f t="shared" si="1"/>
        <v>4591.5434271047088</v>
      </c>
      <c r="G15" s="27">
        <f t="shared" si="0"/>
        <v>16.728723719007988</v>
      </c>
      <c r="H15" s="29">
        <v>70</v>
      </c>
      <c r="I15" s="29">
        <v>0</v>
      </c>
      <c r="J15" s="4" t="s">
        <v>14</v>
      </c>
      <c r="K15" s="30">
        <v>40.863475000000001</v>
      </c>
      <c r="L15" s="30">
        <v>71.947638333300006</v>
      </c>
      <c r="M15" s="15">
        <v>400</v>
      </c>
    </row>
    <row r="16" spans="1:14" ht="30" customHeight="1">
      <c r="A16" s="7" t="s">
        <v>13</v>
      </c>
      <c r="B16" s="30" t="s">
        <v>386</v>
      </c>
      <c r="C16" s="30" t="s">
        <v>134</v>
      </c>
      <c r="D16" s="27">
        <v>28014.894501138206</v>
      </c>
      <c r="E16" s="28">
        <v>23352.310104033491</v>
      </c>
      <c r="F16" s="27">
        <f t="shared" si="1"/>
        <v>4662.5843971047143</v>
      </c>
      <c r="G16" s="27">
        <f t="shared" si="0"/>
        <v>16.643233823048238</v>
      </c>
      <c r="H16" s="29">
        <v>44</v>
      </c>
      <c r="I16" s="29">
        <v>0</v>
      </c>
      <c r="J16" s="4" t="s">
        <v>17</v>
      </c>
      <c r="K16" s="30">
        <v>40.867853333299998</v>
      </c>
      <c r="L16" s="30">
        <v>71.9555883333</v>
      </c>
      <c r="M16" s="15">
        <v>160</v>
      </c>
    </row>
    <row r="17" spans="1:13" ht="30" customHeight="1">
      <c r="A17" s="7" t="s">
        <v>13</v>
      </c>
      <c r="B17" s="30" t="s">
        <v>386</v>
      </c>
      <c r="C17" s="30" t="s">
        <v>135</v>
      </c>
      <c r="D17" s="27">
        <v>31234.900761138208</v>
      </c>
      <c r="E17" s="28">
        <v>26169.463437366827</v>
      </c>
      <c r="F17" s="27">
        <f t="shared" si="1"/>
        <v>5065.4373237713808</v>
      </c>
      <c r="G17" s="27">
        <f t="shared" si="0"/>
        <v>16.217235209127637</v>
      </c>
      <c r="H17" s="29">
        <v>80</v>
      </c>
      <c r="I17" s="29">
        <v>2</v>
      </c>
      <c r="J17" s="4" t="s">
        <v>19</v>
      </c>
      <c r="K17" s="30">
        <v>40.871698333300003</v>
      </c>
      <c r="L17" s="30">
        <v>71.957906666699998</v>
      </c>
      <c r="M17" s="15">
        <v>160</v>
      </c>
    </row>
    <row r="18" spans="1:13" ht="30" customHeight="1">
      <c r="A18" s="7" t="s">
        <v>13</v>
      </c>
      <c r="B18" s="30" t="s">
        <v>388</v>
      </c>
      <c r="C18" s="30" t="s">
        <v>136</v>
      </c>
      <c r="D18" s="27">
        <v>27999.928821138212</v>
      </c>
      <c r="E18" s="28">
        <v>23339.216770700161</v>
      </c>
      <c r="F18" s="27">
        <f t="shared" si="1"/>
        <v>4660.7120504380509</v>
      </c>
      <c r="G18" s="27">
        <f t="shared" si="0"/>
        <v>16.645442494551993</v>
      </c>
      <c r="H18" s="29">
        <v>83</v>
      </c>
      <c r="I18" s="29">
        <v>4</v>
      </c>
      <c r="J18" s="4" t="s">
        <v>16</v>
      </c>
      <c r="K18" s="30">
        <v>40.881491666700001</v>
      </c>
      <c r="L18" s="30">
        <v>72.005658333300005</v>
      </c>
      <c r="M18" s="15">
        <v>400</v>
      </c>
    </row>
    <row r="19" spans="1:13" ht="30" customHeight="1">
      <c r="A19" s="7" t="s">
        <v>13</v>
      </c>
      <c r="B19" s="30" t="s">
        <v>388</v>
      </c>
      <c r="C19" s="30" t="s">
        <v>137</v>
      </c>
      <c r="D19" s="27">
        <v>25647.139521138204</v>
      </c>
      <c r="E19" s="28">
        <v>21280.783437366823</v>
      </c>
      <c r="F19" s="27">
        <f t="shared" si="1"/>
        <v>4366.3560837713812</v>
      </c>
      <c r="G19" s="27">
        <f t="shared" si="0"/>
        <v>17.024729327700111</v>
      </c>
      <c r="H19" s="29">
        <v>105</v>
      </c>
      <c r="I19" s="29">
        <v>0</v>
      </c>
      <c r="J19" s="4" t="s">
        <v>16</v>
      </c>
      <c r="K19" s="30">
        <v>40.882366666700001</v>
      </c>
      <c r="L19" s="30">
        <v>72.011693333300002</v>
      </c>
      <c r="M19" s="15">
        <v>63</v>
      </c>
    </row>
    <row r="20" spans="1:13" ht="30" customHeight="1">
      <c r="A20" s="7" t="s">
        <v>13</v>
      </c>
      <c r="B20" s="30" t="s">
        <v>387</v>
      </c>
      <c r="C20" s="30" t="s">
        <v>138</v>
      </c>
      <c r="D20" s="27">
        <v>36056.798661138215</v>
      </c>
      <c r="E20" s="28">
        <v>30388.096770700166</v>
      </c>
      <c r="F20" s="27">
        <f t="shared" si="1"/>
        <v>5668.7018904380493</v>
      </c>
      <c r="G20" s="27">
        <f t="shared" si="0"/>
        <v>15.721589550177507</v>
      </c>
      <c r="H20" s="29">
        <v>7</v>
      </c>
      <c r="I20" s="29">
        <v>2</v>
      </c>
      <c r="J20" s="4" t="s">
        <v>16</v>
      </c>
      <c r="K20" s="30">
        <v>40.867094999999999</v>
      </c>
      <c r="L20" s="30">
        <v>71.968564999999998</v>
      </c>
      <c r="M20" s="15">
        <v>160</v>
      </c>
    </row>
    <row r="21" spans="1:13" ht="30" customHeight="1">
      <c r="A21" s="7" t="s">
        <v>13</v>
      </c>
      <c r="B21" s="30" t="s">
        <v>388</v>
      </c>
      <c r="C21" s="30" t="s">
        <v>139</v>
      </c>
      <c r="D21" s="27">
        <v>21597.661971138212</v>
      </c>
      <c r="E21" s="28">
        <v>17737.933437366824</v>
      </c>
      <c r="F21" s="27">
        <f t="shared" si="1"/>
        <v>3859.7285337713874</v>
      </c>
      <c r="G21" s="27">
        <f t="shared" si="0"/>
        <v>17.87104798162547</v>
      </c>
      <c r="H21" s="29">
        <v>37</v>
      </c>
      <c r="I21" s="29">
        <v>2</v>
      </c>
      <c r="J21" s="4" t="s">
        <v>16</v>
      </c>
      <c r="K21" s="30">
        <v>40.865857601199998</v>
      </c>
      <c r="L21" s="30">
        <v>71.963380873199995</v>
      </c>
      <c r="M21" s="15">
        <v>160</v>
      </c>
    </row>
    <row r="22" spans="1:13" ht="30" customHeight="1">
      <c r="A22" s="7" t="s">
        <v>13</v>
      </c>
      <c r="B22" s="30" t="s">
        <v>387</v>
      </c>
      <c r="C22" s="30" t="s">
        <v>140</v>
      </c>
      <c r="D22" s="27">
        <v>23566.361361138206</v>
      </c>
      <c r="E22" s="28">
        <v>19460.330104033492</v>
      </c>
      <c r="F22" s="27">
        <f t="shared" si="1"/>
        <v>4106.0312571047143</v>
      </c>
      <c r="G22" s="27">
        <f t="shared" si="0"/>
        <v>17.42327207065453</v>
      </c>
      <c r="H22" s="29">
        <v>36</v>
      </c>
      <c r="I22" s="29">
        <v>0</v>
      </c>
      <c r="J22" s="4" t="s">
        <v>16</v>
      </c>
      <c r="K22" s="30">
        <v>40.868364999999997</v>
      </c>
      <c r="L22" s="30">
        <v>71.977401666700004</v>
      </c>
      <c r="M22" s="15">
        <v>160</v>
      </c>
    </row>
    <row r="23" spans="1:13" ht="30" customHeight="1">
      <c r="A23" s="7" t="s">
        <v>13</v>
      </c>
      <c r="B23" s="30" t="s">
        <v>385</v>
      </c>
      <c r="C23" s="30" t="s">
        <v>141</v>
      </c>
      <c r="D23" s="27">
        <v>32079.653961138214</v>
      </c>
      <c r="E23" s="28">
        <v>26908.5301040335</v>
      </c>
      <c r="F23" s="27">
        <f t="shared" si="1"/>
        <v>5171.1238571047143</v>
      </c>
      <c r="G23" s="27">
        <f t="shared" si="0"/>
        <v>16.119637273422878</v>
      </c>
      <c r="H23" s="29">
        <v>146</v>
      </c>
      <c r="I23" s="29">
        <v>4</v>
      </c>
      <c r="J23" s="3" t="s">
        <v>16</v>
      </c>
      <c r="K23" s="30">
        <v>40.866354999999999</v>
      </c>
      <c r="L23" s="30">
        <v>71.987798333300006</v>
      </c>
      <c r="M23" s="15">
        <v>63</v>
      </c>
    </row>
    <row r="24" spans="1:13" ht="30" customHeight="1">
      <c r="A24" s="7" t="s">
        <v>13</v>
      </c>
      <c r="B24" s="30" t="s">
        <v>385</v>
      </c>
      <c r="C24" s="30" t="s">
        <v>142</v>
      </c>
      <c r="D24" s="27">
        <v>37477.482891138214</v>
      </c>
      <c r="E24" s="28">
        <v>31631.040104033495</v>
      </c>
      <c r="F24" s="27">
        <f t="shared" si="1"/>
        <v>5846.4427871047192</v>
      </c>
      <c r="G24" s="27">
        <f t="shared" si="0"/>
        <v>15.599881144865114</v>
      </c>
      <c r="H24" s="29">
        <v>201</v>
      </c>
      <c r="I24" s="29">
        <v>0</v>
      </c>
      <c r="J24" s="3" t="s">
        <v>16</v>
      </c>
      <c r="K24" s="30">
        <v>40.8589916667</v>
      </c>
      <c r="L24" s="30">
        <v>72.007035000000002</v>
      </c>
      <c r="M24" s="15">
        <v>63</v>
      </c>
    </row>
    <row r="25" spans="1:13" ht="30" customHeight="1">
      <c r="A25" s="7" t="s">
        <v>13</v>
      </c>
      <c r="B25" s="30" t="s">
        <v>387</v>
      </c>
      <c r="C25" s="30" t="s">
        <v>143</v>
      </c>
      <c r="D25" s="27">
        <v>39645.456711138213</v>
      </c>
      <c r="E25" s="28">
        <v>33527.780104033496</v>
      </c>
      <c r="F25" s="27">
        <f t="shared" si="1"/>
        <v>6117.6766071047168</v>
      </c>
      <c r="G25" s="27">
        <f t="shared" si="0"/>
        <v>15.430965146091969</v>
      </c>
      <c r="H25" s="29">
        <v>48</v>
      </c>
      <c r="I25" s="29">
        <v>0</v>
      </c>
      <c r="J25" s="3" t="s">
        <v>14</v>
      </c>
      <c r="K25" s="30">
        <v>40.8780866667</v>
      </c>
      <c r="L25" s="30">
        <v>71.986896666700005</v>
      </c>
      <c r="M25" s="15">
        <v>250</v>
      </c>
    </row>
    <row r="26" spans="1:13" ht="30" customHeight="1">
      <c r="A26" s="7" t="s">
        <v>13</v>
      </c>
      <c r="B26" s="30" t="s">
        <v>388</v>
      </c>
      <c r="C26" s="30" t="s">
        <v>144</v>
      </c>
      <c r="D26" s="27">
        <v>27701.179101138208</v>
      </c>
      <c r="E26" s="28">
        <v>23077.843437366831</v>
      </c>
      <c r="F26" s="27">
        <f t="shared" si="1"/>
        <v>4623.3356637713769</v>
      </c>
      <c r="G26" s="27">
        <f t="shared" si="0"/>
        <v>16.690032026764555</v>
      </c>
      <c r="H26" s="29">
        <v>177</v>
      </c>
      <c r="I26" s="29">
        <v>2</v>
      </c>
      <c r="J26" s="3" t="s">
        <v>14</v>
      </c>
      <c r="K26" s="30">
        <v>40.888159999999999</v>
      </c>
      <c r="L26" s="30">
        <v>72.008324999999999</v>
      </c>
      <c r="M26" s="15">
        <v>100</v>
      </c>
    </row>
    <row r="27" spans="1:13" ht="30" customHeight="1">
      <c r="A27" s="7" t="s">
        <v>13</v>
      </c>
      <c r="B27" s="30" t="s">
        <v>388</v>
      </c>
      <c r="C27" s="30" t="s">
        <v>145</v>
      </c>
      <c r="D27" s="27">
        <v>28934.228451138206</v>
      </c>
      <c r="E27" s="28">
        <v>24156.626770700164</v>
      </c>
      <c r="F27" s="27">
        <f t="shared" si="1"/>
        <v>4777.6016804380415</v>
      </c>
      <c r="G27" s="27">
        <f t="shared" si="0"/>
        <v>16.51193737032273</v>
      </c>
      <c r="H27" s="29">
        <v>105</v>
      </c>
      <c r="I27" s="29">
        <v>0</v>
      </c>
      <c r="J27" s="17" t="s">
        <v>14</v>
      </c>
      <c r="K27" s="30">
        <v>40.879911666700004</v>
      </c>
      <c r="L27" s="30">
        <v>72.022811666699994</v>
      </c>
      <c r="M27" s="15">
        <v>100</v>
      </c>
    </row>
    <row r="28" spans="1:13" ht="30" customHeight="1">
      <c r="A28" s="7" t="s">
        <v>13</v>
      </c>
      <c r="B28" s="30" t="s">
        <v>389</v>
      </c>
      <c r="C28" s="30" t="s">
        <v>146</v>
      </c>
      <c r="D28" s="27">
        <v>29031.524421138212</v>
      </c>
      <c r="E28" s="28">
        <v>24241.750104033494</v>
      </c>
      <c r="F28" s="27">
        <f t="shared" si="1"/>
        <v>4789.7743171047186</v>
      </c>
      <c r="G28" s="27">
        <f t="shared" si="0"/>
        <v>16.49852845349459</v>
      </c>
      <c r="H28" s="29">
        <v>133</v>
      </c>
      <c r="I28" s="29">
        <v>2</v>
      </c>
      <c r="J28" s="3" t="s">
        <v>14</v>
      </c>
      <c r="K28" s="30">
        <v>40.880920000000003</v>
      </c>
      <c r="L28" s="30">
        <v>72.040239999999997</v>
      </c>
      <c r="M28" s="20">
        <v>100</v>
      </c>
    </row>
    <row r="29" spans="1:13" ht="30" customHeight="1">
      <c r="A29" s="7" t="s">
        <v>13</v>
      </c>
      <c r="B29" s="30" t="s">
        <v>389</v>
      </c>
      <c r="C29" s="30" t="s">
        <v>147</v>
      </c>
      <c r="D29" s="27">
        <v>26801.79050113821</v>
      </c>
      <c r="E29" s="28">
        <v>22290.976770700159</v>
      </c>
      <c r="F29" s="27">
        <f t="shared" si="1"/>
        <v>4510.8137304380507</v>
      </c>
      <c r="G29" s="27">
        <f t="shared" si="0"/>
        <v>16.830270090524312</v>
      </c>
      <c r="H29" s="29">
        <v>126</v>
      </c>
      <c r="I29" s="29">
        <v>0</v>
      </c>
      <c r="J29" s="3"/>
      <c r="K29" s="30">
        <v>40.881768333300002</v>
      </c>
      <c r="L29" s="30">
        <v>72.055153333299998</v>
      </c>
      <c r="M29" s="20">
        <v>63</v>
      </c>
    </row>
    <row r="30" spans="1:13" ht="30" customHeight="1">
      <c r="A30" s="7" t="s">
        <v>13</v>
      </c>
      <c r="B30" s="30" t="s">
        <v>389</v>
      </c>
      <c r="C30" s="30" t="s">
        <v>148</v>
      </c>
      <c r="D30" s="27">
        <v>30189.66536113821</v>
      </c>
      <c r="E30" s="28">
        <v>25254.99677070016</v>
      </c>
      <c r="F30" s="27">
        <f t="shared" si="1"/>
        <v>4934.6685904380502</v>
      </c>
      <c r="G30" s="27">
        <f t="shared" si="0"/>
        <v>16.345555776813036</v>
      </c>
      <c r="H30" s="29">
        <v>163</v>
      </c>
      <c r="I30" s="29">
        <v>0</v>
      </c>
      <c r="J30" s="3" t="s">
        <v>20</v>
      </c>
      <c r="K30" s="30">
        <v>40.882671666699999</v>
      </c>
      <c r="L30" s="30">
        <v>72.072426666699997</v>
      </c>
      <c r="M30" s="21">
        <v>100</v>
      </c>
    </row>
    <row r="31" spans="1:13" ht="30" customHeight="1">
      <c r="A31" s="7" t="s">
        <v>13</v>
      </c>
      <c r="B31" s="30" t="s">
        <v>389</v>
      </c>
      <c r="C31" s="30" t="s">
        <v>149</v>
      </c>
      <c r="D31" s="27">
        <v>21873.574551138208</v>
      </c>
      <c r="E31" s="28">
        <v>17979.326770700158</v>
      </c>
      <c r="F31" s="27">
        <f t="shared" si="1"/>
        <v>3894.2477804380505</v>
      </c>
      <c r="G31" s="27">
        <f t="shared" si="0"/>
        <v>17.803435699700991</v>
      </c>
      <c r="H31" s="29">
        <v>19</v>
      </c>
      <c r="I31" s="29">
        <v>0</v>
      </c>
      <c r="J31" s="3" t="s">
        <v>21</v>
      </c>
      <c r="K31" s="30">
        <v>40.877465000000001</v>
      </c>
      <c r="L31" s="30">
        <v>72.08811</v>
      </c>
      <c r="M31" s="15">
        <v>100</v>
      </c>
    </row>
    <row r="32" spans="1:13" ht="30" customHeight="1">
      <c r="A32" s="7" t="s">
        <v>13</v>
      </c>
      <c r="B32" s="30" t="s">
        <v>389</v>
      </c>
      <c r="C32" s="30" t="s">
        <v>150</v>
      </c>
      <c r="D32" s="27">
        <v>27909.429891138207</v>
      </c>
      <c r="E32" s="28">
        <v>23260.040104033495</v>
      </c>
      <c r="F32" s="27">
        <f t="shared" si="1"/>
        <v>4649.389787104712</v>
      </c>
      <c r="G32" s="27">
        <f t="shared" si="0"/>
        <v>16.658849017123725</v>
      </c>
      <c r="H32" s="29">
        <v>84</v>
      </c>
      <c r="I32" s="29">
        <v>2</v>
      </c>
      <c r="J32" s="3" t="s">
        <v>15</v>
      </c>
      <c r="K32" s="30">
        <v>40.879755000000003</v>
      </c>
      <c r="L32" s="30">
        <v>72.084291666699997</v>
      </c>
      <c r="M32" s="15">
        <v>100</v>
      </c>
    </row>
    <row r="33" spans="1:13" ht="30" customHeight="1">
      <c r="A33" s="7" t="s">
        <v>13</v>
      </c>
      <c r="B33" s="30" t="s">
        <v>390</v>
      </c>
      <c r="C33" s="30" t="s">
        <v>151</v>
      </c>
      <c r="D33" s="27">
        <v>28525.937421138213</v>
      </c>
      <c r="E33" s="28">
        <v>23799.416770700165</v>
      </c>
      <c r="F33" s="27">
        <f t="shared" si="1"/>
        <v>4726.5206504380476</v>
      </c>
      <c r="G33" s="27">
        <f t="shared" si="0"/>
        <v>16.56920360112553</v>
      </c>
      <c r="H33" s="29">
        <v>110</v>
      </c>
      <c r="I33" s="29">
        <v>4</v>
      </c>
      <c r="J33" s="3" t="s">
        <v>22</v>
      </c>
      <c r="K33" s="30">
        <v>40.874026666699997</v>
      </c>
      <c r="L33" s="30">
        <v>72.094549999999998</v>
      </c>
      <c r="M33" s="15">
        <v>160</v>
      </c>
    </row>
    <row r="34" spans="1:13" ht="30" customHeight="1">
      <c r="A34" s="7" t="s">
        <v>13</v>
      </c>
      <c r="B34" s="30" t="s">
        <v>390</v>
      </c>
      <c r="C34" s="30" t="s">
        <v>152</v>
      </c>
      <c r="D34" s="27">
        <v>23888.321601138203</v>
      </c>
      <c r="E34" s="28">
        <v>19742.010104033492</v>
      </c>
      <c r="F34" s="27">
        <f t="shared" si="1"/>
        <v>4146.3114971047107</v>
      </c>
      <c r="G34" s="27">
        <f t="shared" si="0"/>
        <v>17.357064955568717</v>
      </c>
      <c r="H34" s="29">
        <v>101</v>
      </c>
      <c r="I34" s="29">
        <v>0</v>
      </c>
      <c r="J34" s="3" t="s">
        <v>23</v>
      </c>
      <c r="K34" s="30">
        <v>40.863348333300003</v>
      </c>
      <c r="L34" s="30">
        <v>72.082953333299997</v>
      </c>
      <c r="M34" s="15">
        <v>160</v>
      </c>
    </row>
    <row r="35" spans="1:13" ht="30" customHeight="1">
      <c r="A35" s="7" t="s">
        <v>13</v>
      </c>
      <c r="B35" s="30" t="s">
        <v>391</v>
      </c>
      <c r="C35" s="30" t="s">
        <v>153</v>
      </c>
      <c r="D35" s="27">
        <v>22606.649031138211</v>
      </c>
      <c r="E35" s="28">
        <v>18620.686770700158</v>
      </c>
      <c r="F35" s="27">
        <f t="shared" si="1"/>
        <v>3985.9622604380529</v>
      </c>
      <c r="G35" s="27">
        <f t="shared" si="0"/>
        <v>17.631813786058348</v>
      </c>
      <c r="H35" s="29">
        <v>87</v>
      </c>
      <c r="I35" s="29">
        <v>3</v>
      </c>
      <c r="J35" s="3" t="s">
        <v>23</v>
      </c>
      <c r="K35" s="30">
        <v>40.848415000000003</v>
      </c>
      <c r="L35" s="30">
        <v>72.071595000000002</v>
      </c>
      <c r="M35" s="15">
        <v>63</v>
      </c>
    </row>
    <row r="36" spans="1:13" ht="30" customHeight="1">
      <c r="A36" s="7" t="s">
        <v>13</v>
      </c>
      <c r="B36" s="30" t="s">
        <v>390</v>
      </c>
      <c r="C36" s="30" t="s">
        <v>154</v>
      </c>
      <c r="D36" s="27">
        <v>35073.098571138216</v>
      </c>
      <c r="E36" s="28">
        <v>29527.466770700161</v>
      </c>
      <c r="F36" s="27">
        <f t="shared" si="1"/>
        <v>5545.6318004380555</v>
      </c>
      <c r="G36" s="27">
        <f t="shared" si="0"/>
        <v>15.811639194609329</v>
      </c>
      <c r="H36" s="29">
        <v>216</v>
      </c>
      <c r="I36" s="29">
        <v>5</v>
      </c>
      <c r="J36" s="3" t="s">
        <v>18</v>
      </c>
      <c r="K36" s="30">
        <v>40.8672316667</v>
      </c>
      <c r="L36" s="30">
        <v>72.104288333300005</v>
      </c>
      <c r="M36" s="15">
        <v>100</v>
      </c>
    </row>
    <row r="37" spans="1:13" ht="30" customHeight="1">
      <c r="A37" s="7" t="s">
        <v>13</v>
      </c>
      <c r="B37" s="30" t="s">
        <v>390</v>
      </c>
      <c r="C37" s="30" t="s">
        <v>155</v>
      </c>
      <c r="D37" s="27">
        <v>29860.702341138214</v>
      </c>
      <c r="E37" s="28">
        <v>24967.190104033496</v>
      </c>
      <c r="F37" s="27">
        <f t="shared" si="1"/>
        <v>4893.5122371047182</v>
      </c>
      <c r="G37" s="27">
        <f t="shared" si="0"/>
        <v>16.387800197060567</v>
      </c>
      <c r="H37" s="29">
        <v>99</v>
      </c>
      <c r="I37" s="29">
        <v>2</v>
      </c>
      <c r="J37" s="3" t="s">
        <v>14</v>
      </c>
      <c r="K37" s="30">
        <v>40.875253333300002</v>
      </c>
      <c r="L37" s="30">
        <v>72.108715000000004</v>
      </c>
      <c r="M37" s="15">
        <v>100</v>
      </c>
    </row>
    <row r="38" spans="1:13" ht="30" customHeight="1">
      <c r="A38" s="7" t="s">
        <v>13</v>
      </c>
      <c r="B38" s="30" t="s">
        <v>390</v>
      </c>
      <c r="C38" s="30" t="s">
        <v>156</v>
      </c>
      <c r="D38" s="27">
        <v>22518.897111138209</v>
      </c>
      <c r="E38" s="28">
        <v>18543.913437366824</v>
      </c>
      <c r="F38" s="27">
        <f t="shared" si="1"/>
        <v>3974.9836737713849</v>
      </c>
      <c r="G38" s="27">
        <f t="shared" si="0"/>
        <v>17.651768886164916</v>
      </c>
      <c r="H38" s="29">
        <v>107</v>
      </c>
      <c r="I38" s="29">
        <v>0</v>
      </c>
      <c r="J38" s="3" t="s">
        <v>23</v>
      </c>
      <c r="K38" s="30">
        <v>40.867996666700002</v>
      </c>
      <c r="L38" s="30">
        <v>72.122466666700006</v>
      </c>
      <c r="M38" s="15">
        <v>40</v>
      </c>
    </row>
    <row r="39" spans="1:13" ht="30" customHeight="1">
      <c r="A39" s="7" t="s">
        <v>13</v>
      </c>
      <c r="B39" s="30" t="s">
        <v>390</v>
      </c>
      <c r="C39" s="30" t="s">
        <v>157</v>
      </c>
      <c r="D39" s="27">
        <v>23998.461081138208</v>
      </c>
      <c r="E39" s="28">
        <v>19838.370104033493</v>
      </c>
      <c r="F39" s="27">
        <f t="shared" si="1"/>
        <v>4160.0909771047154</v>
      </c>
      <c r="G39" s="27">
        <f t="shared" si="0"/>
        <v>17.33482394158338</v>
      </c>
      <c r="H39" s="29">
        <v>139</v>
      </c>
      <c r="I39" s="29">
        <v>2</v>
      </c>
      <c r="J39" s="3" t="s">
        <v>24</v>
      </c>
      <c r="K39" s="30">
        <v>40.856453333300003</v>
      </c>
      <c r="L39" s="30">
        <v>72.136276666699999</v>
      </c>
      <c r="M39" s="15">
        <v>100</v>
      </c>
    </row>
    <row r="40" spans="1:13" ht="30" customHeight="1">
      <c r="A40" s="7" t="s">
        <v>13</v>
      </c>
      <c r="B40" s="30" t="s">
        <v>390</v>
      </c>
      <c r="C40" s="30" t="s">
        <v>158</v>
      </c>
      <c r="D40" s="27">
        <v>29020.250631138213</v>
      </c>
      <c r="E40" s="28">
        <v>24231.886770700159</v>
      </c>
      <c r="F40" s="27">
        <f t="shared" si="1"/>
        <v>4788.363860438054</v>
      </c>
      <c r="G40" s="27">
        <f t="shared" si="0"/>
        <v>16.500077553776276</v>
      </c>
      <c r="H40" s="29">
        <v>171</v>
      </c>
      <c r="I40" s="29">
        <v>2</v>
      </c>
      <c r="J40" s="3" t="s">
        <v>24</v>
      </c>
      <c r="K40" s="30">
        <v>40.848101666700003</v>
      </c>
      <c r="L40" s="30">
        <v>72.161588333300003</v>
      </c>
      <c r="M40" s="15">
        <v>100</v>
      </c>
    </row>
    <row r="41" spans="1:13" ht="30" customHeight="1">
      <c r="A41" s="5" t="s">
        <v>45</v>
      </c>
      <c r="B41" s="30" t="s">
        <v>392</v>
      </c>
      <c r="C41" s="30" t="s">
        <v>159</v>
      </c>
      <c r="D41" s="27">
        <v>22487.38841113821</v>
      </c>
      <c r="E41" s="28">
        <v>18516.346770700158</v>
      </c>
      <c r="F41" s="27">
        <f t="shared" si="1"/>
        <v>3971.0416404380521</v>
      </c>
      <c r="G41" s="27">
        <f t="shared" si="0"/>
        <v>17.658972077305155</v>
      </c>
      <c r="H41" s="29">
        <v>87</v>
      </c>
      <c r="I41" s="29">
        <v>3</v>
      </c>
      <c r="J41" s="3" t="s">
        <v>21</v>
      </c>
      <c r="K41" s="30">
        <v>40.823746666700004</v>
      </c>
      <c r="L41" s="30">
        <v>72.162056666699996</v>
      </c>
      <c r="M41" s="15">
        <v>160</v>
      </c>
    </row>
    <row r="42" spans="1:13" ht="30" customHeight="1">
      <c r="A42" s="7" t="s">
        <v>13</v>
      </c>
      <c r="B42" s="30" t="s">
        <v>391</v>
      </c>
      <c r="C42" s="30" t="s">
        <v>160</v>
      </c>
      <c r="D42" s="27">
        <v>26530.076541138209</v>
      </c>
      <c r="E42" s="28">
        <v>22053.256770700158</v>
      </c>
      <c r="F42" s="27">
        <f t="shared" si="1"/>
        <v>4476.8197704380509</v>
      </c>
      <c r="G42" s="27">
        <f t="shared" si="0"/>
        <v>16.874507555589524</v>
      </c>
      <c r="H42" s="29">
        <v>99</v>
      </c>
      <c r="I42" s="29">
        <v>2</v>
      </c>
      <c r="J42" s="3" t="s">
        <v>19</v>
      </c>
      <c r="K42" s="30">
        <v>40.8202666667</v>
      </c>
      <c r="L42" s="30">
        <v>72.1321616667</v>
      </c>
      <c r="M42" s="20">
        <v>160</v>
      </c>
    </row>
    <row r="43" spans="1:13" ht="30" customHeight="1">
      <c r="A43" s="7" t="s">
        <v>13</v>
      </c>
      <c r="B43" s="30" t="s">
        <v>391</v>
      </c>
      <c r="C43" s="30" t="s">
        <v>161</v>
      </c>
      <c r="D43" s="27">
        <v>28690.975191138208</v>
      </c>
      <c r="E43" s="28">
        <v>23943.806770700157</v>
      </c>
      <c r="F43" s="27">
        <f t="shared" si="1"/>
        <v>4747.1684204380508</v>
      </c>
      <c r="G43" s="27">
        <f t="shared" si="0"/>
        <v>16.545859416811702</v>
      </c>
      <c r="H43" s="29">
        <v>131</v>
      </c>
      <c r="I43" s="29">
        <v>2</v>
      </c>
      <c r="J43" s="3" t="s">
        <v>21</v>
      </c>
      <c r="K43" s="30">
        <v>40.829568333300003</v>
      </c>
      <c r="L43" s="30">
        <v>72.120596666699996</v>
      </c>
      <c r="M43" s="20">
        <v>160</v>
      </c>
    </row>
    <row r="44" spans="1:13" ht="30" customHeight="1">
      <c r="A44" s="7" t="s">
        <v>13</v>
      </c>
      <c r="B44" s="30" t="s">
        <v>391</v>
      </c>
      <c r="C44" s="30" t="s">
        <v>162</v>
      </c>
      <c r="D44" s="27">
        <v>30287.155641138208</v>
      </c>
      <c r="E44" s="28">
        <v>25340.290104033495</v>
      </c>
      <c r="F44" s="27">
        <f t="shared" si="1"/>
        <v>4946.8655371047134</v>
      </c>
      <c r="G44" s="27">
        <f t="shared" si="0"/>
        <v>16.333212651984798</v>
      </c>
      <c r="H44" s="29">
        <v>166</v>
      </c>
      <c r="I44" s="29">
        <v>2</v>
      </c>
      <c r="J44" s="3" t="s">
        <v>21</v>
      </c>
      <c r="K44" s="30">
        <v>40.815874208499999</v>
      </c>
      <c r="L44" s="30">
        <v>72.111179034499997</v>
      </c>
      <c r="M44" s="20">
        <v>100</v>
      </c>
    </row>
    <row r="45" spans="1:13" ht="30" customHeight="1">
      <c r="A45" s="7" t="s">
        <v>13</v>
      </c>
      <c r="B45" s="30" t="s">
        <v>388</v>
      </c>
      <c r="C45" s="30" t="s">
        <v>163</v>
      </c>
      <c r="D45" s="27">
        <v>65164.627161138196</v>
      </c>
      <c r="E45" s="28">
        <v>55854.263437366819</v>
      </c>
      <c r="F45" s="27">
        <f t="shared" si="1"/>
        <v>9310.3637237713774</v>
      </c>
      <c r="G45" s="27">
        <f t="shared" si="0"/>
        <v>14.287450307586106</v>
      </c>
      <c r="H45" s="29">
        <v>145</v>
      </c>
      <c r="I45" s="29">
        <v>0</v>
      </c>
      <c r="J45" s="3" t="s">
        <v>21</v>
      </c>
      <c r="K45" s="30">
        <v>40.875643333299998</v>
      </c>
      <c r="L45" s="30">
        <v>72.000879999999995</v>
      </c>
      <c r="M45" s="20">
        <v>160</v>
      </c>
    </row>
    <row r="46" spans="1:13" ht="30" customHeight="1">
      <c r="A46" s="7" t="s">
        <v>13</v>
      </c>
      <c r="B46" s="30" t="s">
        <v>388</v>
      </c>
      <c r="C46" s="30" t="s">
        <v>164</v>
      </c>
      <c r="D46" s="27">
        <v>25025.789481138207</v>
      </c>
      <c r="E46" s="28">
        <v>20737.170104033492</v>
      </c>
      <c r="F46" s="27">
        <f t="shared" si="1"/>
        <v>4288.6193771047147</v>
      </c>
      <c r="G46" s="27">
        <f t="shared" si="0"/>
        <v>17.136799541676886</v>
      </c>
      <c r="H46" s="29">
        <v>84</v>
      </c>
      <c r="I46" s="29">
        <v>3</v>
      </c>
      <c r="J46" s="3" t="s">
        <v>20</v>
      </c>
      <c r="K46" s="30">
        <v>40.88138</v>
      </c>
      <c r="L46" s="30">
        <v>72.003778333300005</v>
      </c>
      <c r="M46" s="20">
        <v>63</v>
      </c>
    </row>
    <row r="47" spans="1:13" ht="30" customHeight="1">
      <c r="A47" s="7" t="s">
        <v>13</v>
      </c>
      <c r="B47" s="30" t="s">
        <v>389</v>
      </c>
      <c r="C47" s="30" t="s">
        <v>165</v>
      </c>
      <c r="D47" s="27">
        <v>27873.871161138202</v>
      </c>
      <c r="E47" s="28">
        <v>23228.930104033494</v>
      </c>
      <c r="F47" s="27">
        <f t="shared" si="1"/>
        <v>4644.9410571047083</v>
      </c>
      <c r="G47" s="27">
        <f t="shared" si="0"/>
        <v>16.664140514435228</v>
      </c>
      <c r="H47" s="29">
        <v>118</v>
      </c>
      <c r="I47" s="29">
        <v>0</v>
      </c>
      <c r="J47" s="3" t="s">
        <v>20</v>
      </c>
      <c r="K47" s="30">
        <v>40.871155000000002</v>
      </c>
      <c r="L47" s="30">
        <v>72.043671666700007</v>
      </c>
      <c r="M47" s="20">
        <v>400</v>
      </c>
    </row>
    <row r="48" spans="1:13" ht="30" customHeight="1">
      <c r="A48" s="5" t="s">
        <v>45</v>
      </c>
      <c r="B48" s="30" t="s">
        <v>392</v>
      </c>
      <c r="C48" s="30" t="s">
        <v>166</v>
      </c>
      <c r="D48" s="27">
        <v>22467.465921138206</v>
      </c>
      <c r="E48" s="28">
        <v>18498.916770700158</v>
      </c>
      <c r="F48" s="27">
        <f t="shared" si="1"/>
        <v>3968.5491504380479</v>
      </c>
      <c r="G48" s="27">
        <f t="shared" si="0"/>
        <v>17.663536975499731</v>
      </c>
      <c r="H48" s="29">
        <v>73</v>
      </c>
      <c r="I48" s="29">
        <v>0</v>
      </c>
      <c r="J48" s="3" t="s">
        <v>20</v>
      </c>
      <c r="K48" s="30">
        <v>40.820733333200003</v>
      </c>
      <c r="L48" s="30">
        <v>72.163296666700006</v>
      </c>
      <c r="M48" s="20">
        <v>160</v>
      </c>
    </row>
    <row r="49" spans="1:13" ht="30" customHeight="1">
      <c r="A49" s="5" t="s">
        <v>45</v>
      </c>
      <c r="B49" s="30" t="s">
        <v>392</v>
      </c>
      <c r="C49" s="30" t="s">
        <v>167</v>
      </c>
      <c r="D49" s="27">
        <v>26293.517451138207</v>
      </c>
      <c r="E49" s="28">
        <v>21846.293437366825</v>
      </c>
      <c r="F49" s="27">
        <f t="shared" si="1"/>
        <v>4447.2240137713816</v>
      </c>
      <c r="G49" s="27">
        <f t="shared" si="0"/>
        <v>16.913765995879977</v>
      </c>
      <c r="H49" s="29">
        <v>98</v>
      </c>
      <c r="I49" s="29">
        <v>2</v>
      </c>
      <c r="J49" s="3" t="s">
        <v>25</v>
      </c>
      <c r="K49" s="30">
        <v>40.834948405699997</v>
      </c>
      <c r="L49" s="30">
        <v>72.194619056400001</v>
      </c>
      <c r="M49" s="20">
        <v>250</v>
      </c>
    </row>
    <row r="50" spans="1:13" ht="30" customHeight="1">
      <c r="A50" s="7" t="s">
        <v>13</v>
      </c>
      <c r="B50" s="30" t="s">
        <v>386</v>
      </c>
      <c r="C50" s="30" t="s">
        <v>168</v>
      </c>
      <c r="D50" s="27">
        <v>32051.50758613821</v>
      </c>
      <c r="E50" s="28">
        <v>26883.9051040335</v>
      </c>
      <c r="F50" s="27">
        <f t="shared" si="1"/>
        <v>5167.6024821047104</v>
      </c>
      <c r="G50" s="27">
        <f t="shared" si="0"/>
        <v>16.122806293016993</v>
      </c>
      <c r="H50" s="29">
        <v>159</v>
      </c>
      <c r="I50" s="29">
        <v>0</v>
      </c>
      <c r="J50" s="3" t="s">
        <v>25</v>
      </c>
      <c r="K50" s="30">
        <v>40.878189999999996</v>
      </c>
      <c r="L50" s="30">
        <v>71.958991666700001</v>
      </c>
      <c r="M50" s="20">
        <v>160</v>
      </c>
    </row>
    <row r="51" spans="1:13" ht="30" customHeight="1">
      <c r="A51" s="7" t="s">
        <v>13</v>
      </c>
      <c r="B51" s="30" t="s">
        <v>386</v>
      </c>
      <c r="C51" s="30" t="s">
        <v>169</v>
      </c>
      <c r="D51" s="27">
        <v>28063.121481138212</v>
      </c>
      <c r="E51" s="28">
        <v>23394.503437366828</v>
      </c>
      <c r="F51" s="27">
        <f t="shared" si="1"/>
        <v>4668.6180437713847</v>
      </c>
      <c r="G51" s="27">
        <f t="shared" si="0"/>
        <v>16.636132394998384</v>
      </c>
      <c r="H51" s="29">
        <v>114</v>
      </c>
      <c r="I51" s="29">
        <v>2</v>
      </c>
      <c r="J51" s="3" t="s">
        <v>22</v>
      </c>
      <c r="K51" s="30">
        <v>40.870921666699999</v>
      </c>
      <c r="L51" s="30">
        <v>71.95438</v>
      </c>
      <c r="M51" s="20">
        <v>250</v>
      </c>
    </row>
    <row r="52" spans="1:13" ht="30" customHeight="1">
      <c r="A52" s="7" t="s">
        <v>13</v>
      </c>
      <c r="B52" s="30" t="s">
        <v>390</v>
      </c>
      <c r="C52" s="30" t="s">
        <v>170</v>
      </c>
      <c r="D52" s="27">
        <v>24687.320511138205</v>
      </c>
      <c r="E52" s="28">
        <v>20441.046770700159</v>
      </c>
      <c r="F52" s="27">
        <f t="shared" si="1"/>
        <v>4246.2737404380459</v>
      </c>
      <c r="G52" s="27">
        <f t="shared" si="0"/>
        <v>17.200221216888444</v>
      </c>
      <c r="H52" s="29">
        <v>76</v>
      </c>
      <c r="I52" s="29">
        <v>0</v>
      </c>
      <c r="J52" s="3" t="s">
        <v>22</v>
      </c>
      <c r="K52" s="30">
        <v>40.872001666700001</v>
      </c>
      <c r="L52" s="30">
        <v>72.092106666700005</v>
      </c>
      <c r="M52" s="20">
        <v>160</v>
      </c>
    </row>
    <row r="53" spans="1:13" ht="30" customHeight="1">
      <c r="A53" s="7" t="s">
        <v>13</v>
      </c>
      <c r="B53" s="30" t="s">
        <v>386</v>
      </c>
      <c r="C53" s="30" t="s">
        <v>171</v>
      </c>
      <c r="D53" s="27">
        <v>26859.851091138204</v>
      </c>
      <c r="E53" s="28">
        <v>22341.773437366825</v>
      </c>
      <c r="F53" s="27">
        <f t="shared" si="1"/>
        <v>4518.0776537713791</v>
      </c>
      <c r="G53" s="27">
        <f t="shared" si="0"/>
        <v>16.820933364228576</v>
      </c>
      <c r="H53" s="29">
        <v>119</v>
      </c>
      <c r="I53" s="29">
        <v>0</v>
      </c>
      <c r="J53" s="3" t="s">
        <v>22</v>
      </c>
      <c r="K53" s="30">
        <v>40.872906666699997</v>
      </c>
      <c r="L53" s="30">
        <v>71.953943333300003</v>
      </c>
      <c r="M53" s="20">
        <v>40</v>
      </c>
    </row>
    <row r="54" spans="1:13" ht="30" customHeight="1">
      <c r="A54" s="7" t="s">
        <v>13</v>
      </c>
      <c r="B54" s="30" t="s">
        <v>384</v>
      </c>
      <c r="C54" s="30" t="s">
        <v>101</v>
      </c>
      <c r="D54" s="27">
        <v>25437.947661138205</v>
      </c>
      <c r="E54" s="28">
        <v>21097.763437366826</v>
      </c>
      <c r="F54" s="27">
        <f t="shared" si="1"/>
        <v>4340.184223771379</v>
      </c>
      <c r="G54" s="27">
        <f t="shared" si="0"/>
        <v>17.061849020162583</v>
      </c>
      <c r="H54" s="29">
        <v>77</v>
      </c>
      <c r="I54" s="29">
        <v>2</v>
      </c>
      <c r="J54" s="3" t="s">
        <v>17</v>
      </c>
      <c r="K54" s="30">
        <v>40.877846666700002</v>
      </c>
      <c r="L54" s="30">
        <v>71.933464999999998</v>
      </c>
      <c r="M54" s="20">
        <v>63</v>
      </c>
    </row>
    <row r="55" spans="1:13" ht="30" customHeight="1">
      <c r="A55" s="7" t="s">
        <v>13</v>
      </c>
      <c r="B55" s="30" t="s">
        <v>386</v>
      </c>
      <c r="C55" s="30" t="s">
        <v>172</v>
      </c>
      <c r="D55" s="27">
        <v>27248.391081138208</v>
      </c>
      <c r="E55" s="28">
        <v>22681.703437366825</v>
      </c>
      <c r="F55" s="27">
        <f t="shared" si="1"/>
        <v>4566.6876437713836</v>
      </c>
      <c r="G55" s="27">
        <f t="shared" si="0"/>
        <v>16.759476294116027</v>
      </c>
      <c r="H55" s="29">
        <v>107</v>
      </c>
      <c r="I55" s="29">
        <v>2</v>
      </c>
      <c r="J55" s="3" t="s">
        <v>17</v>
      </c>
      <c r="K55" s="30">
        <v>40.873988333299998</v>
      </c>
      <c r="L55" s="30">
        <v>71.962540000000004</v>
      </c>
      <c r="M55" s="20">
        <v>100</v>
      </c>
    </row>
    <row r="56" spans="1:13" ht="30" customHeight="1">
      <c r="A56" s="7" t="s">
        <v>13</v>
      </c>
      <c r="B56" s="30" t="s">
        <v>386</v>
      </c>
      <c r="C56" s="30" t="s">
        <v>173</v>
      </c>
      <c r="D56" s="27">
        <v>22566.270651138209</v>
      </c>
      <c r="E56" s="28">
        <v>18585.360104033491</v>
      </c>
      <c r="F56" s="27">
        <f t="shared" si="1"/>
        <v>3980.9105471047187</v>
      </c>
      <c r="G56" s="27">
        <f t="shared" si="0"/>
        <v>17.640976697688981</v>
      </c>
      <c r="H56" s="29">
        <v>37</v>
      </c>
      <c r="I56" s="29">
        <v>0</v>
      </c>
      <c r="J56" s="3" t="s">
        <v>27</v>
      </c>
      <c r="K56" s="30">
        <v>40.870921666500003</v>
      </c>
      <c r="L56" s="30">
        <v>71.95438</v>
      </c>
      <c r="M56" s="20">
        <v>160</v>
      </c>
    </row>
    <row r="57" spans="1:13" ht="30" customHeight="1">
      <c r="A57" s="7" t="s">
        <v>13</v>
      </c>
      <c r="B57" s="30" t="s">
        <v>386</v>
      </c>
      <c r="C57" s="30" t="s">
        <v>174</v>
      </c>
      <c r="D57" s="27">
        <v>29790.956481138212</v>
      </c>
      <c r="E57" s="28">
        <v>24906.170104033492</v>
      </c>
      <c r="F57" s="27">
        <f t="shared" si="1"/>
        <v>4884.7863771047196</v>
      </c>
      <c r="G57" s="27">
        <f t="shared" si="0"/>
        <v>16.396876616557996</v>
      </c>
      <c r="H57" s="29">
        <v>73</v>
      </c>
      <c r="I57" s="29">
        <v>0</v>
      </c>
      <c r="J57" s="3" t="s">
        <v>28</v>
      </c>
      <c r="K57" s="30">
        <v>40.875286666699999</v>
      </c>
      <c r="L57" s="30">
        <v>71.9537066667</v>
      </c>
      <c r="M57" s="20">
        <v>100</v>
      </c>
    </row>
    <row r="58" spans="1:13" ht="30" customHeight="1">
      <c r="A58" s="7" t="s">
        <v>13</v>
      </c>
      <c r="B58" s="30" t="s">
        <v>384</v>
      </c>
      <c r="C58" s="30" t="s">
        <v>107</v>
      </c>
      <c r="D58" s="27">
        <v>26451.499101138208</v>
      </c>
      <c r="E58" s="28">
        <v>21984.510104033492</v>
      </c>
      <c r="F58" s="27">
        <f t="shared" si="1"/>
        <v>4466.988997104716</v>
      </c>
      <c r="G58" s="27">
        <f t="shared" si="0"/>
        <v>16.887470082602999</v>
      </c>
      <c r="H58" s="29">
        <v>89</v>
      </c>
      <c r="I58" s="29">
        <v>0</v>
      </c>
      <c r="J58" s="3" t="s">
        <v>25</v>
      </c>
      <c r="K58" s="30">
        <v>40.870680129199997</v>
      </c>
      <c r="L58" s="30">
        <v>71.958324657800006</v>
      </c>
      <c r="M58" s="20">
        <v>100</v>
      </c>
    </row>
    <row r="59" spans="1:13" ht="30" customHeight="1">
      <c r="A59" s="7" t="s">
        <v>13</v>
      </c>
      <c r="B59" s="30" t="s">
        <v>384</v>
      </c>
      <c r="C59" s="30" t="s">
        <v>113</v>
      </c>
      <c r="D59" s="27">
        <v>32295.66953113821</v>
      </c>
      <c r="E59" s="28">
        <v>27097.520104033498</v>
      </c>
      <c r="F59" s="27">
        <f t="shared" si="1"/>
        <v>5198.1494271047122</v>
      </c>
      <c r="G59" s="27">
        <f t="shared" si="0"/>
        <v>16.095499807157928</v>
      </c>
      <c r="H59" s="29">
        <v>131</v>
      </c>
      <c r="I59" s="29">
        <v>2</v>
      </c>
      <c r="J59" s="3" t="s">
        <v>21</v>
      </c>
      <c r="K59" s="30">
        <v>40.867751666700002</v>
      </c>
      <c r="L59" s="30">
        <v>71.964714999999998</v>
      </c>
      <c r="M59" s="20">
        <v>100</v>
      </c>
    </row>
    <row r="60" spans="1:13" ht="30" customHeight="1">
      <c r="A60" s="7" t="s">
        <v>13</v>
      </c>
      <c r="B60" s="30" t="s">
        <v>384</v>
      </c>
      <c r="C60" s="30" t="s">
        <v>108</v>
      </c>
      <c r="D60" s="27">
        <v>29910.685731138208</v>
      </c>
      <c r="E60" s="28">
        <v>25010.920104033492</v>
      </c>
      <c r="F60" s="27">
        <f t="shared" si="1"/>
        <v>4899.7656271047163</v>
      </c>
      <c r="G60" s="27">
        <f t="shared" si="0"/>
        <v>16.381321615785847</v>
      </c>
      <c r="H60" s="29">
        <v>76</v>
      </c>
      <c r="I60" s="29">
        <v>0</v>
      </c>
      <c r="J60" s="3" t="s">
        <v>21</v>
      </c>
      <c r="K60" s="30">
        <v>40.874960000000002</v>
      </c>
      <c r="L60" s="30">
        <v>71.946984999999998</v>
      </c>
      <c r="M60" s="20">
        <v>63</v>
      </c>
    </row>
    <row r="61" spans="1:13" ht="30" customHeight="1">
      <c r="A61" s="7" t="s">
        <v>13</v>
      </c>
      <c r="B61" s="30" t="s">
        <v>384</v>
      </c>
      <c r="C61" s="30" t="s">
        <v>93</v>
      </c>
      <c r="D61" s="27">
        <v>21731.709201138208</v>
      </c>
      <c r="E61" s="28">
        <v>17855.210104033493</v>
      </c>
      <c r="F61" s="27">
        <f t="shared" si="1"/>
        <v>3876.4990971047155</v>
      </c>
      <c r="G61" s="27">
        <f t="shared" si="0"/>
        <v>17.837985320094756</v>
      </c>
      <c r="H61" s="29">
        <v>25</v>
      </c>
      <c r="I61" s="29">
        <v>2</v>
      </c>
      <c r="J61" s="3" t="s">
        <v>25</v>
      </c>
      <c r="K61" s="30">
        <v>40.879668882099999</v>
      </c>
      <c r="L61" s="30">
        <v>71.946328058800006</v>
      </c>
      <c r="M61" s="14">
        <v>100</v>
      </c>
    </row>
    <row r="62" spans="1:13" ht="30" customHeight="1">
      <c r="A62" s="7" t="s">
        <v>13</v>
      </c>
      <c r="B62" s="30" t="s">
        <v>384</v>
      </c>
      <c r="C62" s="30" t="s">
        <v>92</v>
      </c>
      <c r="D62" s="27">
        <v>26788.017351138209</v>
      </c>
      <c r="E62" s="28">
        <v>22278.926770700156</v>
      </c>
      <c r="F62" s="27">
        <f t="shared" si="1"/>
        <v>4509.0905804380527</v>
      </c>
      <c r="G62" s="27">
        <f t="shared" si="0"/>
        <v>16.832490890732025</v>
      </c>
      <c r="H62" s="29">
        <v>56</v>
      </c>
      <c r="I62" s="29">
        <v>3</v>
      </c>
      <c r="J62" s="3" t="s">
        <v>17</v>
      </c>
      <c r="K62" s="30">
        <v>40.889975940799999</v>
      </c>
      <c r="L62" s="30">
        <v>71.955590816200001</v>
      </c>
      <c r="M62" s="14">
        <v>100</v>
      </c>
    </row>
    <row r="63" spans="1:13" ht="30" customHeight="1">
      <c r="A63" s="7" t="s">
        <v>13</v>
      </c>
      <c r="B63" s="30" t="s">
        <v>387</v>
      </c>
      <c r="C63" s="30" t="s">
        <v>175</v>
      </c>
      <c r="D63" s="27">
        <v>45127.181841138212</v>
      </c>
      <c r="E63" s="28">
        <v>38323.690104033485</v>
      </c>
      <c r="F63" s="27">
        <f t="shared" si="1"/>
        <v>6803.4917371047268</v>
      </c>
      <c r="G63" s="27">
        <f t="shared" si="0"/>
        <v>15.076261046070069</v>
      </c>
      <c r="H63" s="29">
        <v>34</v>
      </c>
      <c r="I63" s="29">
        <v>2</v>
      </c>
      <c r="J63" s="3" t="s">
        <v>28</v>
      </c>
      <c r="K63" s="30">
        <v>40.879336666500002</v>
      </c>
      <c r="L63" s="30">
        <v>71.986581666700005</v>
      </c>
      <c r="M63" s="14">
        <v>100</v>
      </c>
    </row>
    <row r="64" spans="1:13" ht="30" customHeight="1">
      <c r="A64" s="7" t="s">
        <v>13</v>
      </c>
      <c r="B64" s="30" t="s">
        <v>387</v>
      </c>
      <c r="C64" s="30" t="s">
        <v>176</v>
      </c>
      <c r="D64" s="27">
        <v>45203.519001138215</v>
      </c>
      <c r="E64" s="28">
        <v>38390.476770700152</v>
      </c>
      <c r="F64" s="27">
        <f t="shared" si="1"/>
        <v>6813.0422304380627</v>
      </c>
      <c r="G64" s="27">
        <f t="shared" si="0"/>
        <v>15.07192886966723</v>
      </c>
      <c r="H64" s="29">
        <v>152</v>
      </c>
      <c r="I64" s="29">
        <v>0</v>
      </c>
      <c r="J64" s="4" t="s">
        <v>29</v>
      </c>
      <c r="K64" s="30">
        <v>40.884120000000003</v>
      </c>
      <c r="L64" s="30">
        <v>71.971571666700001</v>
      </c>
      <c r="M64" s="14">
        <v>160</v>
      </c>
    </row>
    <row r="65" spans="1:13" ht="30" customHeight="1">
      <c r="A65" s="7" t="s">
        <v>13</v>
      </c>
      <c r="B65" s="30" t="s">
        <v>384</v>
      </c>
      <c r="C65" s="30" t="s">
        <v>111</v>
      </c>
      <c r="D65" s="27">
        <v>28783.596291138212</v>
      </c>
      <c r="E65" s="28">
        <v>24024.840104033497</v>
      </c>
      <c r="F65" s="27">
        <f t="shared" si="1"/>
        <v>4758.7561871047146</v>
      </c>
      <c r="G65" s="27">
        <f t="shared" si="0"/>
        <v>16.532875666303806</v>
      </c>
      <c r="H65" s="29">
        <v>67</v>
      </c>
      <c r="I65" s="29">
        <v>0</v>
      </c>
      <c r="J65" s="4" t="s">
        <v>29</v>
      </c>
      <c r="K65" s="30">
        <v>40.883293333300003</v>
      </c>
      <c r="L65" s="30">
        <v>71.964291666700007</v>
      </c>
      <c r="M65" s="14">
        <v>100</v>
      </c>
    </row>
    <row r="66" spans="1:13" ht="30" customHeight="1">
      <c r="A66" s="7" t="s">
        <v>13</v>
      </c>
      <c r="B66" s="30" t="s">
        <v>388</v>
      </c>
      <c r="C66" s="30" t="s">
        <v>177</v>
      </c>
      <c r="D66" s="27">
        <v>37849.822761138217</v>
      </c>
      <c r="E66" s="28">
        <v>31956.796770700163</v>
      </c>
      <c r="F66" s="27">
        <f t="shared" si="1"/>
        <v>5893.0259904380546</v>
      </c>
      <c r="G66" s="27">
        <f t="shared" si="0"/>
        <v>15.569494281723925</v>
      </c>
      <c r="H66" s="29">
        <v>94</v>
      </c>
      <c r="I66" s="29">
        <v>2</v>
      </c>
      <c r="J66" s="4" t="s">
        <v>29</v>
      </c>
      <c r="K66" s="30">
        <v>40.876348333300001</v>
      </c>
      <c r="L66" s="30">
        <v>71.981988333299995</v>
      </c>
      <c r="M66" s="14">
        <v>100</v>
      </c>
    </row>
    <row r="67" spans="1:13" ht="30" customHeight="1">
      <c r="A67" s="7" t="s">
        <v>13</v>
      </c>
      <c r="B67" s="30" t="s">
        <v>384</v>
      </c>
      <c r="C67" s="30" t="s">
        <v>110</v>
      </c>
      <c r="D67" s="27">
        <v>26804.339391138208</v>
      </c>
      <c r="E67" s="28">
        <v>22293.206770700159</v>
      </c>
      <c r="F67" s="27">
        <f t="shared" si="1"/>
        <v>4511.1326204380493</v>
      </c>
      <c r="G67" s="27">
        <f t="shared" ref="G67:G130" si="2">+F67*100/D67</f>
        <v>16.8298593545248</v>
      </c>
      <c r="H67" s="29">
        <v>80</v>
      </c>
      <c r="I67" s="29">
        <v>2</v>
      </c>
      <c r="J67" s="4" t="s">
        <v>29</v>
      </c>
      <c r="K67" s="30">
        <v>40.883031666699999</v>
      </c>
      <c r="L67" s="30">
        <v>71.961638333300002</v>
      </c>
      <c r="M67" s="14">
        <v>250</v>
      </c>
    </row>
    <row r="68" spans="1:13" ht="30" customHeight="1">
      <c r="A68" s="7" t="s">
        <v>13</v>
      </c>
      <c r="B68" s="30" t="s">
        <v>384</v>
      </c>
      <c r="C68" s="30" t="s">
        <v>119</v>
      </c>
      <c r="D68" s="27">
        <v>33314.791191138218</v>
      </c>
      <c r="E68" s="28">
        <v>27989.140104033493</v>
      </c>
      <c r="F68" s="27">
        <f t="shared" si="1"/>
        <v>5325.6510871047249</v>
      </c>
      <c r="G68" s="27">
        <f t="shared" si="2"/>
        <v>15.985845615989799</v>
      </c>
      <c r="H68" s="29">
        <v>83</v>
      </c>
      <c r="I68" s="29">
        <v>3</v>
      </c>
      <c r="J68" s="4" t="s">
        <v>28</v>
      </c>
      <c r="K68" s="30">
        <v>40.893335</v>
      </c>
      <c r="L68" s="30">
        <v>71.929253333299997</v>
      </c>
      <c r="M68" s="14">
        <v>160</v>
      </c>
    </row>
    <row r="69" spans="1:13" ht="30" customHeight="1">
      <c r="A69" s="7" t="s">
        <v>13</v>
      </c>
      <c r="B69" s="30" t="s">
        <v>384</v>
      </c>
      <c r="C69" s="30" t="s">
        <v>115</v>
      </c>
      <c r="D69" s="27">
        <v>30401.162271138212</v>
      </c>
      <c r="E69" s="28">
        <v>25440.033437366827</v>
      </c>
      <c r="F69" s="27">
        <f t="shared" ref="F69:F132" si="3">+D69-E69</f>
        <v>4961.128833771385</v>
      </c>
      <c r="G69" s="27">
        <f t="shared" si="2"/>
        <v>16.318878829449574</v>
      </c>
      <c r="H69" s="29">
        <v>67</v>
      </c>
      <c r="I69" s="29">
        <v>0</v>
      </c>
      <c r="J69" s="4" t="s">
        <v>28</v>
      </c>
      <c r="K69" s="30">
        <v>40.891123333300001</v>
      </c>
      <c r="L69" s="30">
        <v>71.940986666699999</v>
      </c>
      <c r="M69" s="14">
        <v>100</v>
      </c>
    </row>
    <row r="70" spans="1:13" ht="30" customHeight="1">
      <c r="A70" s="7" t="s">
        <v>13</v>
      </c>
      <c r="B70" s="30" t="s">
        <v>384</v>
      </c>
      <c r="C70" s="30" t="s">
        <v>105</v>
      </c>
      <c r="D70" s="27">
        <v>26108.770551138208</v>
      </c>
      <c r="E70" s="28">
        <v>21684.66010403349</v>
      </c>
      <c r="F70" s="27">
        <f t="shared" si="3"/>
        <v>4424.1104471047183</v>
      </c>
      <c r="G70" s="27">
        <f t="shared" si="2"/>
        <v>16.944920629025368</v>
      </c>
      <c r="H70" s="29">
        <v>33</v>
      </c>
      <c r="I70" s="29">
        <v>2</v>
      </c>
      <c r="J70" s="6" t="s">
        <v>28</v>
      </c>
      <c r="K70" s="30">
        <v>40.880083115799998</v>
      </c>
      <c r="L70" s="30">
        <v>71.942641781600003</v>
      </c>
      <c r="M70" s="14">
        <v>250</v>
      </c>
    </row>
    <row r="71" spans="1:13" ht="30" customHeight="1">
      <c r="A71" s="7" t="s">
        <v>13</v>
      </c>
      <c r="B71" s="30" t="s">
        <v>384</v>
      </c>
      <c r="C71" s="30" t="s">
        <v>98</v>
      </c>
      <c r="D71" s="27">
        <v>28255.476951138207</v>
      </c>
      <c r="E71" s="28">
        <v>23562.793437366829</v>
      </c>
      <c r="F71" s="27">
        <f t="shared" si="3"/>
        <v>4692.6835137713788</v>
      </c>
      <c r="G71" s="27">
        <f t="shared" si="2"/>
        <v>16.608049200112138</v>
      </c>
      <c r="H71" s="29">
        <v>143</v>
      </c>
      <c r="I71" s="29">
        <v>2</v>
      </c>
      <c r="J71" s="6" t="s">
        <v>29</v>
      </c>
      <c r="K71" s="30">
        <v>40.874026666600002</v>
      </c>
      <c r="L71" s="30">
        <v>72.094549999700007</v>
      </c>
      <c r="M71" s="19">
        <v>100</v>
      </c>
    </row>
    <row r="72" spans="1:13" ht="30" customHeight="1">
      <c r="A72" s="5" t="s">
        <v>30</v>
      </c>
      <c r="B72" s="30" t="s">
        <v>386</v>
      </c>
      <c r="C72" s="30" t="s">
        <v>178</v>
      </c>
      <c r="D72" s="27">
        <v>27866.14448113821</v>
      </c>
      <c r="E72" s="28">
        <v>23222.170104033492</v>
      </c>
      <c r="F72" s="27">
        <f t="shared" si="3"/>
        <v>4643.9743771047179</v>
      </c>
      <c r="G72" s="27">
        <f t="shared" si="2"/>
        <v>16.665292108307593</v>
      </c>
      <c r="H72" s="29">
        <v>72</v>
      </c>
      <c r="I72" s="29">
        <v>2</v>
      </c>
      <c r="J72" s="6" t="s">
        <v>31</v>
      </c>
      <c r="K72" s="30">
        <v>40.875187246099998</v>
      </c>
      <c r="L72" s="30">
        <v>71.961364354899999</v>
      </c>
      <c r="M72" s="20">
        <v>60</v>
      </c>
    </row>
    <row r="73" spans="1:13" ht="30" customHeight="1">
      <c r="A73" s="5" t="s">
        <v>30</v>
      </c>
      <c r="B73" s="30" t="s">
        <v>384</v>
      </c>
      <c r="C73" s="30" t="s">
        <v>117</v>
      </c>
      <c r="D73" s="27">
        <v>26088.787101138209</v>
      </c>
      <c r="E73" s="28">
        <v>21667.17677070016</v>
      </c>
      <c r="F73" s="27">
        <f t="shared" si="3"/>
        <v>4421.6103304380485</v>
      </c>
      <c r="G73" s="27">
        <f t="shared" si="2"/>
        <v>16.948316965816865</v>
      </c>
      <c r="H73" s="29">
        <v>35</v>
      </c>
      <c r="I73" s="29">
        <v>0</v>
      </c>
      <c r="J73" s="3" t="s">
        <v>32</v>
      </c>
      <c r="K73" s="30">
        <v>40.876370000000001</v>
      </c>
      <c r="L73" s="30">
        <v>71.934290000000004</v>
      </c>
      <c r="M73" s="20">
        <v>100</v>
      </c>
    </row>
    <row r="74" spans="1:13" ht="30" customHeight="1">
      <c r="A74" s="5" t="s">
        <v>30</v>
      </c>
      <c r="B74" s="30" t="s">
        <v>387</v>
      </c>
      <c r="C74" s="30" t="s">
        <v>179</v>
      </c>
      <c r="D74" s="27">
        <v>22982.722701138209</v>
      </c>
      <c r="E74" s="28">
        <v>18949.710104033493</v>
      </c>
      <c r="F74" s="27">
        <f t="shared" si="3"/>
        <v>4033.0125971047164</v>
      </c>
      <c r="G74" s="27">
        <f t="shared" si="2"/>
        <v>17.548019220999361</v>
      </c>
      <c r="H74" s="29">
        <v>117</v>
      </c>
      <c r="I74" s="29">
        <v>2</v>
      </c>
      <c r="J74" s="3" t="s">
        <v>32</v>
      </c>
      <c r="K74" s="30">
        <v>40.871744999999997</v>
      </c>
      <c r="L74" s="30">
        <v>71.974869999999996</v>
      </c>
      <c r="M74" s="20">
        <v>160</v>
      </c>
    </row>
    <row r="75" spans="1:13" ht="30" customHeight="1">
      <c r="A75" s="5" t="s">
        <v>30</v>
      </c>
      <c r="B75" s="30" t="s">
        <v>387</v>
      </c>
      <c r="C75" s="30" t="s">
        <v>180</v>
      </c>
      <c r="D75" s="27">
        <v>23211.802761138209</v>
      </c>
      <c r="E75" s="28">
        <v>19150.130104033491</v>
      </c>
      <c r="F75" s="27">
        <f t="shared" si="3"/>
        <v>4061.6726571047184</v>
      </c>
      <c r="G75" s="27">
        <f t="shared" si="2"/>
        <v>17.498307645043727</v>
      </c>
      <c r="H75" s="29">
        <v>19</v>
      </c>
      <c r="I75" s="29">
        <v>0</v>
      </c>
      <c r="J75" s="3" t="s">
        <v>32</v>
      </c>
      <c r="K75" s="30">
        <v>40.876070782500001</v>
      </c>
      <c r="L75" s="30">
        <v>71.971403360400004</v>
      </c>
      <c r="M75" s="20">
        <v>250</v>
      </c>
    </row>
    <row r="76" spans="1:13" ht="30" customHeight="1">
      <c r="A76" s="5" t="s">
        <v>30</v>
      </c>
      <c r="B76" s="30" t="s">
        <v>387</v>
      </c>
      <c r="C76" s="30" t="s">
        <v>181</v>
      </c>
      <c r="D76" s="27">
        <v>28972.023651138214</v>
      </c>
      <c r="E76" s="28">
        <v>24189.69343736683</v>
      </c>
      <c r="F76" s="27">
        <f t="shared" si="3"/>
        <v>4782.3302137713836</v>
      </c>
      <c r="G76" s="27">
        <f t="shared" si="2"/>
        <v>16.506717899160286</v>
      </c>
      <c r="H76" s="29">
        <v>68</v>
      </c>
      <c r="I76" s="29">
        <v>0</v>
      </c>
      <c r="J76" s="3" t="s">
        <v>34</v>
      </c>
      <c r="K76" s="30">
        <v>40.882694999999998</v>
      </c>
      <c r="L76" s="30">
        <v>71.966549999999998</v>
      </c>
      <c r="M76" s="20">
        <v>250</v>
      </c>
    </row>
    <row r="77" spans="1:13" ht="30" customHeight="1">
      <c r="A77" s="5" t="s">
        <v>30</v>
      </c>
      <c r="B77" s="30" t="s">
        <v>384</v>
      </c>
      <c r="C77" s="30" t="s">
        <v>104</v>
      </c>
      <c r="D77" s="27">
        <v>26978.593551138205</v>
      </c>
      <c r="E77" s="28">
        <v>22445.66010403349</v>
      </c>
      <c r="F77" s="27">
        <f t="shared" si="3"/>
        <v>4532.933447104715</v>
      </c>
      <c r="G77" s="27">
        <f t="shared" si="2"/>
        <v>16.801963521606464</v>
      </c>
      <c r="H77" s="29">
        <v>103</v>
      </c>
      <c r="I77" s="29">
        <v>0</v>
      </c>
      <c r="J77" s="3" t="s">
        <v>34</v>
      </c>
      <c r="K77" s="30">
        <v>40.881264999999999</v>
      </c>
      <c r="L77" s="30">
        <v>71.952876666700007</v>
      </c>
      <c r="M77" s="20">
        <v>160</v>
      </c>
    </row>
    <row r="78" spans="1:13" ht="30" customHeight="1">
      <c r="A78" s="5" t="s">
        <v>30</v>
      </c>
      <c r="B78" s="30" t="s">
        <v>387</v>
      </c>
      <c r="C78" s="30" t="s">
        <v>182</v>
      </c>
      <c r="D78" s="27">
        <v>33117.036951138216</v>
      </c>
      <c r="E78" s="28">
        <v>27816.126770700164</v>
      </c>
      <c r="F78" s="27">
        <f t="shared" si="3"/>
        <v>5300.9101804380516</v>
      </c>
      <c r="G78" s="27">
        <f t="shared" si="2"/>
        <v>16.006595602919305</v>
      </c>
      <c r="H78" s="29">
        <v>101</v>
      </c>
      <c r="I78" s="29">
        <v>0</v>
      </c>
      <c r="J78" s="3" t="s">
        <v>35</v>
      </c>
      <c r="K78" s="30">
        <v>40.879336666500002</v>
      </c>
      <c r="L78" s="30">
        <v>71.986581666700005</v>
      </c>
      <c r="M78" s="20">
        <v>100</v>
      </c>
    </row>
    <row r="79" spans="1:13" ht="30" customHeight="1">
      <c r="A79" s="5" t="s">
        <v>30</v>
      </c>
      <c r="B79" s="30" t="s">
        <v>387</v>
      </c>
      <c r="C79" s="30" t="s">
        <v>183</v>
      </c>
      <c r="D79" s="27">
        <v>44508.643581138218</v>
      </c>
      <c r="E79" s="28">
        <v>37782.536770700157</v>
      </c>
      <c r="F79" s="27">
        <f t="shared" si="3"/>
        <v>6726.1068104380611</v>
      </c>
      <c r="G79" s="27">
        <f t="shared" si="2"/>
        <v>15.111911460920002</v>
      </c>
      <c r="H79" s="29">
        <v>112</v>
      </c>
      <c r="I79" s="29">
        <v>3</v>
      </c>
      <c r="J79" s="3" t="s">
        <v>36</v>
      </c>
      <c r="K79" s="30">
        <v>40.874789999999997</v>
      </c>
      <c r="L79" s="30">
        <v>71.973321666700002</v>
      </c>
      <c r="M79" s="20">
        <v>160</v>
      </c>
    </row>
    <row r="80" spans="1:13" ht="30" customHeight="1">
      <c r="A80" s="5" t="s">
        <v>30</v>
      </c>
      <c r="B80" s="30" t="s">
        <v>387</v>
      </c>
      <c r="C80" s="30" t="s">
        <v>184</v>
      </c>
      <c r="D80" s="27">
        <v>24562.619211138204</v>
      </c>
      <c r="E80" s="28">
        <v>20331.946770700157</v>
      </c>
      <c r="F80" s="27">
        <f t="shared" si="3"/>
        <v>4230.6724404380475</v>
      </c>
      <c r="G80" s="27">
        <f t="shared" si="2"/>
        <v>17.224028122048157</v>
      </c>
      <c r="H80" s="29">
        <v>62</v>
      </c>
      <c r="I80" s="29">
        <v>2</v>
      </c>
      <c r="J80" s="3" t="s">
        <v>37</v>
      </c>
      <c r="K80" s="30">
        <v>40.870626666699998</v>
      </c>
      <c r="L80" s="30">
        <v>72.030681666700005</v>
      </c>
      <c r="M80" s="20">
        <v>160</v>
      </c>
    </row>
    <row r="81" spans="1:13" ht="30" customHeight="1">
      <c r="A81" s="5" t="s">
        <v>30</v>
      </c>
      <c r="B81" s="30" t="s">
        <v>387</v>
      </c>
      <c r="C81" s="30" t="s">
        <v>185</v>
      </c>
      <c r="D81" s="27">
        <v>25839.213051138206</v>
      </c>
      <c r="E81" s="28">
        <v>21448.826770700158</v>
      </c>
      <c r="F81" s="27">
        <f t="shared" si="3"/>
        <v>4390.3862804380478</v>
      </c>
      <c r="G81" s="27">
        <f t="shared" si="2"/>
        <v>16.991176440819096</v>
      </c>
      <c r="H81" s="29">
        <v>100</v>
      </c>
      <c r="I81" s="29">
        <v>2</v>
      </c>
      <c r="J81" s="3" t="s">
        <v>38</v>
      </c>
      <c r="K81" s="30">
        <v>40.885669999999998</v>
      </c>
      <c r="L81" s="30">
        <v>71.975136666699996</v>
      </c>
      <c r="M81" s="20">
        <v>160</v>
      </c>
    </row>
    <row r="82" spans="1:13" ht="30" customHeight="1">
      <c r="A82" s="7" t="s">
        <v>13</v>
      </c>
      <c r="B82" s="30" t="s">
        <v>387</v>
      </c>
      <c r="C82" s="30" t="s">
        <v>186</v>
      </c>
      <c r="D82" s="27">
        <v>23960.079141138202</v>
      </c>
      <c r="E82" s="28">
        <v>19804.790104033491</v>
      </c>
      <c r="F82" s="27">
        <f t="shared" si="3"/>
        <v>4155.2890371047106</v>
      </c>
      <c r="G82" s="27">
        <f t="shared" si="2"/>
        <v>17.342551385693451</v>
      </c>
      <c r="H82" s="29">
        <v>84</v>
      </c>
      <c r="I82" s="29">
        <v>3</v>
      </c>
      <c r="J82" s="3" t="s">
        <v>23</v>
      </c>
      <c r="K82" s="30">
        <v>40.875881666700003</v>
      </c>
      <c r="L82" s="30">
        <v>71.976506666700004</v>
      </c>
      <c r="M82" s="20">
        <v>63</v>
      </c>
    </row>
    <row r="83" spans="1:13" ht="30" customHeight="1">
      <c r="A83" s="5" t="s">
        <v>30</v>
      </c>
      <c r="B83" s="30" t="s">
        <v>389</v>
      </c>
      <c r="C83" s="30" t="s">
        <v>187</v>
      </c>
      <c r="D83" s="27">
        <v>29300.895231138213</v>
      </c>
      <c r="E83" s="28">
        <v>24477.420104033492</v>
      </c>
      <c r="F83" s="27">
        <f t="shared" si="3"/>
        <v>4823.4751271047207</v>
      </c>
      <c r="G83" s="27">
        <f t="shared" si="2"/>
        <v>16.461869472093088</v>
      </c>
      <c r="H83" s="29">
        <v>160</v>
      </c>
      <c r="I83" s="29">
        <v>2</v>
      </c>
      <c r="J83" s="3" t="s">
        <v>39</v>
      </c>
      <c r="K83" s="30">
        <v>40.876424999999998</v>
      </c>
      <c r="L83" s="30">
        <v>72.024273333300002</v>
      </c>
      <c r="M83" s="20">
        <v>100</v>
      </c>
    </row>
    <row r="84" spans="1:13" ht="30" customHeight="1">
      <c r="A84" s="7" t="s">
        <v>13</v>
      </c>
      <c r="B84" s="30" t="s">
        <v>387</v>
      </c>
      <c r="C84" s="30" t="s">
        <v>188</v>
      </c>
      <c r="D84" s="27">
        <v>24780.463581138203</v>
      </c>
      <c r="E84" s="28">
        <v>20522.536770700157</v>
      </c>
      <c r="F84" s="27">
        <f t="shared" si="3"/>
        <v>4257.9268104380462</v>
      </c>
      <c r="G84" s="27">
        <f t="shared" si="2"/>
        <v>17.182595460720083</v>
      </c>
      <c r="H84" s="29">
        <v>175</v>
      </c>
      <c r="I84" s="29">
        <v>2</v>
      </c>
      <c r="J84" s="3"/>
      <c r="K84" s="30">
        <v>40.870156999999999</v>
      </c>
      <c r="L84" s="30">
        <v>71.971063000000001</v>
      </c>
      <c r="M84" s="20">
        <v>100</v>
      </c>
    </row>
    <row r="85" spans="1:13" ht="30" customHeight="1">
      <c r="A85" s="7" t="s">
        <v>13</v>
      </c>
      <c r="B85" s="30" t="s">
        <v>388</v>
      </c>
      <c r="C85" s="30" t="s">
        <v>189</v>
      </c>
      <c r="D85" s="27">
        <v>26303.252001138208</v>
      </c>
      <c r="E85" s="28">
        <v>21854.810104033491</v>
      </c>
      <c r="F85" s="27">
        <f t="shared" si="3"/>
        <v>4448.4418971047162</v>
      </c>
      <c r="G85" s="27">
        <f t="shared" si="2"/>
        <v>16.912136556012999</v>
      </c>
      <c r="H85" s="29">
        <v>81</v>
      </c>
      <c r="I85" s="29">
        <v>2</v>
      </c>
      <c r="J85" s="3"/>
      <c r="K85" s="30">
        <v>40.8745966667</v>
      </c>
      <c r="L85" s="30">
        <v>71.988754999999998</v>
      </c>
      <c r="M85" s="20">
        <v>160</v>
      </c>
    </row>
    <row r="86" spans="1:13" ht="30" customHeight="1">
      <c r="A86" s="7" t="s">
        <v>13</v>
      </c>
      <c r="B86" s="30" t="s">
        <v>389</v>
      </c>
      <c r="C86" s="30" t="s">
        <v>190</v>
      </c>
      <c r="D86" s="27">
        <v>25271.145861138204</v>
      </c>
      <c r="E86" s="28">
        <v>20951.830104033492</v>
      </c>
      <c r="F86" s="27">
        <f t="shared" si="3"/>
        <v>4319.3157571047122</v>
      </c>
      <c r="G86" s="27">
        <f t="shared" si="2"/>
        <v>17.09188724895505</v>
      </c>
      <c r="H86" s="29">
        <v>63</v>
      </c>
      <c r="I86" s="29">
        <v>2</v>
      </c>
      <c r="J86" s="4"/>
      <c r="K86" s="30">
        <v>40.878901666700003</v>
      </c>
      <c r="L86" s="30">
        <v>72.031078333300002</v>
      </c>
      <c r="M86" s="20">
        <v>250</v>
      </c>
    </row>
    <row r="87" spans="1:13" ht="30" customHeight="1">
      <c r="A87" s="7" t="s">
        <v>13</v>
      </c>
      <c r="B87" s="30" t="s">
        <v>389</v>
      </c>
      <c r="C87" s="30" t="s">
        <v>191</v>
      </c>
      <c r="D87" s="27">
        <v>23886.950001138204</v>
      </c>
      <c r="E87" s="28">
        <v>19740.810104033491</v>
      </c>
      <c r="F87" s="27">
        <f t="shared" si="3"/>
        <v>4146.1398971047129</v>
      </c>
      <c r="G87" s="27">
        <f t="shared" si="2"/>
        <v>17.357343222584511</v>
      </c>
      <c r="H87" s="29">
        <v>42</v>
      </c>
      <c r="I87" s="29">
        <v>0</v>
      </c>
      <c r="J87" s="4"/>
      <c r="K87" s="30">
        <v>40.877465000000001</v>
      </c>
      <c r="L87" s="30">
        <v>72.08811</v>
      </c>
      <c r="M87" s="20">
        <v>100</v>
      </c>
    </row>
    <row r="88" spans="1:13" ht="30" customHeight="1">
      <c r="A88" s="7" t="s">
        <v>13</v>
      </c>
      <c r="B88" s="30" t="s">
        <v>389</v>
      </c>
      <c r="C88" s="30" t="s">
        <v>192</v>
      </c>
      <c r="D88" s="27">
        <v>25543.084611138205</v>
      </c>
      <c r="E88" s="28">
        <v>21189.746770700156</v>
      </c>
      <c r="F88" s="27">
        <f t="shared" si="3"/>
        <v>4353.3378404380492</v>
      </c>
      <c r="G88" s="27">
        <f t="shared" si="2"/>
        <v>17.043117175205033</v>
      </c>
      <c r="H88" s="29">
        <v>98</v>
      </c>
      <c r="I88" s="29">
        <v>2</v>
      </c>
      <c r="J88" s="4"/>
      <c r="K88" s="30">
        <v>40.875194999999998</v>
      </c>
      <c r="L88" s="30">
        <v>72.038955000000001</v>
      </c>
      <c r="M88" s="20">
        <v>100</v>
      </c>
    </row>
    <row r="89" spans="1:13" ht="30" customHeight="1">
      <c r="A89" s="7" t="s">
        <v>13</v>
      </c>
      <c r="B89" s="30" t="s">
        <v>389</v>
      </c>
      <c r="C89" s="30" t="s">
        <v>193</v>
      </c>
      <c r="D89" s="27">
        <v>22629.329961138206</v>
      </c>
      <c r="E89" s="28">
        <v>18640.530104033493</v>
      </c>
      <c r="F89" s="27">
        <f t="shared" si="3"/>
        <v>3988.7998571047137</v>
      </c>
      <c r="G89" s="27">
        <f t="shared" si="2"/>
        <v>17.626681231635043</v>
      </c>
      <c r="H89" s="29">
        <v>80</v>
      </c>
      <c r="I89" s="29">
        <v>0</v>
      </c>
      <c r="J89" s="4" t="s">
        <v>14</v>
      </c>
      <c r="K89" s="30">
        <v>40.879893333299997</v>
      </c>
      <c r="L89" s="30">
        <v>72.067336666700001</v>
      </c>
      <c r="M89" s="20">
        <v>250</v>
      </c>
    </row>
    <row r="90" spans="1:13" ht="30" customHeight="1">
      <c r="A90" s="7" t="s">
        <v>13</v>
      </c>
      <c r="B90" s="30" t="s">
        <v>389</v>
      </c>
      <c r="C90" s="30" t="s">
        <v>194</v>
      </c>
      <c r="D90" s="27">
        <v>29519.932131138212</v>
      </c>
      <c r="E90" s="28">
        <v>24669.053437366831</v>
      </c>
      <c r="F90" s="27">
        <f t="shared" si="3"/>
        <v>4850.8786937713812</v>
      </c>
      <c r="G90" s="27">
        <f t="shared" si="2"/>
        <v>16.43255368007631</v>
      </c>
      <c r="H90" s="29">
        <v>86</v>
      </c>
      <c r="I90" s="29">
        <v>0</v>
      </c>
      <c r="J90" s="4" t="s">
        <v>24</v>
      </c>
      <c r="K90" s="30">
        <v>40.878976666699998</v>
      </c>
      <c r="L90" s="30">
        <v>72.029004999999998</v>
      </c>
      <c r="M90" s="14">
        <v>250</v>
      </c>
    </row>
    <row r="91" spans="1:13" ht="30" customHeight="1">
      <c r="A91" s="7" t="s">
        <v>13</v>
      </c>
      <c r="B91" s="30" t="s">
        <v>384</v>
      </c>
      <c r="C91" s="30" t="s">
        <v>121</v>
      </c>
      <c r="D91" s="27">
        <v>28447.645731138207</v>
      </c>
      <c r="E91" s="28">
        <v>23730.920104033492</v>
      </c>
      <c r="F91" s="27">
        <f t="shared" si="3"/>
        <v>4716.7256271047154</v>
      </c>
      <c r="G91" s="27">
        <f t="shared" si="2"/>
        <v>16.58037249086621</v>
      </c>
      <c r="H91" s="29">
        <v>132</v>
      </c>
      <c r="I91" s="29">
        <v>2</v>
      </c>
      <c r="J91" s="4" t="s">
        <v>23</v>
      </c>
      <c r="K91" s="30">
        <v>40.881158094900002</v>
      </c>
      <c r="L91" s="30">
        <v>71.960061555699994</v>
      </c>
      <c r="M91" s="14">
        <v>250</v>
      </c>
    </row>
    <row r="92" spans="1:13" ht="30" customHeight="1">
      <c r="A92" s="7" t="s">
        <v>13</v>
      </c>
      <c r="B92" s="30" t="s">
        <v>388</v>
      </c>
      <c r="C92" s="30" t="s">
        <v>195</v>
      </c>
      <c r="D92" s="27">
        <v>27966.160791138205</v>
      </c>
      <c r="E92" s="28">
        <v>23309.673437366826</v>
      </c>
      <c r="F92" s="27">
        <f t="shared" si="3"/>
        <v>4656.4873537713793</v>
      </c>
      <c r="G92" s="27">
        <f t="shared" si="2"/>
        <v>16.650434747006482</v>
      </c>
      <c r="H92" s="29">
        <v>101</v>
      </c>
      <c r="I92" s="29">
        <v>2</v>
      </c>
      <c r="J92" s="4" t="s">
        <v>40</v>
      </c>
      <c r="K92" s="30">
        <v>40.880791666699999</v>
      </c>
      <c r="L92" s="30">
        <v>72.024038333299998</v>
      </c>
      <c r="M92" s="14">
        <v>160</v>
      </c>
    </row>
    <row r="93" spans="1:13" ht="30" customHeight="1">
      <c r="A93" s="7" t="s">
        <v>13</v>
      </c>
      <c r="B93" s="30" t="s">
        <v>389</v>
      </c>
      <c r="C93" s="30" t="s">
        <v>196</v>
      </c>
      <c r="D93" s="27">
        <v>28595.946171138214</v>
      </c>
      <c r="E93" s="28">
        <v>23860.666770700165</v>
      </c>
      <c r="F93" s="27">
        <f t="shared" si="3"/>
        <v>4735.2794004380485</v>
      </c>
      <c r="G93" s="27">
        <f t="shared" si="2"/>
        <v>16.559268128771862</v>
      </c>
      <c r="H93" s="29">
        <v>102</v>
      </c>
      <c r="I93" s="29">
        <v>2</v>
      </c>
      <c r="J93" s="4" t="s">
        <v>23</v>
      </c>
      <c r="K93" s="30">
        <v>40.880018333300001</v>
      </c>
      <c r="L93" s="30">
        <v>72.078343333299998</v>
      </c>
      <c r="M93" s="14">
        <v>100</v>
      </c>
    </row>
    <row r="94" spans="1:13" ht="30" customHeight="1">
      <c r="A94" s="7" t="s">
        <v>13</v>
      </c>
      <c r="B94" s="30" t="s">
        <v>387</v>
      </c>
      <c r="C94" s="30" t="s">
        <v>197</v>
      </c>
      <c r="D94" s="27">
        <v>32980.997091138219</v>
      </c>
      <c r="E94" s="28">
        <v>27697.10677070016</v>
      </c>
      <c r="F94" s="27">
        <f t="shared" si="3"/>
        <v>5283.8903204380586</v>
      </c>
      <c r="G94" s="27">
        <f t="shared" si="2"/>
        <v>16.021014482481505</v>
      </c>
      <c r="H94" s="29">
        <v>157</v>
      </c>
      <c r="I94" s="29">
        <v>2</v>
      </c>
      <c r="J94" s="3" t="s">
        <v>14</v>
      </c>
      <c r="K94" s="30">
        <v>40.878603333299999</v>
      </c>
      <c r="L94" s="30">
        <v>71.966620000000006</v>
      </c>
      <c r="M94" s="14">
        <v>100</v>
      </c>
    </row>
    <row r="95" spans="1:13" ht="30" customHeight="1">
      <c r="A95" s="7" t="s">
        <v>13</v>
      </c>
      <c r="B95" s="30" t="s">
        <v>390</v>
      </c>
      <c r="C95" s="30" t="s">
        <v>198</v>
      </c>
      <c r="D95" s="27">
        <v>25391.720931138203</v>
      </c>
      <c r="E95" s="28">
        <v>21057.32010403349</v>
      </c>
      <c r="F95" s="27">
        <f t="shared" si="3"/>
        <v>4334.4008271047132</v>
      </c>
      <c r="G95" s="27">
        <f t="shared" si="2"/>
        <v>17.070134154591234</v>
      </c>
      <c r="H95" s="29">
        <v>104</v>
      </c>
      <c r="I95" s="29">
        <v>2</v>
      </c>
      <c r="J95" s="5" t="s">
        <v>40</v>
      </c>
      <c r="K95" s="30">
        <v>40.858133333300003</v>
      </c>
      <c r="L95" s="30">
        <v>72.060698333299996</v>
      </c>
      <c r="M95" s="14">
        <v>100</v>
      </c>
    </row>
    <row r="96" spans="1:13" ht="30" customHeight="1">
      <c r="A96" s="7" t="s">
        <v>13</v>
      </c>
      <c r="B96" s="30" t="s">
        <v>389</v>
      </c>
      <c r="C96" s="30" t="s">
        <v>199</v>
      </c>
      <c r="D96" s="27">
        <v>23072.082441138209</v>
      </c>
      <c r="E96" s="28">
        <v>19027.890104033493</v>
      </c>
      <c r="F96" s="27">
        <f t="shared" si="3"/>
        <v>4044.192337104716</v>
      </c>
      <c r="G96" s="27">
        <f t="shared" si="2"/>
        <v>17.528510256593922</v>
      </c>
      <c r="H96" s="29">
        <v>71</v>
      </c>
      <c r="I96" s="29">
        <v>2</v>
      </c>
      <c r="J96" s="5" t="s">
        <v>40</v>
      </c>
      <c r="K96" s="30">
        <v>40.879048333299998</v>
      </c>
      <c r="L96" s="30">
        <v>72.052588333299994</v>
      </c>
      <c r="M96" s="14">
        <v>100</v>
      </c>
    </row>
    <row r="97" spans="1:13" ht="30" customHeight="1">
      <c r="A97" s="7" t="s">
        <v>13</v>
      </c>
      <c r="B97" s="30" t="s">
        <v>388</v>
      </c>
      <c r="C97" s="30" t="s">
        <v>200</v>
      </c>
      <c r="D97" s="27">
        <v>25873.579251138202</v>
      </c>
      <c r="E97" s="28">
        <v>21478.893437366823</v>
      </c>
      <c r="F97" s="27">
        <f t="shared" si="3"/>
        <v>4394.6858137713789</v>
      </c>
      <c r="G97" s="27">
        <f t="shared" si="2"/>
        <v>16.985225627714623</v>
      </c>
      <c r="H97" s="29">
        <v>65</v>
      </c>
      <c r="I97" s="29">
        <v>0</v>
      </c>
      <c r="J97" s="5"/>
      <c r="K97" s="30">
        <v>40.877659999999999</v>
      </c>
      <c r="L97" s="30">
        <v>72.015798333299998</v>
      </c>
      <c r="M97" s="14">
        <v>160</v>
      </c>
    </row>
    <row r="98" spans="1:13" ht="30" customHeight="1">
      <c r="A98" s="7" t="s">
        <v>13</v>
      </c>
      <c r="B98" s="30" t="s">
        <v>389</v>
      </c>
      <c r="C98" s="30" t="s">
        <v>201</v>
      </c>
      <c r="D98" s="27">
        <v>21378.918441138212</v>
      </c>
      <c r="E98" s="28">
        <v>17546.556770700157</v>
      </c>
      <c r="F98" s="27">
        <f t="shared" si="3"/>
        <v>3832.3616704380547</v>
      </c>
      <c r="G98" s="27">
        <f t="shared" si="2"/>
        <v>17.925891251185391</v>
      </c>
      <c r="H98" s="29">
        <v>23</v>
      </c>
      <c r="I98" s="29">
        <v>0</v>
      </c>
      <c r="J98" s="5" t="s">
        <v>14</v>
      </c>
      <c r="K98" s="30">
        <v>40.877465000000001</v>
      </c>
      <c r="L98" s="30">
        <v>72.08811</v>
      </c>
      <c r="M98" s="14">
        <v>160</v>
      </c>
    </row>
    <row r="99" spans="1:13" ht="30" customHeight="1">
      <c r="A99" s="7" t="s">
        <v>13</v>
      </c>
      <c r="B99" s="30" t="s">
        <v>389</v>
      </c>
      <c r="C99" s="30" t="s">
        <v>202</v>
      </c>
      <c r="D99" s="27">
        <v>25811.838201138205</v>
      </c>
      <c r="E99" s="28">
        <v>21424.876770700157</v>
      </c>
      <c r="F99" s="27">
        <f t="shared" si="3"/>
        <v>4386.9614304380484</v>
      </c>
      <c r="G99" s="27">
        <f t="shared" si="2"/>
        <v>16.995927977902017</v>
      </c>
      <c r="H99" s="29">
        <v>84</v>
      </c>
      <c r="I99" s="29">
        <v>2</v>
      </c>
      <c r="J99" s="5" t="s">
        <v>23</v>
      </c>
      <c r="K99" s="30">
        <v>40.875548333300003</v>
      </c>
      <c r="L99" s="30">
        <v>72.079404999999994</v>
      </c>
      <c r="M99" s="19">
        <v>160</v>
      </c>
    </row>
    <row r="100" spans="1:13" ht="30" customHeight="1">
      <c r="A100" s="7" t="s">
        <v>13</v>
      </c>
      <c r="B100" s="30" t="s">
        <v>389</v>
      </c>
      <c r="C100" s="30" t="s">
        <v>203</v>
      </c>
      <c r="D100" s="27">
        <v>23102.303361138209</v>
      </c>
      <c r="E100" s="28">
        <v>19054.330104033492</v>
      </c>
      <c r="F100" s="27">
        <f t="shared" si="3"/>
        <v>4047.973257104717</v>
      </c>
      <c r="G100" s="27">
        <f t="shared" si="2"/>
        <v>17.521946594788723</v>
      </c>
      <c r="H100" s="29">
        <v>48</v>
      </c>
      <c r="I100" s="29">
        <v>2</v>
      </c>
      <c r="J100" s="12" t="s">
        <v>15</v>
      </c>
      <c r="K100" s="30">
        <v>40.883151666700002</v>
      </c>
      <c r="L100" s="30">
        <v>72.085181666699995</v>
      </c>
      <c r="M100" s="20">
        <v>63</v>
      </c>
    </row>
    <row r="101" spans="1:13" ht="30" customHeight="1">
      <c r="A101" s="7" t="s">
        <v>13</v>
      </c>
      <c r="B101" s="30" t="s">
        <v>390</v>
      </c>
      <c r="C101" s="30" t="s">
        <v>204</v>
      </c>
      <c r="D101" s="27">
        <v>24751.789521138206</v>
      </c>
      <c r="E101" s="28">
        <v>20497.450104033491</v>
      </c>
      <c r="F101" s="27">
        <f t="shared" si="3"/>
        <v>4254.3394171047148</v>
      </c>
      <c r="G101" s="27">
        <f t="shared" si="2"/>
        <v>17.188007410419672</v>
      </c>
      <c r="H101" s="29">
        <v>75</v>
      </c>
      <c r="I101" s="29">
        <v>2</v>
      </c>
      <c r="J101" s="12" t="s">
        <v>17</v>
      </c>
      <c r="K101" s="30">
        <v>40.858853333299997</v>
      </c>
      <c r="L101" s="30">
        <v>72.0770083333</v>
      </c>
      <c r="M101" s="20">
        <v>400</v>
      </c>
    </row>
    <row r="102" spans="1:13" ht="30" customHeight="1">
      <c r="A102" s="7" t="s">
        <v>13</v>
      </c>
      <c r="B102" s="30" t="s">
        <v>390</v>
      </c>
      <c r="C102" s="30" t="s">
        <v>205</v>
      </c>
      <c r="D102" s="27">
        <v>21110.484891138211</v>
      </c>
      <c r="E102" s="28">
        <v>17311.706770700159</v>
      </c>
      <c r="F102" s="27">
        <f t="shared" si="3"/>
        <v>3798.7781204380517</v>
      </c>
      <c r="G102" s="27">
        <f t="shared" si="2"/>
        <v>17.994745928515872</v>
      </c>
      <c r="H102" s="29">
        <v>18</v>
      </c>
      <c r="I102" s="29">
        <v>0</v>
      </c>
      <c r="J102" s="12" t="s">
        <v>17</v>
      </c>
      <c r="K102" s="30">
        <v>40.874026666600002</v>
      </c>
      <c r="L102" s="30">
        <v>72.094549999700007</v>
      </c>
      <c r="M102" s="20">
        <v>320</v>
      </c>
    </row>
    <row r="103" spans="1:13" ht="30" customHeight="1">
      <c r="A103" s="7" t="s">
        <v>13</v>
      </c>
      <c r="B103" s="30" t="s">
        <v>387</v>
      </c>
      <c r="C103" s="30" t="s">
        <v>206</v>
      </c>
      <c r="D103" s="27">
        <v>31976.353431138214</v>
      </c>
      <c r="E103" s="28">
        <v>26818.153437366829</v>
      </c>
      <c r="F103" s="27">
        <f t="shared" si="3"/>
        <v>5158.1999937713845</v>
      </c>
      <c r="G103" s="27">
        <f t="shared" si="2"/>
        <v>16.131295286311126</v>
      </c>
      <c r="H103" s="29">
        <v>157</v>
      </c>
      <c r="I103" s="29">
        <v>3</v>
      </c>
      <c r="J103" s="12" t="s">
        <v>17</v>
      </c>
      <c r="K103" s="30">
        <v>40.876869999999997</v>
      </c>
      <c r="L103" s="30">
        <v>71.973841666699997</v>
      </c>
      <c r="M103" s="20">
        <v>160</v>
      </c>
    </row>
    <row r="104" spans="1:13" ht="30" customHeight="1">
      <c r="A104" s="7" t="s">
        <v>13</v>
      </c>
      <c r="B104" s="30" t="s">
        <v>391</v>
      </c>
      <c r="C104" s="30" t="s">
        <v>207</v>
      </c>
      <c r="D104" s="27">
        <v>25214.529261138203</v>
      </c>
      <c r="E104" s="28">
        <v>20902.296770700159</v>
      </c>
      <c r="F104" s="27">
        <f t="shared" si="3"/>
        <v>4312.2324904380439</v>
      </c>
      <c r="G104" s="27">
        <f t="shared" si="2"/>
        <v>17.102173297695689</v>
      </c>
      <c r="H104" s="29">
        <v>71</v>
      </c>
      <c r="I104" s="29">
        <v>0</v>
      </c>
      <c r="J104" s="12" t="s">
        <v>17</v>
      </c>
      <c r="K104" s="30">
        <v>40.849305000000001</v>
      </c>
      <c r="L104" s="30">
        <v>72.038023333300004</v>
      </c>
      <c r="M104" s="20">
        <v>100</v>
      </c>
    </row>
    <row r="105" spans="1:13" ht="30" customHeight="1">
      <c r="A105" s="7" t="s">
        <v>13</v>
      </c>
      <c r="B105" s="30" t="s">
        <v>391</v>
      </c>
      <c r="C105" s="30" t="s">
        <v>208</v>
      </c>
      <c r="D105" s="44">
        <v>26154.917331138211</v>
      </c>
      <c r="E105" s="28">
        <v>21432.681437366824</v>
      </c>
      <c r="F105" s="27">
        <f t="shared" si="3"/>
        <v>4722.2358937713871</v>
      </c>
      <c r="G105" s="27">
        <f t="shared" si="2"/>
        <v>18.054868359875961</v>
      </c>
      <c r="H105" s="29">
        <v>128</v>
      </c>
      <c r="I105" s="29">
        <v>0</v>
      </c>
      <c r="J105" s="12" t="s">
        <v>17</v>
      </c>
      <c r="K105" s="30">
        <v>40.848043333299998</v>
      </c>
      <c r="L105" s="30">
        <v>72.060901666700005</v>
      </c>
      <c r="M105" s="20">
        <v>160</v>
      </c>
    </row>
    <row r="106" spans="1:13" ht="30" customHeight="1">
      <c r="A106" s="7" t="s">
        <v>13</v>
      </c>
      <c r="B106" s="30" t="s">
        <v>387</v>
      </c>
      <c r="C106" s="30" t="s">
        <v>209</v>
      </c>
      <c r="D106" s="44">
        <v>28236.377331138214</v>
      </c>
      <c r="E106" s="28">
        <v>23251.807937366826</v>
      </c>
      <c r="F106" s="27">
        <f t="shared" si="3"/>
        <v>4984.5693937713877</v>
      </c>
      <c r="G106" s="27">
        <f t="shared" si="2"/>
        <v>17.653006033017405</v>
      </c>
      <c r="H106" s="29">
        <v>100</v>
      </c>
      <c r="I106" s="29">
        <v>0</v>
      </c>
      <c r="J106" s="12" t="s">
        <v>17</v>
      </c>
      <c r="K106" s="30">
        <v>40.8855233333</v>
      </c>
      <c r="L106" s="30">
        <v>71.964566666699994</v>
      </c>
      <c r="M106" s="20">
        <v>400</v>
      </c>
    </row>
    <row r="107" spans="1:13" ht="30" customHeight="1">
      <c r="A107" s="7" t="s">
        <v>13</v>
      </c>
      <c r="B107" s="30" t="s">
        <v>390</v>
      </c>
      <c r="C107" s="30" t="s">
        <v>210</v>
      </c>
      <c r="D107" s="44">
        <v>23942.604181138209</v>
      </c>
      <c r="E107" s="28">
        <v>19760.009770700159</v>
      </c>
      <c r="F107" s="27">
        <f t="shared" si="3"/>
        <v>4182.5944104380505</v>
      </c>
      <c r="G107" s="27">
        <f t="shared" si="2"/>
        <v>17.469254299969027</v>
      </c>
      <c r="H107" s="29">
        <v>123</v>
      </c>
      <c r="I107" s="29">
        <v>2</v>
      </c>
      <c r="J107" s="12" t="s">
        <v>19</v>
      </c>
      <c r="K107" s="30">
        <v>40.867975000000001</v>
      </c>
      <c r="L107" s="30">
        <v>72.100838333300004</v>
      </c>
      <c r="M107" s="20">
        <v>160</v>
      </c>
    </row>
    <row r="108" spans="1:13" ht="30" customHeight="1">
      <c r="A108" s="7" t="s">
        <v>13</v>
      </c>
      <c r="B108" s="30" t="s">
        <v>390</v>
      </c>
      <c r="C108" s="30" t="s">
        <v>211</v>
      </c>
      <c r="D108" s="44">
        <v>23654.124221138201</v>
      </c>
      <c r="E108" s="28">
        <v>19237.708604033491</v>
      </c>
      <c r="F108" s="27">
        <f t="shared" si="3"/>
        <v>4416.4156171047107</v>
      </c>
      <c r="G108" s="27">
        <f t="shared" si="2"/>
        <v>18.670805884912188</v>
      </c>
      <c r="H108" s="29">
        <v>85</v>
      </c>
      <c r="I108" s="29">
        <v>2</v>
      </c>
      <c r="J108" s="12" t="s">
        <v>21</v>
      </c>
      <c r="K108" s="30">
        <v>40.872354999999999</v>
      </c>
      <c r="L108" s="30">
        <v>72.101595000000003</v>
      </c>
      <c r="M108" s="20">
        <v>100</v>
      </c>
    </row>
    <row r="109" spans="1:13" ht="30" customHeight="1">
      <c r="A109" s="7" t="s">
        <v>13</v>
      </c>
      <c r="B109" s="30" t="s">
        <v>390</v>
      </c>
      <c r="C109" s="30" t="s">
        <v>212</v>
      </c>
      <c r="D109" s="44">
        <v>21219.027391138206</v>
      </c>
      <c r="E109" s="28">
        <v>17105.982937366825</v>
      </c>
      <c r="F109" s="27">
        <f t="shared" si="3"/>
        <v>4113.0444537713811</v>
      </c>
      <c r="G109" s="27">
        <f t="shared" si="2"/>
        <v>19.3837558053633</v>
      </c>
      <c r="H109" s="29">
        <v>124</v>
      </c>
      <c r="I109" s="29">
        <v>2</v>
      </c>
      <c r="J109" s="12" t="s">
        <v>21</v>
      </c>
      <c r="K109" s="30">
        <v>40.874026666600002</v>
      </c>
      <c r="L109" s="30">
        <v>72.094549999700007</v>
      </c>
      <c r="M109" s="20">
        <v>100</v>
      </c>
    </row>
    <row r="110" spans="1:13" ht="30" customHeight="1">
      <c r="A110" s="7" t="s">
        <v>13</v>
      </c>
      <c r="B110" s="30" t="s">
        <v>387</v>
      </c>
      <c r="C110" s="30" t="s">
        <v>213</v>
      </c>
      <c r="D110" s="44">
        <v>21440.488861138205</v>
      </c>
      <c r="E110" s="28">
        <v>17283.096770700158</v>
      </c>
      <c r="F110" s="27">
        <f t="shared" si="3"/>
        <v>4157.3920904380466</v>
      </c>
      <c r="G110" s="27">
        <f t="shared" si="2"/>
        <v>19.390379190343445</v>
      </c>
      <c r="H110" s="29">
        <v>35</v>
      </c>
      <c r="I110" s="29">
        <v>0</v>
      </c>
      <c r="J110" s="12" t="s">
        <v>21</v>
      </c>
      <c r="K110" s="30">
        <v>40.887851666700001</v>
      </c>
      <c r="L110" s="30">
        <v>71.969193333299998</v>
      </c>
      <c r="M110" s="20">
        <v>160</v>
      </c>
    </row>
    <row r="111" spans="1:13" ht="30" customHeight="1">
      <c r="A111" s="5" t="s">
        <v>30</v>
      </c>
      <c r="B111" s="30" t="s">
        <v>389</v>
      </c>
      <c r="C111" s="30" t="s">
        <v>214</v>
      </c>
      <c r="D111" s="44">
        <v>24473.229961138208</v>
      </c>
      <c r="E111" s="28">
        <v>19855.230104033493</v>
      </c>
      <c r="F111" s="27">
        <f t="shared" si="3"/>
        <v>4617.9998571047145</v>
      </c>
      <c r="G111" s="27">
        <f t="shared" si="2"/>
        <v>18.869596961405495</v>
      </c>
      <c r="H111" s="29">
        <v>109</v>
      </c>
      <c r="I111" s="29">
        <v>2</v>
      </c>
      <c r="J111" s="12" t="s">
        <v>41</v>
      </c>
      <c r="K111" s="30">
        <v>40.877478333299997</v>
      </c>
      <c r="L111" s="30">
        <v>72.076426666700002</v>
      </c>
      <c r="M111" s="20">
        <v>250</v>
      </c>
    </row>
    <row r="112" spans="1:13" ht="30" customHeight="1">
      <c r="A112" s="5" t="s">
        <v>30</v>
      </c>
      <c r="B112" s="30" t="s">
        <v>390</v>
      </c>
      <c r="C112" s="30" t="s">
        <v>215</v>
      </c>
      <c r="D112" s="44">
        <v>21420.533431138207</v>
      </c>
      <c r="E112" s="28">
        <v>17045.02010403349</v>
      </c>
      <c r="F112" s="27">
        <f t="shared" si="3"/>
        <v>4375.5133271047162</v>
      </c>
      <c r="G112" s="27">
        <f t="shared" si="2"/>
        <v>20.42672439120587</v>
      </c>
      <c r="H112" s="29">
        <v>97</v>
      </c>
      <c r="I112" s="29">
        <v>2</v>
      </c>
      <c r="J112" s="12" t="s">
        <v>37</v>
      </c>
      <c r="K112" s="30">
        <v>40.870533333300003</v>
      </c>
      <c r="L112" s="30">
        <v>72.120976666700003</v>
      </c>
      <c r="M112" s="20">
        <v>100</v>
      </c>
    </row>
    <row r="113" spans="1:13" ht="30" customHeight="1">
      <c r="A113" s="5" t="s">
        <v>30</v>
      </c>
      <c r="B113" s="30" t="s">
        <v>390</v>
      </c>
      <c r="C113" s="30" t="s">
        <v>216</v>
      </c>
      <c r="D113" s="44">
        <v>19202.557591138207</v>
      </c>
      <c r="E113" s="28">
        <v>15011.640104033493</v>
      </c>
      <c r="F113" s="27">
        <f t="shared" si="3"/>
        <v>4190.9174871047144</v>
      </c>
      <c r="G113" s="27">
        <f t="shared" si="2"/>
        <v>21.824788011773919</v>
      </c>
      <c r="H113" s="29">
        <v>54</v>
      </c>
      <c r="I113" s="29">
        <v>2</v>
      </c>
      <c r="J113" s="12" t="s">
        <v>33</v>
      </c>
      <c r="K113" s="30">
        <v>40.859666666700001</v>
      </c>
      <c r="L113" s="30">
        <v>72.121076666700006</v>
      </c>
      <c r="M113" s="20">
        <v>63</v>
      </c>
    </row>
    <row r="114" spans="1:13" ht="30" customHeight="1">
      <c r="A114" s="5" t="s">
        <v>30</v>
      </c>
      <c r="B114" s="30" t="s">
        <v>390</v>
      </c>
      <c r="C114" s="30" t="s">
        <v>217</v>
      </c>
      <c r="D114" s="44">
        <v>19253.959381138207</v>
      </c>
      <c r="E114" s="28">
        <v>15392.533437366827</v>
      </c>
      <c r="F114" s="27">
        <f t="shared" si="3"/>
        <v>3861.4259437713808</v>
      </c>
      <c r="G114" s="27">
        <f t="shared" si="2"/>
        <v>20.055230549380699</v>
      </c>
      <c r="H114" s="29">
        <v>44</v>
      </c>
      <c r="I114" s="29">
        <v>0</v>
      </c>
      <c r="J114" s="12" t="s">
        <v>17</v>
      </c>
      <c r="K114" s="30">
        <v>40.8576716667</v>
      </c>
      <c r="L114" s="30">
        <v>72.123549999999994</v>
      </c>
      <c r="M114" s="14">
        <v>40</v>
      </c>
    </row>
    <row r="115" spans="1:13" ht="30" customHeight="1">
      <c r="A115" s="5" t="s">
        <v>30</v>
      </c>
      <c r="B115" s="30" t="s">
        <v>388</v>
      </c>
      <c r="C115" s="30" t="s">
        <v>218</v>
      </c>
      <c r="D115" s="44">
        <v>33864.976831138214</v>
      </c>
      <c r="E115" s="28">
        <v>28308.288270700159</v>
      </c>
      <c r="F115" s="27">
        <f t="shared" si="3"/>
        <v>5556.688560438055</v>
      </c>
      <c r="G115" s="27">
        <f t="shared" si="2"/>
        <v>16.408363685424948</v>
      </c>
      <c r="H115" s="29">
        <v>111</v>
      </c>
      <c r="I115" s="29">
        <v>2</v>
      </c>
      <c r="J115" s="12" t="s">
        <v>34</v>
      </c>
      <c r="K115" s="30">
        <v>40.877068333300002</v>
      </c>
      <c r="L115" s="30">
        <v>71.983761666700005</v>
      </c>
      <c r="M115" s="14">
        <v>100</v>
      </c>
    </row>
    <row r="116" spans="1:13" ht="30" customHeight="1">
      <c r="A116" s="5" t="s">
        <v>30</v>
      </c>
      <c r="B116" s="30" t="s">
        <v>384</v>
      </c>
      <c r="C116" s="30" t="s">
        <v>94</v>
      </c>
      <c r="D116" s="44">
        <v>23173.130291138204</v>
      </c>
      <c r="E116" s="28">
        <v>18957.297437366826</v>
      </c>
      <c r="F116" s="27">
        <f t="shared" si="3"/>
        <v>4215.8328537713787</v>
      </c>
      <c r="G116" s="27">
        <f t="shared" si="2"/>
        <v>18.192763777725723</v>
      </c>
      <c r="H116" s="29">
        <v>88</v>
      </c>
      <c r="I116" s="29">
        <v>2</v>
      </c>
      <c r="J116" s="12" t="s">
        <v>34</v>
      </c>
      <c r="K116" s="30">
        <v>40.865369999999999</v>
      </c>
      <c r="L116" s="30">
        <v>71.96087</v>
      </c>
      <c r="M116" s="19">
        <v>160</v>
      </c>
    </row>
    <row r="117" spans="1:13" ht="30" customHeight="1">
      <c r="A117" s="5" t="s">
        <v>30</v>
      </c>
      <c r="B117" s="30" t="s">
        <v>390</v>
      </c>
      <c r="C117" s="30" t="s">
        <v>219</v>
      </c>
      <c r="D117" s="44">
        <v>19532.203581138212</v>
      </c>
      <c r="E117" s="28">
        <v>15634.684437366825</v>
      </c>
      <c r="F117" s="27">
        <f t="shared" si="3"/>
        <v>3897.5191437713875</v>
      </c>
      <c r="G117" s="27">
        <f t="shared" si="2"/>
        <v>19.954323779090288</v>
      </c>
      <c r="H117" s="29">
        <v>49</v>
      </c>
      <c r="I117" s="29">
        <v>2</v>
      </c>
      <c r="J117" s="12" t="s">
        <v>42</v>
      </c>
      <c r="K117" s="30">
        <v>40.858196666700003</v>
      </c>
      <c r="L117" s="30">
        <v>72.1313583333</v>
      </c>
      <c r="M117" s="14">
        <v>100</v>
      </c>
    </row>
    <row r="118" spans="1:13" ht="30" customHeight="1">
      <c r="A118" s="5" t="s">
        <v>30</v>
      </c>
      <c r="B118" s="30" t="s">
        <v>388</v>
      </c>
      <c r="C118" s="30" t="s">
        <v>220</v>
      </c>
      <c r="D118" s="44">
        <v>33265.326283138216</v>
      </c>
      <c r="E118" s="28">
        <v>27647.100437366829</v>
      </c>
      <c r="F118" s="27">
        <f t="shared" si="3"/>
        <v>5618.225845771387</v>
      </c>
      <c r="G118" s="27">
        <f t="shared" si="2"/>
        <v>16.889134944752357</v>
      </c>
      <c r="H118" s="29">
        <v>168</v>
      </c>
      <c r="I118" s="29">
        <v>2</v>
      </c>
      <c r="J118" s="12" t="s">
        <v>42</v>
      </c>
      <c r="K118" s="30">
        <v>40.881914999999999</v>
      </c>
      <c r="L118" s="30">
        <v>71.997399999999999</v>
      </c>
      <c r="M118" s="22">
        <v>160</v>
      </c>
    </row>
    <row r="119" spans="1:13" ht="30" customHeight="1">
      <c r="A119" s="5" t="s">
        <v>30</v>
      </c>
      <c r="B119" s="30" t="s">
        <v>388</v>
      </c>
      <c r="C119" s="30" t="s">
        <v>221</v>
      </c>
      <c r="D119" s="44">
        <v>31153.442121138207</v>
      </c>
      <c r="E119" s="28">
        <v>26038.571604033496</v>
      </c>
      <c r="F119" s="27">
        <f t="shared" si="3"/>
        <v>5114.8705171047113</v>
      </c>
      <c r="G119" s="27">
        <f t="shared" si="2"/>
        <v>16.418315822745551</v>
      </c>
      <c r="H119" s="29">
        <v>138</v>
      </c>
      <c r="I119" s="29">
        <v>3</v>
      </c>
      <c r="J119" s="12" t="s">
        <v>22</v>
      </c>
      <c r="K119" s="30">
        <v>40.8827666667</v>
      </c>
      <c r="L119" s="30">
        <v>72.008274999999998</v>
      </c>
      <c r="M119" s="14">
        <v>250</v>
      </c>
    </row>
    <row r="120" spans="1:13" ht="30" customHeight="1">
      <c r="A120" s="5" t="s">
        <v>30</v>
      </c>
      <c r="B120" s="30" t="s">
        <v>390</v>
      </c>
      <c r="C120" s="30" t="s">
        <v>222</v>
      </c>
      <c r="D120" s="44">
        <v>21114.934681138206</v>
      </c>
      <c r="E120" s="28">
        <v>17018.759937366827</v>
      </c>
      <c r="F120" s="27">
        <f t="shared" si="3"/>
        <v>4096.1747437713784</v>
      </c>
      <c r="G120" s="27">
        <f t="shared" si="2"/>
        <v>19.399419442345977</v>
      </c>
      <c r="H120" s="29">
        <v>86</v>
      </c>
      <c r="I120" s="29">
        <v>2</v>
      </c>
      <c r="J120" s="12" t="s">
        <v>22</v>
      </c>
      <c r="K120" s="30">
        <v>40.851415000000003</v>
      </c>
      <c r="L120" s="30">
        <v>72.131756666699999</v>
      </c>
      <c r="M120" s="14">
        <v>63</v>
      </c>
    </row>
    <row r="121" spans="1:13" ht="30" customHeight="1">
      <c r="A121" s="5" t="s">
        <v>45</v>
      </c>
      <c r="B121" s="30" t="s">
        <v>392</v>
      </c>
      <c r="C121" s="30" t="s">
        <v>223</v>
      </c>
      <c r="D121" s="44">
        <v>21161.850371138207</v>
      </c>
      <c r="E121" s="28">
        <v>17051.471437366828</v>
      </c>
      <c r="F121" s="27">
        <f t="shared" si="3"/>
        <v>4110.3789337713788</v>
      </c>
      <c r="G121" s="27">
        <f t="shared" si="2"/>
        <v>19.423532733117511</v>
      </c>
      <c r="H121" s="29">
        <v>110</v>
      </c>
      <c r="I121" s="29">
        <v>2</v>
      </c>
      <c r="J121" s="12" t="s">
        <v>22</v>
      </c>
      <c r="K121" s="30">
        <v>40.833135628299999</v>
      </c>
      <c r="L121" s="30">
        <v>72.203557438199994</v>
      </c>
      <c r="M121" s="14">
        <v>100</v>
      </c>
    </row>
    <row r="122" spans="1:13" ht="30" customHeight="1">
      <c r="A122" s="5" t="s">
        <v>45</v>
      </c>
      <c r="B122" s="30" t="s">
        <v>392</v>
      </c>
      <c r="C122" s="30" t="s">
        <v>224</v>
      </c>
      <c r="D122" s="44">
        <v>20416.267561138211</v>
      </c>
      <c r="E122" s="28">
        <v>16397.885770700159</v>
      </c>
      <c r="F122" s="27">
        <f t="shared" si="3"/>
        <v>4018.3817904380521</v>
      </c>
      <c r="G122" s="27">
        <f t="shared" si="2"/>
        <v>19.682254743207462</v>
      </c>
      <c r="H122" s="29">
        <v>88</v>
      </c>
      <c r="I122" s="29">
        <v>0</v>
      </c>
      <c r="J122" s="12" t="s">
        <v>43</v>
      </c>
      <c r="K122" s="30">
        <v>40.830279691100003</v>
      </c>
      <c r="L122" s="30">
        <v>72.204835088899998</v>
      </c>
      <c r="M122" s="14">
        <v>250</v>
      </c>
    </row>
    <row r="123" spans="1:13" ht="30" customHeight="1">
      <c r="A123" s="5" t="s">
        <v>45</v>
      </c>
      <c r="B123" s="30" t="s">
        <v>392</v>
      </c>
      <c r="C123" s="30" t="s">
        <v>225</v>
      </c>
      <c r="D123" s="44">
        <v>23493.177191138206</v>
      </c>
      <c r="E123" s="28">
        <v>19081.51060403349</v>
      </c>
      <c r="F123" s="27">
        <f t="shared" si="3"/>
        <v>4411.6665871047153</v>
      </c>
      <c r="G123" s="27">
        <f t="shared" si="2"/>
        <v>18.778501312154695</v>
      </c>
      <c r="H123" s="29">
        <v>79</v>
      </c>
      <c r="I123" s="29">
        <v>2</v>
      </c>
      <c r="J123" s="12" t="s">
        <v>31</v>
      </c>
      <c r="K123" s="30">
        <v>40.838736666700001</v>
      </c>
      <c r="L123" s="30">
        <v>72.234039999999993</v>
      </c>
      <c r="M123" s="20">
        <v>180</v>
      </c>
    </row>
    <row r="124" spans="1:13" ht="30" customHeight="1">
      <c r="A124" s="5" t="s">
        <v>30</v>
      </c>
      <c r="B124" s="30" t="s">
        <v>388</v>
      </c>
      <c r="C124" s="30" t="s">
        <v>226</v>
      </c>
      <c r="D124" s="44">
        <v>24527.832461138209</v>
      </c>
      <c r="E124" s="28">
        <v>19883.496770700163</v>
      </c>
      <c r="F124" s="27">
        <f t="shared" si="3"/>
        <v>4644.3356904380453</v>
      </c>
      <c r="G124" s="27">
        <f t="shared" si="2"/>
        <v>18.934961732947706</v>
      </c>
      <c r="H124" s="29">
        <v>91</v>
      </c>
      <c r="I124" s="29">
        <v>2</v>
      </c>
      <c r="J124" s="12" t="s">
        <v>31</v>
      </c>
      <c r="K124" s="30">
        <v>40.8765683333</v>
      </c>
      <c r="L124" s="30">
        <v>71.988531666699998</v>
      </c>
      <c r="M124" s="20">
        <v>400</v>
      </c>
    </row>
    <row r="125" spans="1:13" ht="30" customHeight="1">
      <c r="A125" s="5" t="s">
        <v>30</v>
      </c>
      <c r="B125" s="30" t="s">
        <v>390</v>
      </c>
      <c r="C125" s="30" t="s">
        <v>227</v>
      </c>
      <c r="D125" s="44">
        <v>20321.308761138211</v>
      </c>
      <c r="E125" s="28">
        <v>16344.196770700159</v>
      </c>
      <c r="F125" s="27">
        <f t="shared" si="3"/>
        <v>3977.1119904380521</v>
      </c>
      <c r="G125" s="27">
        <f t="shared" si="2"/>
        <v>19.571140998771433</v>
      </c>
      <c r="H125" s="29">
        <v>98</v>
      </c>
      <c r="I125" s="29">
        <v>0</v>
      </c>
      <c r="J125" s="12" t="s">
        <v>44</v>
      </c>
      <c r="K125" s="30">
        <v>40.813206666600003</v>
      </c>
      <c r="L125" s="30">
        <v>72.109205000000003</v>
      </c>
      <c r="M125" s="14">
        <v>160</v>
      </c>
    </row>
    <row r="126" spans="1:13" ht="30" customHeight="1">
      <c r="A126" s="5" t="s">
        <v>30</v>
      </c>
      <c r="B126" s="30" t="s">
        <v>390</v>
      </c>
      <c r="C126" s="30" t="s">
        <v>228</v>
      </c>
      <c r="D126" s="44">
        <v>64700.851541138196</v>
      </c>
      <c r="E126" s="28">
        <v>54910.390104033482</v>
      </c>
      <c r="F126" s="27">
        <f t="shared" si="3"/>
        <v>9790.4614371047137</v>
      </c>
      <c r="G126" s="27">
        <f t="shared" si="2"/>
        <v>15.131889617990154</v>
      </c>
      <c r="H126" s="29">
        <v>65</v>
      </c>
      <c r="I126" s="29">
        <v>2</v>
      </c>
      <c r="J126" s="12" t="s">
        <v>44</v>
      </c>
      <c r="K126" s="30">
        <v>40.849451666699998</v>
      </c>
      <c r="L126" s="30">
        <v>72.135064999999997</v>
      </c>
      <c r="M126" s="22">
        <v>160</v>
      </c>
    </row>
    <row r="127" spans="1:13" ht="30" customHeight="1">
      <c r="A127" s="5" t="s">
        <v>30</v>
      </c>
      <c r="B127" s="30" t="s">
        <v>390</v>
      </c>
      <c r="C127" s="30" t="s">
        <v>229</v>
      </c>
      <c r="D127" s="44">
        <v>20101.253881138207</v>
      </c>
      <c r="E127" s="28">
        <v>16231.915270700159</v>
      </c>
      <c r="F127" s="27">
        <f t="shared" si="3"/>
        <v>3869.3386104380479</v>
      </c>
      <c r="G127" s="27">
        <f t="shared" si="2"/>
        <v>19.249240039044526</v>
      </c>
      <c r="H127" s="29">
        <v>43</v>
      </c>
      <c r="I127" s="29">
        <v>2</v>
      </c>
      <c r="J127" s="12" t="s">
        <v>44</v>
      </c>
      <c r="K127" s="30">
        <v>40.845351666699997</v>
      </c>
      <c r="L127" s="30">
        <v>72.155680000000004</v>
      </c>
      <c r="M127" s="14">
        <v>160</v>
      </c>
    </row>
    <row r="128" spans="1:13" ht="30" customHeight="1">
      <c r="A128" s="5" t="s">
        <v>30</v>
      </c>
      <c r="B128" s="30" t="s">
        <v>390</v>
      </c>
      <c r="C128" s="30" t="s">
        <v>230</v>
      </c>
      <c r="D128" s="44">
        <v>20001.780601138205</v>
      </c>
      <c r="E128" s="28">
        <v>16121.806604033492</v>
      </c>
      <c r="F128" s="27">
        <f t="shared" si="3"/>
        <v>3879.9739971047129</v>
      </c>
      <c r="G128" s="27">
        <f t="shared" si="2"/>
        <v>19.398142967751191</v>
      </c>
      <c r="H128" s="29">
        <v>42</v>
      </c>
      <c r="I128" s="29">
        <v>2</v>
      </c>
      <c r="J128" s="12" t="s">
        <v>41</v>
      </c>
      <c r="K128" s="30">
        <v>40.847826666700001</v>
      </c>
      <c r="L128" s="30">
        <v>72.157156666700004</v>
      </c>
      <c r="M128" s="22">
        <v>160</v>
      </c>
    </row>
    <row r="129" spans="1:13" ht="30" customHeight="1">
      <c r="A129" s="5" t="s">
        <v>30</v>
      </c>
      <c r="B129" s="30" t="s">
        <v>390</v>
      </c>
      <c r="C129" s="30" t="s">
        <v>231</v>
      </c>
      <c r="D129" s="44">
        <v>21969.918131138205</v>
      </c>
      <c r="E129" s="28">
        <v>17771.905937366824</v>
      </c>
      <c r="F129" s="27">
        <f t="shared" si="3"/>
        <v>4198.0121937713811</v>
      </c>
      <c r="G129" s="27">
        <f t="shared" si="2"/>
        <v>19.108001079992615</v>
      </c>
      <c r="H129" s="29">
        <v>160</v>
      </c>
      <c r="I129" s="29">
        <v>2</v>
      </c>
      <c r="J129" s="12" t="s">
        <v>41</v>
      </c>
      <c r="K129" s="30">
        <v>40.850563333300002</v>
      </c>
      <c r="L129" s="30">
        <v>72.157133333299996</v>
      </c>
      <c r="M129" s="14">
        <v>160</v>
      </c>
    </row>
    <row r="130" spans="1:13" ht="30" customHeight="1">
      <c r="A130" s="5" t="s">
        <v>30</v>
      </c>
      <c r="B130" s="30" t="s">
        <v>384</v>
      </c>
      <c r="C130" s="30" t="s">
        <v>96</v>
      </c>
      <c r="D130" s="44">
        <v>24915.65471113821</v>
      </c>
      <c r="E130" s="28">
        <v>20110.813437366829</v>
      </c>
      <c r="F130" s="27">
        <f t="shared" si="3"/>
        <v>4804.8412737713807</v>
      </c>
      <c r="G130" s="27">
        <f t="shared" si="2"/>
        <v>19.284427118117996</v>
      </c>
      <c r="H130" s="29">
        <v>98</v>
      </c>
      <c r="I130" s="29">
        <v>2</v>
      </c>
      <c r="J130" s="12" t="s">
        <v>41</v>
      </c>
      <c r="K130" s="30">
        <v>40.876168333300001</v>
      </c>
      <c r="L130" s="30">
        <v>71.945710000000005</v>
      </c>
      <c r="M130" s="14">
        <v>250</v>
      </c>
    </row>
    <row r="131" spans="1:13" ht="30" customHeight="1">
      <c r="A131" s="5" t="s">
        <v>45</v>
      </c>
      <c r="B131" s="30" t="s">
        <v>392</v>
      </c>
      <c r="C131" s="30" t="s">
        <v>232</v>
      </c>
      <c r="D131" s="44">
        <v>50659.663251138212</v>
      </c>
      <c r="E131" s="28">
        <v>42863.960770700149</v>
      </c>
      <c r="F131" s="27">
        <f t="shared" si="3"/>
        <v>7795.7024804380635</v>
      </c>
      <c r="G131" s="27">
        <f t="shared" ref="G131:G194" si="4">+F131*100/D131</f>
        <v>15.388381959414053</v>
      </c>
      <c r="H131" s="29">
        <v>53</v>
      </c>
      <c r="I131" s="29">
        <v>0</v>
      </c>
      <c r="J131" s="12" t="s">
        <v>41</v>
      </c>
      <c r="K131" s="30">
        <v>40.833511839099998</v>
      </c>
      <c r="L131" s="30">
        <v>72.151867640199995</v>
      </c>
      <c r="M131" s="14">
        <v>160</v>
      </c>
    </row>
    <row r="132" spans="1:13" ht="30" customHeight="1">
      <c r="A132" s="5" t="s">
        <v>45</v>
      </c>
      <c r="B132" s="30" t="s">
        <v>392</v>
      </c>
      <c r="C132" s="30" t="s">
        <v>233</v>
      </c>
      <c r="D132" s="44">
        <v>20920.41535113821</v>
      </c>
      <c r="E132" s="28">
        <v>16997.958437366826</v>
      </c>
      <c r="F132" s="27">
        <f t="shared" si="3"/>
        <v>3922.4569137713843</v>
      </c>
      <c r="G132" s="27">
        <f t="shared" si="4"/>
        <v>18.749421786972199</v>
      </c>
      <c r="H132" s="29">
        <v>53</v>
      </c>
      <c r="I132" s="29">
        <v>0</v>
      </c>
      <c r="J132" s="12" t="s">
        <v>41</v>
      </c>
      <c r="K132" s="30">
        <v>40.829519256700003</v>
      </c>
      <c r="L132" s="30">
        <v>72.156100756300006</v>
      </c>
      <c r="M132" s="14">
        <v>160</v>
      </c>
    </row>
    <row r="133" spans="1:13" ht="30" customHeight="1">
      <c r="A133" s="5" t="s">
        <v>30</v>
      </c>
      <c r="B133" s="30" t="s">
        <v>388</v>
      </c>
      <c r="C133" s="30" t="s">
        <v>234</v>
      </c>
      <c r="D133" s="44">
        <v>23394.150791138203</v>
      </c>
      <c r="E133" s="28">
        <v>18881.140104033493</v>
      </c>
      <c r="F133" s="27">
        <f t="shared" ref="F133:F196" si="5">+D133-E133</f>
        <v>4513.0106871047101</v>
      </c>
      <c r="G133" s="27">
        <f t="shared" si="4"/>
        <v>19.29119260364115</v>
      </c>
      <c r="H133" s="29">
        <v>116</v>
      </c>
      <c r="I133" s="29">
        <v>0</v>
      </c>
      <c r="J133" s="12" t="s">
        <v>43</v>
      </c>
      <c r="K133" s="30">
        <v>40.876078333300001</v>
      </c>
      <c r="L133" s="30">
        <v>71.987033333300005</v>
      </c>
      <c r="M133" s="14">
        <v>40</v>
      </c>
    </row>
    <row r="134" spans="1:13" ht="30" customHeight="1">
      <c r="A134" s="5" t="s">
        <v>30</v>
      </c>
      <c r="B134" s="30" t="s">
        <v>391</v>
      </c>
      <c r="C134" s="30" t="s">
        <v>235</v>
      </c>
      <c r="D134" s="44">
        <v>28270.972461138215</v>
      </c>
      <c r="E134" s="28">
        <v>23384.01343736683</v>
      </c>
      <c r="F134" s="27">
        <f t="shared" si="5"/>
        <v>4886.9590237713855</v>
      </c>
      <c r="G134" s="27">
        <f t="shared" si="4"/>
        <v>17.286136974909819</v>
      </c>
      <c r="H134" s="29">
        <v>147</v>
      </c>
      <c r="I134" s="29">
        <v>2</v>
      </c>
      <c r="J134" s="12" t="s">
        <v>43</v>
      </c>
      <c r="K134" s="30">
        <v>40.846466666700003</v>
      </c>
      <c r="L134" s="30">
        <v>72.057214999999999</v>
      </c>
      <c r="M134" s="14">
        <v>160</v>
      </c>
    </row>
    <row r="135" spans="1:13" ht="30" customHeight="1">
      <c r="A135" s="5" t="s">
        <v>30</v>
      </c>
      <c r="B135" s="30" t="s">
        <v>389</v>
      </c>
      <c r="C135" s="30" t="s">
        <v>236</v>
      </c>
      <c r="D135" s="44">
        <v>24668.258631138207</v>
      </c>
      <c r="E135" s="28">
        <v>20191.253437366828</v>
      </c>
      <c r="F135" s="27">
        <f t="shared" si="5"/>
        <v>4477.0051937713797</v>
      </c>
      <c r="G135" s="27">
        <f t="shared" si="4"/>
        <v>18.14884974539773</v>
      </c>
      <c r="H135" s="29">
        <v>67</v>
      </c>
      <c r="I135" s="29">
        <v>2</v>
      </c>
      <c r="J135" s="12"/>
      <c r="K135" s="30">
        <v>40.877453333299997</v>
      </c>
      <c r="L135" s="30">
        <v>72.071951666700002</v>
      </c>
      <c r="M135" s="14">
        <v>160</v>
      </c>
    </row>
    <row r="136" spans="1:13" ht="30" customHeight="1">
      <c r="A136" s="5" t="s">
        <v>30</v>
      </c>
      <c r="B136" s="30" t="s">
        <v>391</v>
      </c>
      <c r="C136" s="30" t="s">
        <v>237</v>
      </c>
      <c r="D136" s="44">
        <v>25162.297981138207</v>
      </c>
      <c r="E136" s="28">
        <v>20563.606937366829</v>
      </c>
      <c r="F136" s="27">
        <f t="shared" si="5"/>
        <v>4598.6910437713777</v>
      </c>
      <c r="G136" s="27">
        <f t="shared" si="4"/>
        <v>18.276117098758554</v>
      </c>
      <c r="H136" s="29">
        <v>94</v>
      </c>
      <c r="I136" s="29">
        <v>3</v>
      </c>
      <c r="J136" s="12" t="s">
        <v>27</v>
      </c>
      <c r="K136" s="30">
        <v>40.849350000000001</v>
      </c>
      <c r="L136" s="30">
        <v>72.064971666700004</v>
      </c>
      <c r="M136" s="14">
        <v>100</v>
      </c>
    </row>
    <row r="137" spans="1:13" ht="30" customHeight="1">
      <c r="A137" s="5" t="s">
        <v>30</v>
      </c>
      <c r="B137" s="30" t="s">
        <v>391</v>
      </c>
      <c r="C137" s="30" t="s">
        <v>238</v>
      </c>
      <c r="D137" s="44">
        <v>22324.243891138209</v>
      </c>
      <c r="E137" s="28">
        <v>18222.949270700159</v>
      </c>
      <c r="F137" s="27">
        <f t="shared" si="5"/>
        <v>4101.2946204380496</v>
      </c>
      <c r="G137" s="27">
        <f t="shared" si="4"/>
        <v>18.371482771992522</v>
      </c>
      <c r="H137" s="29">
        <v>43</v>
      </c>
      <c r="I137" s="29">
        <v>0</v>
      </c>
      <c r="J137" s="12" t="s">
        <v>27</v>
      </c>
      <c r="K137" s="30">
        <v>40.843751666700001</v>
      </c>
      <c r="L137" s="30">
        <v>72.084658333299998</v>
      </c>
      <c r="M137" s="14">
        <v>160</v>
      </c>
    </row>
    <row r="138" spans="1:13" ht="30" customHeight="1">
      <c r="A138" s="5" t="s">
        <v>30</v>
      </c>
      <c r="B138" s="30" t="s">
        <v>391</v>
      </c>
      <c r="C138" s="30" t="s">
        <v>239</v>
      </c>
      <c r="D138" s="44">
        <v>21066.418041138211</v>
      </c>
      <c r="E138" s="28">
        <v>16975.030937366828</v>
      </c>
      <c r="F138" s="27">
        <f t="shared" si="5"/>
        <v>4091.3871037713834</v>
      </c>
      <c r="G138" s="27">
        <f t="shared" si="4"/>
        <v>19.421370523369369</v>
      </c>
      <c r="H138" s="29">
        <v>151</v>
      </c>
      <c r="I138" s="29">
        <v>2</v>
      </c>
      <c r="J138" s="12" t="s">
        <v>41</v>
      </c>
      <c r="K138" s="30">
        <v>40.822108333300001</v>
      </c>
      <c r="L138" s="30">
        <v>72.138861666699995</v>
      </c>
      <c r="M138" s="14">
        <v>400</v>
      </c>
    </row>
    <row r="139" spans="1:13" ht="30" customHeight="1">
      <c r="A139" s="5" t="s">
        <v>30</v>
      </c>
      <c r="B139" s="30" t="s">
        <v>391</v>
      </c>
      <c r="C139" s="30" t="s">
        <v>240</v>
      </c>
      <c r="D139" s="44">
        <v>23699.577171138204</v>
      </c>
      <c r="E139" s="28">
        <v>19272.987104033491</v>
      </c>
      <c r="F139" s="27">
        <f t="shared" si="5"/>
        <v>4426.5900671047129</v>
      </c>
      <c r="G139" s="27">
        <f t="shared" si="4"/>
        <v>18.677928450535813</v>
      </c>
      <c r="H139" s="29">
        <v>57</v>
      </c>
      <c r="I139" s="29">
        <v>0</v>
      </c>
      <c r="J139" s="12" t="s">
        <v>42</v>
      </c>
      <c r="K139" s="30">
        <v>40.845888333300003</v>
      </c>
      <c r="L139" s="30">
        <v>72.078975</v>
      </c>
      <c r="M139" s="14">
        <v>40</v>
      </c>
    </row>
    <row r="140" spans="1:13" ht="30" customHeight="1">
      <c r="A140" s="5" t="s">
        <v>30</v>
      </c>
      <c r="B140" s="30" t="s">
        <v>391</v>
      </c>
      <c r="C140" s="30" t="s">
        <v>241</v>
      </c>
      <c r="D140" s="44">
        <v>27868.620731138206</v>
      </c>
      <c r="E140" s="28">
        <v>23221.130937366826</v>
      </c>
      <c r="F140" s="27">
        <f t="shared" si="5"/>
        <v>4647.4897937713795</v>
      </c>
      <c r="G140" s="27">
        <f t="shared" si="4"/>
        <v>16.676425570565247</v>
      </c>
      <c r="H140" s="29">
        <v>141</v>
      </c>
      <c r="I140" s="29">
        <v>3</v>
      </c>
      <c r="J140" s="12" t="s">
        <v>27</v>
      </c>
      <c r="K140" s="30">
        <v>40.831020376700003</v>
      </c>
      <c r="L140" s="30">
        <v>72.119740415600006</v>
      </c>
      <c r="M140" s="14">
        <v>100</v>
      </c>
    </row>
    <row r="141" spans="1:13" ht="30" customHeight="1">
      <c r="A141" s="5" t="s">
        <v>30</v>
      </c>
      <c r="B141" s="30" t="s">
        <v>391</v>
      </c>
      <c r="C141" s="30" t="s">
        <v>242</v>
      </c>
      <c r="D141" s="44">
        <v>22038.00105113821</v>
      </c>
      <c r="E141" s="28">
        <v>17955.207770700159</v>
      </c>
      <c r="F141" s="27">
        <f t="shared" si="5"/>
        <v>4082.7932804380507</v>
      </c>
      <c r="G141" s="27">
        <f t="shared" si="4"/>
        <v>18.526150674755431</v>
      </c>
      <c r="H141" s="29">
        <v>137</v>
      </c>
      <c r="I141" s="29">
        <v>2</v>
      </c>
      <c r="J141" s="12" t="s">
        <v>44</v>
      </c>
      <c r="K141" s="30">
        <v>40.8254529031</v>
      </c>
      <c r="L141" s="30">
        <v>72.125863367899996</v>
      </c>
      <c r="M141" s="14">
        <v>100</v>
      </c>
    </row>
    <row r="142" spans="1:13" ht="30" customHeight="1">
      <c r="A142" s="5" t="s">
        <v>30</v>
      </c>
      <c r="B142" s="30" t="s">
        <v>391</v>
      </c>
      <c r="C142" s="30" t="s">
        <v>243</v>
      </c>
      <c r="D142" s="44">
        <v>21316.528591138205</v>
      </c>
      <c r="E142" s="28">
        <v>17477.867770700155</v>
      </c>
      <c r="F142" s="27">
        <f t="shared" si="5"/>
        <v>3838.66082043805</v>
      </c>
      <c r="G142" s="27">
        <f t="shared" si="4"/>
        <v>18.007907826201464</v>
      </c>
      <c r="H142" s="29">
        <v>59</v>
      </c>
      <c r="I142" s="29">
        <v>0</v>
      </c>
      <c r="J142" s="12" t="s">
        <v>41</v>
      </c>
      <c r="K142" s="30">
        <v>40.8212983333</v>
      </c>
      <c r="L142" s="30">
        <v>72.128469999999993</v>
      </c>
      <c r="M142" s="14">
        <v>160</v>
      </c>
    </row>
    <row r="143" spans="1:13" ht="30" customHeight="1">
      <c r="A143" s="5" t="s">
        <v>30</v>
      </c>
      <c r="B143" s="30" t="s">
        <v>391</v>
      </c>
      <c r="C143" s="30" t="s">
        <v>244</v>
      </c>
      <c r="D143" s="44">
        <v>22138.384051138204</v>
      </c>
      <c r="E143" s="28">
        <v>17908.396104033491</v>
      </c>
      <c r="F143" s="27">
        <f t="shared" si="5"/>
        <v>4229.9879471047134</v>
      </c>
      <c r="G143" s="27">
        <f t="shared" si="4"/>
        <v>19.107031196738301</v>
      </c>
      <c r="H143" s="29">
        <v>63</v>
      </c>
      <c r="I143" s="29">
        <v>0</v>
      </c>
      <c r="J143" s="12" t="s">
        <v>31</v>
      </c>
      <c r="K143" s="30">
        <v>40.817111666700001</v>
      </c>
      <c r="L143" s="30">
        <v>72.1181916667</v>
      </c>
      <c r="M143" s="14">
        <v>63</v>
      </c>
    </row>
    <row r="144" spans="1:13" ht="30" customHeight="1">
      <c r="A144" s="5" t="s">
        <v>30</v>
      </c>
      <c r="B144" s="30" t="s">
        <v>391</v>
      </c>
      <c r="C144" s="30" t="s">
        <v>245</v>
      </c>
      <c r="D144" s="44">
        <v>21883.929791138205</v>
      </c>
      <c r="E144" s="28">
        <v>17690.905437366826</v>
      </c>
      <c r="F144" s="27">
        <f t="shared" si="5"/>
        <v>4193.0243537713795</v>
      </c>
      <c r="G144" s="27">
        <f t="shared" si="4"/>
        <v>19.160289736760742</v>
      </c>
      <c r="H144" s="29">
        <v>68</v>
      </c>
      <c r="I144" s="29">
        <v>3</v>
      </c>
      <c r="J144" s="12" t="s">
        <v>41</v>
      </c>
      <c r="K144" s="30">
        <v>40.820258333300004</v>
      </c>
      <c r="L144" s="30">
        <v>72.133414999999999</v>
      </c>
      <c r="M144" s="14">
        <v>100</v>
      </c>
    </row>
    <row r="145" spans="1:13" ht="30" customHeight="1">
      <c r="A145" s="5" t="s">
        <v>30</v>
      </c>
      <c r="B145" s="30" t="s">
        <v>391</v>
      </c>
      <c r="C145" s="30" t="s">
        <v>246</v>
      </c>
      <c r="D145" s="44">
        <v>21612.672081138207</v>
      </c>
      <c r="E145" s="28">
        <v>17441.403270700157</v>
      </c>
      <c r="F145" s="27">
        <f t="shared" si="5"/>
        <v>4171.2688104380504</v>
      </c>
      <c r="G145" s="27">
        <f t="shared" si="4"/>
        <v>19.300106876087739</v>
      </c>
      <c r="H145" s="29">
        <v>38</v>
      </c>
      <c r="I145" s="29">
        <v>3</v>
      </c>
      <c r="J145" s="12" t="s">
        <v>22</v>
      </c>
      <c r="K145" s="30">
        <v>40.8469716667</v>
      </c>
      <c r="L145" s="30">
        <v>72.074391666699995</v>
      </c>
      <c r="M145" s="14">
        <v>160</v>
      </c>
    </row>
    <row r="146" spans="1:13" ht="30" customHeight="1">
      <c r="A146" s="5" t="s">
        <v>45</v>
      </c>
      <c r="B146" s="30" t="s">
        <v>392</v>
      </c>
      <c r="C146" s="30" t="s">
        <v>247</v>
      </c>
      <c r="D146" s="44">
        <v>21774.000391138208</v>
      </c>
      <c r="E146" s="28">
        <v>17699.232270700159</v>
      </c>
      <c r="F146" s="27">
        <f t="shared" si="5"/>
        <v>4074.7681204380497</v>
      </c>
      <c r="G146" s="27">
        <f t="shared" si="4"/>
        <v>18.71391589621004</v>
      </c>
      <c r="H146" s="29">
        <v>33</v>
      </c>
      <c r="I146" s="29">
        <v>3</v>
      </c>
      <c r="J146" s="12" t="s">
        <v>31</v>
      </c>
      <c r="K146" s="30">
        <v>40.820270000000001</v>
      </c>
      <c r="L146" s="30">
        <v>72.169821666700003</v>
      </c>
      <c r="M146" s="14">
        <v>160</v>
      </c>
    </row>
    <row r="147" spans="1:13" ht="30" customHeight="1">
      <c r="A147" s="5" t="s">
        <v>45</v>
      </c>
      <c r="B147" s="30" t="s">
        <v>392</v>
      </c>
      <c r="C147" s="30" t="s">
        <v>248</v>
      </c>
      <c r="D147" s="44">
        <v>19740.743031138212</v>
      </c>
      <c r="E147" s="28">
        <v>15805.593437366826</v>
      </c>
      <c r="F147" s="27">
        <f t="shared" si="5"/>
        <v>3935.1495937713862</v>
      </c>
      <c r="G147" s="27">
        <f t="shared" si="4"/>
        <v>19.934151351670238</v>
      </c>
      <c r="H147" s="29">
        <v>62</v>
      </c>
      <c r="I147" s="29">
        <v>0</v>
      </c>
      <c r="J147" s="12" t="s">
        <v>46</v>
      </c>
      <c r="K147" s="30">
        <v>40.834253333299998</v>
      </c>
      <c r="L147" s="30">
        <v>72.203491666700003</v>
      </c>
      <c r="M147" s="20">
        <v>100</v>
      </c>
    </row>
    <row r="148" spans="1:13" ht="30" customHeight="1">
      <c r="A148" s="5" t="s">
        <v>45</v>
      </c>
      <c r="B148" s="30" t="s">
        <v>392</v>
      </c>
      <c r="C148" s="30" t="s">
        <v>249</v>
      </c>
      <c r="D148" s="44">
        <v>30676.016061138209</v>
      </c>
      <c r="E148" s="28">
        <v>25490.086937366832</v>
      </c>
      <c r="F148" s="27">
        <f t="shared" si="5"/>
        <v>5185.9291237713769</v>
      </c>
      <c r="G148" s="27">
        <f t="shared" si="4"/>
        <v>16.905484445684429</v>
      </c>
      <c r="H148" s="29">
        <v>103</v>
      </c>
      <c r="I148" s="29">
        <v>3</v>
      </c>
      <c r="J148" s="12" t="s">
        <v>46</v>
      </c>
      <c r="K148" s="30">
        <v>40.837441666700002</v>
      </c>
      <c r="L148" s="30">
        <v>72.2019633333</v>
      </c>
      <c r="M148" s="20">
        <v>100</v>
      </c>
    </row>
    <row r="149" spans="1:13" ht="30" customHeight="1">
      <c r="A149" s="5" t="s">
        <v>45</v>
      </c>
      <c r="B149" s="30" t="s">
        <v>392</v>
      </c>
      <c r="C149" s="30" t="s">
        <v>250</v>
      </c>
      <c r="D149" s="44">
        <v>28879.049971138207</v>
      </c>
      <c r="E149" s="28">
        <v>23886.523104033491</v>
      </c>
      <c r="F149" s="27">
        <f t="shared" si="5"/>
        <v>4992.5268671047161</v>
      </c>
      <c r="G149" s="27">
        <f t="shared" si="4"/>
        <v>17.287711583636789</v>
      </c>
      <c r="H149" s="29">
        <v>119</v>
      </c>
      <c r="I149" s="29">
        <v>0</v>
      </c>
      <c r="J149" s="12" t="s">
        <v>47</v>
      </c>
      <c r="K149" s="30">
        <v>40.832535</v>
      </c>
      <c r="L149" s="30">
        <v>72.175714999999997</v>
      </c>
      <c r="M149" s="20">
        <v>160</v>
      </c>
    </row>
    <row r="150" spans="1:13" ht="30" customHeight="1">
      <c r="A150" s="5" t="s">
        <v>45</v>
      </c>
      <c r="B150" s="30" t="s">
        <v>385</v>
      </c>
      <c r="C150" s="30" t="s">
        <v>251</v>
      </c>
      <c r="D150" s="44">
        <v>24232.759101138203</v>
      </c>
      <c r="E150" s="28">
        <v>19727.922770700156</v>
      </c>
      <c r="F150" s="27">
        <f t="shared" si="5"/>
        <v>4504.8363304380473</v>
      </c>
      <c r="G150" s="27">
        <f t="shared" si="4"/>
        <v>18.58986140058008</v>
      </c>
      <c r="H150" s="29">
        <v>70</v>
      </c>
      <c r="I150" s="29">
        <v>0</v>
      </c>
      <c r="J150" s="12" t="s">
        <v>47</v>
      </c>
      <c r="K150" s="30">
        <v>40.862508333299999</v>
      </c>
      <c r="L150" s="30">
        <v>72.001638333299994</v>
      </c>
      <c r="M150" s="20">
        <v>63</v>
      </c>
    </row>
    <row r="151" spans="1:13" ht="30" customHeight="1">
      <c r="A151" s="5" t="s">
        <v>45</v>
      </c>
      <c r="B151" s="30" t="s">
        <v>387</v>
      </c>
      <c r="C151" s="30" t="s">
        <v>252</v>
      </c>
      <c r="D151" s="44">
        <v>25875.74802113821</v>
      </c>
      <c r="E151" s="28">
        <v>21345.513937366828</v>
      </c>
      <c r="F151" s="27">
        <f t="shared" si="5"/>
        <v>4530.2340837713818</v>
      </c>
      <c r="G151" s="27">
        <f t="shared" si="4"/>
        <v>17.507644919368435</v>
      </c>
      <c r="H151" s="29">
        <v>83</v>
      </c>
      <c r="I151" s="29">
        <v>0</v>
      </c>
      <c r="J151" s="12" t="s">
        <v>46</v>
      </c>
      <c r="K151" s="30">
        <v>40.881864999999998</v>
      </c>
      <c r="L151" s="30">
        <v>71.974893333300002</v>
      </c>
      <c r="M151" s="20">
        <v>250</v>
      </c>
    </row>
    <row r="152" spans="1:13" ht="30" customHeight="1">
      <c r="A152" s="5" t="s">
        <v>45</v>
      </c>
      <c r="B152" s="30" t="s">
        <v>387</v>
      </c>
      <c r="C152" s="30" t="s">
        <v>253</v>
      </c>
      <c r="D152" s="44">
        <v>24115.828961138206</v>
      </c>
      <c r="E152" s="28">
        <v>19805.136104033492</v>
      </c>
      <c r="F152" s="27">
        <f t="shared" si="5"/>
        <v>4310.6928571047138</v>
      </c>
      <c r="G152" s="27">
        <f t="shared" si="4"/>
        <v>17.874952024461781</v>
      </c>
      <c r="H152" s="29">
        <v>55</v>
      </c>
      <c r="I152" s="29">
        <v>0</v>
      </c>
      <c r="J152" s="12" t="s">
        <v>47</v>
      </c>
      <c r="K152" s="30">
        <v>40.871471666700003</v>
      </c>
      <c r="L152" s="30">
        <v>71.970541666700001</v>
      </c>
      <c r="M152" s="20">
        <v>63</v>
      </c>
    </row>
    <row r="153" spans="1:13" ht="30" customHeight="1">
      <c r="A153" s="5" t="s">
        <v>45</v>
      </c>
      <c r="B153" s="30" t="s">
        <v>391</v>
      </c>
      <c r="C153" s="30" t="s">
        <v>254</v>
      </c>
      <c r="D153" s="44">
        <v>29135.19373113821</v>
      </c>
      <c r="E153" s="28">
        <v>24029.198270700163</v>
      </c>
      <c r="F153" s="27">
        <f t="shared" si="5"/>
        <v>5105.9954604380473</v>
      </c>
      <c r="G153" s="27">
        <f t="shared" si="4"/>
        <v>17.525181083594511</v>
      </c>
      <c r="H153" s="29">
        <v>140</v>
      </c>
      <c r="I153" s="29">
        <v>3</v>
      </c>
      <c r="J153" s="12" t="s">
        <v>47</v>
      </c>
      <c r="K153" s="30">
        <v>40.847968333300003</v>
      </c>
      <c r="L153" s="30">
        <v>72.039503333300004</v>
      </c>
      <c r="M153" s="20">
        <v>100</v>
      </c>
    </row>
    <row r="154" spans="1:13" ht="30" customHeight="1">
      <c r="A154" s="5" t="s">
        <v>45</v>
      </c>
      <c r="B154" s="30" t="s">
        <v>391</v>
      </c>
      <c r="C154" s="30" t="s">
        <v>255</v>
      </c>
      <c r="D154" s="44">
        <v>22710.257981138202</v>
      </c>
      <c r="E154" s="28">
        <v>18415.775604033493</v>
      </c>
      <c r="F154" s="27">
        <f t="shared" si="5"/>
        <v>4294.4823771047086</v>
      </c>
      <c r="G154" s="27">
        <f t="shared" si="4"/>
        <v>18.909879318286265</v>
      </c>
      <c r="H154" s="29">
        <v>94</v>
      </c>
      <c r="I154" s="29">
        <v>0</v>
      </c>
      <c r="J154" s="12" t="s">
        <v>47</v>
      </c>
      <c r="K154" s="30">
        <v>40.817636666699997</v>
      </c>
      <c r="L154" s="30">
        <v>72.128388333299995</v>
      </c>
      <c r="M154" s="20">
        <v>100</v>
      </c>
    </row>
    <row r="155" spans="1:13" ht="30" customHeight="1">
      <c r="A155" s="5" t="s">
        <v>45</v>
      </c>
      <c r="B155" s="30" t="s">
        <v>390</v>
      </c>
      <c r="C155" s="30" t="s">
        <v>256</v>
      </c>
      <c r="D155" s="44">
        <v>28647.711951138212</v>
      </c>
      <c r="E155" s="28">
        <v>23603.987270700163</v>
      </c>
      <c r="F155" s="27">
        <f t="shared" si="5"/>
        <v>5043.7246804380484</v>
      </c>
      <c r="G155" s="27">
        <f t="shared" si="4"/>
        <v>17.606029720770266</v>
      </c>
      <c r="H155" s="29">
        <v>103</v>
      </c>
      <c r="I155" s="29">
        <v>0</v>
      </c>
      <c r="J155" s="12" t="s">
        <v>48</v>
      </c>
      <c r="K155" s="30">
        <v>40.863979999999998</v>
      </c>
      <c r="L155" s="30">
        <v>72.082644999999999</v>
      </c>
      <c r="M155" s="20">
        <v>160</v>
      </c>
    </row>
    <row r="156" spans="1:13" ht="30" customHeight="1">
      <c r="A156" s="5" t="s">
        <v>45</v>
      </c>
      <c r="B156" s="30" t="s">
        <v>388</v>
      </c>
      <c r="C156" s="30" t="s">
        <v>257</v>
      </c>
      <c r="D156" s="44">
        <v>47354.464101138205</v>
      </c>
      <c r="E156" s="28">
        <v>40151.146270700141</v>
      </c>
      <c r="F156" s="27">
        <f t="shared" si="5"/>
        <v>7203.3178304380635</v>
      </c>
      <c r="G156" s="27">
        <f t="shared" si="4"/>
        <v>15.211486323767573</v>
      </c>
      <c r="H156" s="29">
        <v>119</v>
      </c>
      <c r="I156" s="29">
        <v>0</v>
      </c>
      <c r="J156" s="12" t="s">
        <v>48</v>
      </c>
      <c r="K156" s="30">
        <v>40.869881666700003</v>
      </c>
      <c r="L156" s="30">
        <v>71.981340000000003</v>
      </c>
      <c r="M156" s="20">
        <v>250</v>
      </c>
    </row>
    <row r="157" spans="1:13" ht="30" customHeight="1">
      <c r="A157" s="5" t="s">
        <v>45</v>
      </c>
      <c r="B157" s="30" t="s">
        <v>387</v>
      </c>
      <c r="C157" s="30" t="s">
        <v>258</v>
      </c>
      <c r="D157" s="44">
        <v>21965.889961138204</v>
      </c>
      <c r="E157" s="28">
        <v>17755.55927070016</v>
      </c>
      <c r="F157" s="27">
        <f t="shared" si="5"/>
        <v>4210.3306904380443</v>
      </c>
      <c r="G157" s="27">
        <f t="shared" si="4"/>
        <v>19.167585278296997</v>
      </c>
      <c r="H157" s="29">
        <v>68</v>
      </c>
      <c r="I157" s="29">
        <v>0</v>
      </c>
      <c r="J157" s="12" t="s">
        <v>47</v>
      </c>
      <c r="K157" s="30">
        <v>40.883203333300003</v>
      </c>
      <c r="L157" s="30">
        <v>71.969184999999996</v>
      </c>
      <c r="M157" s="14">
        <v>100</v>
      </c>
    </row>
    <row r="158" spans="1:13" ht="30" customHeight="1">
      <c r="A158" s="5" t="s">
        <v>45</v>
      </c>
      <c r="B158" s="30" t="s">
        <v>389</v>
      </c>
      <c r="C158" s="30" t="s">
        <v>259</v>
      </c>
      <c r="D158" s="44">
        <v>23047.103601138202</v>
      </c>
      <c r="E158" s="28">
        <v>18902.174437366823</v>
      </c>
      <c r="F158" s="27">
        <f t="shared" si="5"/>
        <v>4144.9291637713795</v>
      </c>
      <c r="G158" s="27">
        <f t="shared" si="4"/>
        <v>17.984598999965783</v>
      </c>
      <c r="H158" s="29">
        <v>34</v>
      </c>
      <c r="I158" s="29">
        <v>0</v>
      </c>
      <c r="J158" s="12" t="s">
        <v>49</v>
      </c>
      <c r="K158" s="30">
        <v>40.877465000000001</v>
      </c>
      <c r="L158" s="30">
        <v>72.08811</v>
      </c>
      <c r="M158" s="14">
        <v>250</v>
      </c>
    </row>
    <row r="159" spans="1:13" ht="30" customHeight="1">
      <c r="A159" s="5" t="s">
        <v>45</v>
      </c>
      <c r="B159" s="30" t="s">
        <v>387</v>
      </c>
      <c r="C159" s="30" t="s">
        <v>260</v>
      </c>
      <c r="D159" s="44">
        <v>20889.088111138211</v>
      </c>
      <c r="E159" s="28">
        <v>16805.781937366824</v>
      </c>
      <c r="F159" s="27">
        <f t="shared" si="5"/>
        <v>4083.306173771387</v>
      </c>
      <c r="G159" s="27">
        <f t="shared" si="4"/>
        <v>19.547555891605143</v>
      </c>
      <c r="H159" s="29">
        <v>52</v>
      </c>
      <c r="I159" s="29">
        <v>0</v>
      </c>
      <c r="J159" s="12" t="s">
        <v>20</v>
      </c>
      <c r="K159" s="30">
        <v>40.886789999999998</v>
      </c>
      <c r="L159" s="30">
        <v>71.967898333299999</v>
      </c>
      <c r="M159" s="14">
        <v>100</v>
      </c>
    </row>
    <row r="160" spans="1:13" ht="30" customHeight="1">
      <c r="A160" s="5" t="s">
        <v>45</v>
      </c>
      <c r="B160" s="30" t="s">
        <v>391</v>
      </c>
      <c r="C160" s="30" t="s">
        <v>261</v>
      </c>
      <c r="D160" s="44">
        <v>25038.421931138208</v>
      </c>
      <c r="E160" s="28">
        <v>20533.445937366825</v>
      </c>
      <c r="F160" s="27">
        <f t="shared" si="5"/>
        <v>4504.9759937713825</v>
      </c>
      <c r="G160" s="27">
        <f t="shared" si="4"/>
        <v>17.992252092249142</v>
      </c>
      <c r="H160" s="29">
        <v>75</v>
      </c>
      <c r="I160" s="29">
        <v>2</v>
      </c>
      <c r="J160" s="12" t="s">
        <v>48</v>
      </c>
      <c r="K160" s="30">
        <v>40.813769904799997</v>
      </c>
      <c r="L160" s="30">
        <v>72.127671415400002</v>
      </c>
      <c r="M160" s="14">
        <v>100</v>
      </c>
    </row>
    <row r="161" spans="1:13" ht="30" customHeight="1">
      <c r="A161" s="5" t="s">
        <v>45</v>
      </c>
      <c r="B161" s="30" t="s">
        <v>387</v>
      </c>
      <c r="C161" s="30" t="s">
        <v>262</v>
      </c>
      <c r="D161" s="44">
        <v>20995.127681138205</v>
      </c>
      <c r="E161" s="28">
        <v>16894.067104033493</v>
      </c>
      <c r="F161" s="27">
        <f t="shared" si="5"/>
        <v>4101.0605771047121</v>
      </c>
      <c r="G161" s="27">
        <f t="shared" si="4"/>
        <v>19.533391934496596</v>
      </c>
      <c r="H161" s="29">
        <v>147</v>
      </c>
      <c r="I161" s="29">
        <v>2</v>
      </c>
      <c r="J161" s="12" t="s">
        <v>29</v>
      </c>
      <c r="K161" s="30">
        <v>40.868474999999997</v>
      </c>
      <c r="L161" s="30">
        <v>71.973686666700004</v>
      </c>
      <c r="M161" s="14">
        <v>100</v>
      </c>
    </row>
    <row r="162" spans="1:13" ht="30" customHeight="1">
      <c r="A162" s="5" t="s">
        <v>45</v>
      </c>
      <c r="B162" s="30" t="s">
        <v>389</v>
      </c>
      <c r="C162" s="30" t="s">
        <v>263</v>
      </c>
      <c r="D162" s="44">
        <v>25044.166381138206</v>
      </c>
      <c r="E162" s="28">
        <v>20671.825270700159</v>
      </c>
      <c r="F162" s="27">
        <f t="shared" si="5"/>
        <v>4372.3411104380466</v>
      </c>
      <c r="G162" s="27">
        <f t="shared" si="4"/>
        <v>17.458521253600349</v>
      </c>
      <c r="H162" s="29">
        <v>228</v>
      </c>
      <c r="I162" s="29">
        <v>2</v>
      </c>
      <c r="J162" s="12" t="s">
        <v>46</v>
      </c>
      <c r="K162" s="30">
        <v>40.877846666700002</v>
      </c>
      <c r="L162" s="30">
        <v>72.089301666699996</v>
      </c>
      <c r="M162" s="14">
        <v>100</v>
      </c>
    </row>
    <row r="163" spans="1:13" ht="30" customHeight="1">
      <c r="A163" s="5" t="s">
        <v>45</v>
      </c>
      <c r="B163" s="30" t="s">
        <v>392</v>
      </c>
      <c r="C163" s="30" t="s">
        <v>264</v>
      </c>
      <c r="D163" s="44">
        <v>29339.833901138212</v>
      </c>
      <c r="E163" s="28">
        <v>24419.806604033496</v>
      </c>
      <c r="F163" s="27">
        <f t="shared" si="5"/>
        <v>4920.0272971047161</v>
      </c>
      <c r="G163" s="27">
        <f t="shared" si="4"/>
        <v>16.769104125411726</v>
      </c>
      <c r="H163" s="29">
        <v>86</v>
      </c>
      <c r="I163" s="29">
        <v>2</v>
      </c>
      <c r="J163" s="12" t="s">
        <v>36</v>
      </c>
      <c r="K163" s="30">
        <v>40.820733333299998</v>
      </c>
      <c r="L163" s="30">
        <v>72.163296666700006</v>
      </c>
      <c r="M163" s="20">
        <v>63</v>
      </c>
    </row>
    <row r="164" spans="1:13" ht="30" customHeight="1">
      <c r="A164" s="5" t="s">
        <v>30</v>
      </c>
      <c r="B164" s="30" t="s">
        <v>391</v>
      </c>
      <c r="C164" s="30" t="s">
        <v>265</v>
      </c>
      <c r="D164" s="44">
        <v>22426.857551138208</v>
      </c>
      <c r="E164" s="28">
        <v>18152.444270700158</v>
      </c>
      <c r="F164" s="27">
        <f t="shared" si="5"/>
        <v>4274.4132804380497</v>
      </c>
      <c r="G164" s="27">
        <f t="shared" si="4"/>
        <v>19.059350025706632</v>
      </c>
      <c r="H164" s="29">
        <v>73</v>
      </c>
      <c r="I164" s="29">
        <v>2</v>
      </c>
      <c r="J164" s="12" t="s">
        <v>36</v>
      </c>
      <c r="K164" s="30">
        <v>40.852661666700001</v>
      </c>
      <c r="L164" s="30">
        <v>72.0707816667</v>
      </c>
      <c r="M164" s="20">
        <v>100</v>
      </c>
    </row>
    <row r="165" spans="1:13" ht="30" customHeight="1">
      <c r="A165" s="5" t="s">
        <v>30</v>
      </c>
      <c r="B165" s="30" t="s">
        <v>388</v>
      </c>
      <c r="C165" s="30" t="s">
        <v>266</v>
      </c>
      <c r="D165" s="44">
        <v>24001.377651138206</v>
      </c>
      <c r="E165" s="28">
        <v>19523.565937366828</v>
      </c>
      <c r="F165" s="27">
        <f t="shared" si="5"/>
        <v>4477.811713771378</v>
      </c>
      <c r="G165" s="27">
        <f t="shared" si="4"/>
        <v>18.656477885797646</v>
      </c>
      <c r="H165" s="29">
        <v>95</v>
      </c>
      <c r="I165" s="29">
        <v>0</v>
      </c>
      <c r="J165" s="12" t="s">
        <v>36</v>
      </c>
      <c r="K165" s="30">
        <v>40.877846666700002</v>
      </c>
      <c r="L165" s="30">
        <v>72.000298333299995</v>
      </c>
      <c r="M165" s="20">
        <v>100</v>
      </c>
    </row>
    <row r="166" spans="1:13" ht="30" customHeight="1">
      <c r="A166" s="5" t="s">
        <v>30</v>
      </c>
      <c r="B166" s="30" t="s">
        <v>385</v>
      </c>
      <c r="C166" s="30" t="s">
        <v>267</v>
      </c>
      <c r="D166" s="44">
        <v>29744.900561138213</v>
      </c>
      <c r="E166" s="28">
        <v>24564.548437366833</v>
      </c>
      <c r="F166" s="27">
        <f t="shared" si="5"/>
        <v>5180.3521237713794</v>
      </c>
      <c r="G166" s="27">
        <f t="shared" si="4"/>
        <v>17.415933575315169</v>
      </c>
      <c r="H166" s="29">
        <v>114</v>
      </c>
      <c r="I166" s="29">
        <v>0</v>
      </c>
      <c r="J166" s="12" t="s">
        <v>36</v>
      </c>
      <c r="K166" s="30">
        <v>40.869096666700003</v>
      </c>
      <c r="L166" s="30">
        <v>71.993186666699998</v>
      </c>
      <c r="M166" s="20">
        <v>160</v>
      </c>
    </row>
    <row r="167" spans="1:13" ht="30" customHeight="1">
      <c r="A167" s="5" t="s">
        <v>30</v>
      </c>
      <c r="B167" s="30" t="s">
        <v>390</v>
      </c>
      <c r="C167" s="30" t="s">
        <v>268</v>
      </c>
      <c r="D167" s="44">
        <v>19714.255411138205</v>
      </c>
      <c r="E167" s="28">
        <v>15776.008437366825</v>
      </c>
      <c r="F167" s="27">
        <f t="shared" si="5"/>
        <v>3938.24697377138</v>
      </c>
      <c r="G167" s="27">
        <f t="shared" si="4"/>
        <v>19.976645790773009</v>
      </c>
      <c r="H167" s="29">
        <v>72</v>
      </c>
      <c r="I167" s="29">
        <v>0</v>
      </c>
      <c r="J167" s="12" t="s">
        <v>50</v>
      </c>
      <c r="K167" s="30">
        <v>40.859043333300001</v>
      </c>
      <c r="L167" s="30">
        <v>72.065916666700005</v>
      </c>
      <c r="M167" s="20">
        <v>250</v>
      </c>
    </row>
    <row r="168" spans="1:13" ht="30" customHeight="1">
      <c r="A168" s="5" t="s">
        <v>30</v>
      </c>
      <c r="B168" s="30" t="s">
        <v>389</v>
      </c>
      <c r="C168" s="30" t="s">
        <v>269</v>
      </c>
      <c r="D168" s="44">
        <v>27114.772841138209</v>
      </c>
      <c r="E168" s="28">
        <v>22251.934104033495</v>
      </c>
      <c r="F168" s="27">
        <f t="shared" si="5"/>
        <v>4862.8387371047138</v>
      </c>
      <c r="G168" s="27">
        <f t="shared" si="4"/>
        <v>17.934277987853445</v>
      </c>
      <c r="H168" s="29">
        <v>137</v>
      </c>
      <c r="I168" s="29">
        <v>0</v>
      </c>
      <c r="J168" s="12" t="s">
        <v>50</v>
      </c>
      <c r="K168" s="30">
        <v>40.880443333300001</v>
      </c>
      <c r="L168" s="30">
        <v>72.033211666699998</v>
      </c>
      <c r="M168" s="20">
        <v>400</v>
      </c>
    </row>
    <row r="169" spans="1:13" ht="30" customHeight="1">
      <c r="A169" s="5" t="s">
        <v>30</v>
      </c>
      <c r="B169" s="30" t="s">
        <v>388</v>
      </c>
      <c r="C169" s="30" t="s">
        <v>270</v>
      </c>
      <c r="D169" s="44">
        <v>28888.908501138209</v>
      </c>
      <c r="E169" s="28">
        <v>24116.976770700163</v>
      </c>
      <c r="F169" s="27">
        <f t="shared" si="5"/>
        <v>4771.9317304380456</v>
      </c>
      <c r="G169" s="27">
        <f t="shared" si="4"/>
        <v>16.518214006770226</v>
      </c>
      <c r="H169" s="29">
        <v>87</v>
      </c>
      <c r="I169" s="29">
        <v>2</v>
      </c>
      <c r="J169" s="12" t="s">
        <v>50</v>
      </c>
      <c r="K169" s="30">
        <v>40.874026666600002</v>
      </c>
      <c r="L169" s="30">
        <v>72.094549999700007</v>
      </c>
      <c r="M169" s="20">
        <v>160</v>
      </c>
    </row>
    <row r="170" spans="1:13" ht="30" customHeight="1">
      <c r="A170" s="5" t="s">
        <v>30</v>
      </c>
      <c r="B170" s="30" t="s">
        <v>388</v>
      </c>
      <c r="C170" s="30" t="s">
        <v>271</v>
      </c>
      <c r="D170" s="44">
        <v>25169.365521138207</v>
      </c>
      <c r="E170" s="28">
        <v>20862.783437366823</v>
      </c>
      <c r="F170" s="27">
        <f t="shared" si="5"/>
        <v>4306.5820837713836</v>
      </c>
      <c r="G170" s="27">
        <f t="shared" si="4"/>
        <v>17.110411782746567</v>
      </c>
      <c r="H170" s="29">
        <v>57</v>
      </c>
      <c r="I170" s="29">
        <v>2</v>
      </c>
      <c r="J170" s="12" t="s">
        <v>37</v>
      </c>
      <c r="K170" s="30">
        <v>40.877225000000003</v>
      </c>
      <c r="L170" s="30">
        <v>71.997230000000002</v>
      </c>
      <c r="M170" s="23">
        <v>100</v>
      </c>
    </row>
    <row r="171" spans="1:13" ht="30" customHeight="1">
      <c r="A171" s="5" t="s">
        <v>30</v>
      </c>
      <c r="B171" s="30" t="s">
        <v>388</v>
      </c>
      <c r="C171" s="30" t="s">
        <v>272</v>
      </c>
      <c r="D171" s="44">
        <v>26972.067021138209</v>
      </c>
      <c r="E171" s="28">
        <v>22439.950104033491</v>
      </c>
      <c r="F171" s="27">
        <f t="shared" si="5"/>
        <v>4532.1169171047186</v>
      </c>
      <c r="G171" s="27">
        <f t="shared" si="4"/>
        <v>16.803001837244675</v>
      </c>
      <c r="H171" s="29">
        <v>114</v>
      </c>
      <c r="I171" s="29">
        <v>2</v>
      </c>
      <c r="J171" s="12" t="s">
        <v>37</v>
      </c>
      <c r="K171" s="30">
        <v>40.878791666700003</v>
      </c>
      <c r="L171" s="30">
        <v>72.014080000000007</v>
      </c>
      <c r="M171" s="20">
        <v>100</v>
      </c>
    </row>
    <row r="172" spans="1:13" ht="30" customHeight="1">
      <c r="A172" s="5" t="s">
        <v>30</v>
      </c>
      <c r="B172" s="30" t="s">
        <v>384</v>
      </c>
      <c r="C172" s="30" t="s">
        <v>100</v>
      </c>
      <c r="D172" s="44">
        <v>27536.052177138205</v>
      </c>
      <c r="E172" s="28">
        <v>22933.375437366831</v>
      </c>
      <c r="F172" s="27">
        <f t="shared" si="5"/>
        <v>4602.6767397713738</v>
      </c>
      <c r="G172" s="27">
        <f t="shared" si="4"/>
        <v>16.715093035713899</v>
      </c>
      <c r="H172" s="29">
        <v>86</v>
      </c>
      <c r="I172" s="29">
        <v>2</v>
      </c>
      <c r="J172" s="12" t="s">
        <v>37</v>
      </c>
      <c r="K172" s="30">
        <v>40.879103333300002</v>
      </c>
      <c r="L172" s="30">
        <v>71.946520000000007</v>
      </c>
      <c r="M172" s="20">
        <v>100</v>
      </c>
    </row>
    <row r="173" spans="1:13" ht="30" customHeight="1">
      <c r="A173" s="5" t="s">
        <v>13</v>
      </c>
      <c r="B173" s="30" t="s">
        <v>389</v>
      </c>
      <c r="C173" s="30" t="s">
        <v>273</v>
      </c>
      <c r="D173" s="44">
        <v>25736.224941138207</v>
      </c>
      <c r="E173" s="28">
        <v>21358.723437366825</v>
      </c>
      <c r="F173" s="27">
        <f t="shared" si="5"/>
        <v>4377.501503771382</v>
      </c>
      <c r="G173" s="27">
        <f t="shared" si="4"/>
        <v>17.009104924219638</v>
      </c>
      <c r="H173" s="29">
        <v>99</v>
      </c>
      <c r="I173" s="29">
        <v>2</v>
      </c>
      <c r="J173" s="12"/>
      <c r="K173" s="30">
        <v>40.867316666699999</v>
      </c>
      <c r="L173" s="30">
        <v>72.0448633333</v>
      </c>
      <c r="M173" s="14">
        <v>400</v>
      </c>
    </row>
    <row r="174" spans="1:13" ht="30" customHeight="1">
      <c r="A174" s="5" t="s">
        <v>13</v>
      </c>
      <c r="B174" s="30" t="s">
        <v>391</v>
      </c>
      <c r="C174" s="30" t="s">
        <v>274</v>
      </c>
      <c r="D174" s="44">
        <v>27161.515461138202</v>
      </c>
      <c r="E174" s="28">
        <v>22605.696770700157</v>
      </c>
      <c r="F174" s="27">
        <f t="shared" si="5"/>
        <v>4555.8186904380455</v>
      </c>
      <c r="G174" s="27">
        <f t="shared" si="4"/>
        <v>16.773065173614338</v>
      </c>
      <c r="H174" s="29">
        <v>73</v>
      </c>
      <c r="I174" s="29">
        <v>5</v>
      </c>
      <c r="J174" s="12" t="s">
        <v>23</v>
      </c>
      <c r="K174" s="30">
        <v>40.821199999999997</v>
      </c>
      <c r="L174" s="30">
        <v>72.145963333300003</v>
      </c>
      <c r="M174" s="14">
        <v>100</v>
      </c>
    </row>
    <row r="175" spans="1:13" ht="30" customHeight="1">
      <c r="A175" s="5" t="s">
        <v>13</v>
      </c>
      <c r="B175" s="30" t="s">
        <v>391</v>
      </c>
      <c r="C175" s="30" t="s">
        <v>275</v>
      </c>
      <c r="D175" s="44">
        <v>29881.649721138212</v>
      </c>
      <c r="E175" s="28">
        <v>24985.516770700164</v>
      </c>
      <c r="F175" s="27">
        <f t="shared" si="5"/>
        <v>4896.1329504380483</v>
      </c>
      <c r="G175" s="27">
        <f t="shared" si="4"/>
        <v>16.385082470779832</v>
      </c>
      <c r="H175" s="29">
        <v>150</v>
      </c>
      <c r="I175" s="29">
        <v>3</v>
      </c>
      <c r="J175" s="12" t="s">
        <v>40</v>
      </c>
      <c r="K175" s="30">
        <v>40.853495000000002</v>
      </c>
      <c r="L175" s="30">
        <v>72.061329999999998</v>
      </c>
      <c r="M175" s="20">
        <v>250</v>
      </c>
    </row>
    <row r="176" spans="1:13" ht="30" customHeight="1">
      <c r="A176" s="5" t="s">
        <v>13</v>
      </c>
      <c r="B176" s="30" t="s">
        <v>390</v>
      </c>
      <c r="C176" s="30" t="s">
        <v>276</v>
      </c>
      <c r="D176" s="44">
        <v>24909.805461138203</v>
      </c>
      <c r="E176" s="28">
        <v>20635.696770700157</v>
      </c>
      <c r="F176" s="27">
        <f t="shared" si="5"/>
        <v>4274.1086904380463</v>
      </c>
      <c r="G176" s="27">
        <f t="shared" si="4"/>
        <v>17.15833829816971</v>
      </c>
      <c r="H176" s="29">
        <v>84</v>
      </c>
      <c r="I176" s="29">
        <v>0</v>
      </c>
      <c r="J176" s="12" t="s">
        <v>40</v>
      </c>
      <c r="K176" s="30">
        <v>40.8542466667</v>
      </c>
      <c r="L176" s="30">
        <v>72.141778333299996</v>
      </c>
      <c r="M176" s="21">
        <v>160</v>
      </c>
    </row>
    <row r="177" spans="1:13" ht="30" customHeight="1">
      <c r="A177" s="5" t="s">
        <v>13</v>
      </c>
      <c r="B177" s="30" t="s">
        <v>390</v>
      </c>
      <c r="C177" s="30" t="s">
        <v>277</v>
      </c>
      <c r="D177" s="44">
        <v>25451.069301138203</v>
      </c>
      <c r="E177" s="28">
        <v>21109.243437366826</v>
      </c>
      <c r="F177" s="27">
        <f t="shared" si="5"/>
        <v>4341.825863771377</v>
      </c>
      <c r="G177" s="27">
        <f t="shared" si="4"/>
        <v>17.059502736009623</v>
      </c>
      <c r="H177" s="29">
        <v>109</v>
      </c>
      <c r="I177" s="29">
        <v>2</v>
      </c>
      <c r="J177" s="12" t="s">
        <v>40</v>
      </c>
      <c r="K177" s="30">
        <v>40.870876666699999</v>
      </c>
      <c r="L177" s="30">
        <v>72.127028333300004</v>
      </c>
      <c r="M177" s="20">
        <v>100</v>
      </c>
    </row>
    <row r="178" spans="1:13" ht="30" customHeight="1">
      <c r="A178" s="5" t="s">
        <v>13</v>
      </c>
      <c r="B178" s="30" t="s">
        <v>385</v>
      </c>
      <c r="C178" s="30" t="s">
        <v>278</v>
      </c>
      <c r="D178" s="44">
        <v>25615.684161138204</v>
      </c>
      <c r="E178" s="28">
        <v>21253.263437366826</v>
      </c>
      <c r="F178" s="27">
        <f t="shared" si="5"/>
        <v>4362.4207237713781</v>
      </c>
      <c r="G178" s="27">
        <f t="shared" si="4"/>
        <v>17.030272142368339</v>
      </c>
      <c r="H178" s="29">
        <v>107</v>
      </c>
      <c r="I178" s="29">
        <v>5</v>
      </c>
      <c r="J178" s="12" t="s">
        <v>18</v>
      </c>
      <c r="K178" s="30">
        <v>40.85586</v>
      </c>
      <c r="L178" s="30">
        <v>72.008968333300004</v>
      </c>
      <c r="M178" s="20">
        <v>100</v>
      </c>
    </row>
    <row r="179" spans="1:13" ht="30" customHeight="1">
      <c r="A179" s="5" t="s">
        <v>13</v>
      </c>
      <c r="B179" s="30" t="s">
        <v>391</v>
      </c>
      <c r="C179" s="30" t="s">
        <v>279</v>
      </c>
      <c r="D179" s="44">
        <v>26508.195711138207</v>
      </c>
      <c r="E179" s="28">
        <v>22034.113437366825</v>
      </c>
      <c r="F179" s="27">
        <f t="shared" si="5"/>
        <v>4474.0822737713825</v>
      </c>
      <c r="G179" s="27">
        <f t="shared" si="4"/>
        <v>16.878109406335277</v>
      </c>
      <c r="H179" s="29">
        <v>67</v>
      </c>
      <c r="I179" s="29">
        <v>2</v>
      </c>
      <c r="J179" s="12" t="s">
        <v>23</v>
      </c>
      <c r="K179" s="30">
        <v>40.827616666700003</v>
      </c>
      <c r="L179" s="30">
        <v>72.112166666700006</v>
      </c>
      <c r="M179" s="20">
        <v>100</v>
      </c>
    </row>
    <row r="180" spans="1:13" ht="30" customHeight="1">
      <c r="A180" s="5" t="s">
        <v>13</v>
      </c>
      <c r="B180" s="30" t="s">
        <v>391</v>
      </c>
      <c r="C180" s="30" t="s">
        <v>280</v>
      </c>
      <c r="D180" s="44">
        <v>27273.030351138208</v>
      </c>
      <c r="E180" s="28">
        <v>22703.260104033496</v>
      </c>
      <c r="F180" s="27">
        <f t="shared" si="5"/>
        <v>4569.7702471047123</v>
      </c>
      <c r="G180" s="27">
        <f t="shared" si="4"/>
        <v>16.755638036071772</v>
      </c>
      <c r="H180" s="29">
        <v>61</v>
      </c>
      <c r="I180" s="29">
        <v>5</v>
      </c>
      <c r="J180" s="12" t="s">
        <v>23</v>
      </c>
      <c r="K180" s="30">
        <v>40.813206666699998</v>
      </c>
      <c r="L180" s="30">
        <v>72.109205000000003</v>
      </c>
      <c r="M180" s="20">
        <v>160</v>
      </c>
    </row>
    <row r="181" spans="1:13" ht="30" customHeight="1">
      <c r="A181" s="5" t="s">
        <v>13</v>
      </c>
      <c r="B181" s="30" t="s">
        <v>387</v>
      </c>
      <c r="C181" s="30" t="s">
        <v>281</v>
      </c>
      <c r="D181" s="44">
        <v>21812.324991138212</v>
      </c>
      <c r="E181" s="28">
        <v>17925.740104033492</v>
      </c>
      <c r="F181" s="27">
        <f t="shared" si="5"/>
        <v>3886.5848871047201</v>
      </c>
      <c r="G181" s="27">
        <f t="shared" si="4"/>
        <v>17.818297172280992</v>
      </c>
      <c r="H181" s="29">
        <v>18</v>
      </c>
      <c r="I181" s="29">
        <v>0</v>
      </c>
      <c r="J181" s="12" t="s">
        <v>23</v>
      </c>
      <c r="K181" s="30">
        <v>40.879336666699999</v>
      </c>
      <c r="L181" s="30">
        <v>71.986581666700005</v>
      </c>
      <c r="M181" s="20">
        <v>100</v>
      </c>
    </row>
    <row r="182" spans="1:13" ht="30" customHeight="1">
      <c r="A182" s="5" t="s">
        <v>13</v>
      </c>
      <c r="B182" s="30" t="s">
        <v>390</v>
      </c>
      <c r="C182" s="30" t="s">
        <v>282</v>
      </c>
      <c r="D182" s="44">
        <v>24654.409731138207</v>
      </c>
      <c r="E182" s="28">
        <v>20412.253437366824</v>
      </c>
      <c r="F182" s="27">
        <f t="shared" si="5"/>
        <v>4242.1562937713825</v>
      </c>
      <c r="G182" s="27">
        <f t="shared" si="4"/>
        <v>17.206480869073872</v>
      </c>
      <c r="H182" s="29">
        <v>28</v>
      </c>
      <c r="I182" s="29">
        <v>0</v>
      </c>
      <c r="J182" s="12" t="s">
        <v>23</v>
      </c>
      <c r="K182" s="30">
        <v>40.851741666700001</v>
      </c>
      <c r="L182" s="30">
        <v>72.133139999999997</v>
      </c>
      <c r="M182" s="20">
        <v>100</v>
      </c>
    </row>
    <row r="183" spans="1:13" ht="30" customHeight="1">
      <c r="A183" s="5" t="s">
        <v>13</v>
      </c>
      <c r="B183" s="30" t="s">
        <v>389</v>
      </c>
      <c r="C183" s="30" t="s">
        <v>283</v>
      </c>
      <c r="D183" s="44">
        <v>25702.384521138207</v>
      </c>
      <c r="E183" s="28">
        <v>21329.116770700159</v>
      </c>
      <c r="F183" s="27">
        <f t="shared" si="5"/>
        <v>4373.2677504380481</v>
      </c>
      <c r="G183" s="27">
        <f t="shared" si="4"/>
        <v>17.015027328851048</v>
      </c>
      <c r="H183" s="29">
        <v>84</v>
      </c>
      <c r="I183" s="29">
        <v>2</v>
      </c>
      <c r="J183" s="12" t="s">
        <v>23</v>
      </c>
      <c r="K183" s="30">
        <v>40.878543333300001</v>
      </c>
      <c r="L183" s="30">
        <v>72.055769999999995</v>
      </c>
      <c r="M183" s="20">
        <v>250</v>
      </c>
    </row>
    <row r="184" spans="1:13" ht="30" customHeight="1">
      <c r="A184" s="5" t="s">
        <v>13</v>
      </c>
      <c r="B184" s="30" t="s">
        <v>385</v>
      </c>
      <c r="C184" s="30" t="s">
        <v>284</v>
      </c>
      <c r="D184" s="44">
        <v>27459.506991138209</v>
      </c>
      <c r="E184" s="28">
        <v>22866.406770700163</v>
      </c>
      <c r="F184" s="27">
        <f t="shared" si="5"/>
        <v>4593.1002204380457</v>
      </c>
      <c r="G184" s="27">
        <f t="shared" si="4"/>
        <v>16.726812400238433</v>
      </c>
      <c r="H184" s="29">
        <v>97</v>
      </c>
      <c r="I184" s="29">
        <v>0</v>
      </c>
      <c r="J184" s="12" t="s">
        <v>23</v>
      </c>
      <c r="K184" s="30">
        <v>40.863901666700002</v>
      </c>
      <c r="L184" s="30">
        <v>71.990183333299996</v>
      </c>
      <c r="M184" s="20">
        <v>100</v>
      </c>
    </row>
    <row r="185" spans="1:13" ht="30" customHeight="1">
      <c r="A185" s="5" t="s">
        <v>13</v>
      </c>
      <c r="B185" s="30" t="s">
        <v>384</v>
      </c>
      <c r="C185" s="30" t="s">
        <v>112</v>
      </c>
      <c r="D185" s="44">
        <v>25059.83183113821</v>
      </c>
      <c r="E185" s="28">
        <v>20766.953437366825</v>
      </c>
      <c r="F185" s="27">
        <f t="shared" si="5"/>
        <v>4292.8783937713852</v>
      </c>
      <c r="G185" s="27">
        <f t="shared" si="4"/>
        <v>17.130515570488583</v>
      </c>
      <c r="H185" s="29">
        <v>94</v>
      </c>
      <c r="I185" s="29">
        <v>3</v>
      </c>
      <c r="J185" s="12" t="s">
        <v>19</v>
      </c>
      <c r="K185" s="30">
        <v>40.877413333299998</v>
      </c>
      <c r="L185" s="30">
        <v>71.930764999999994</v>
      </c>
      <c r="M185" s="20">
        <v>160</v>
      </c>
    </row>
    <row r="186" spans="1:13" ht="30" customHeight="1">
      <c r="A186" s="5" t="s">
        <v>13</v>
      </c>
      <c r="B186" s="30" t="s">
        <v>388</v>
      </c>
      <c r="C186" s="30" t="s">
        <v>285</v>
      </c>
      <c r="D186" s="44">
        <v>23308.67963113821</v>
      </c>
      <c r="E186" s="28">
        <v>19234.886770700159</v>
      </c>
      <c r="F186" s="27">
        <f t="shared" si="5"/>
        <v>4073.7928604380504</v>
      </c>
      <c r="G186" s="27">
        <f t="shared" si="4"/>
        <v>17.477578845761155</v>
      </c>
      <c r="H186" s="29">
        <v>47</v>
      </c>
      <c r="I186" s="29">
        <v>0</v>
      </c>
      <c r="J186" s="12" t="s">
        <v>19</v>
      </c>
      <c r="K186" s="30">
        <v>40.874026666600002</v>
      </c>
      <c r="L186" s="30">
        <v>72.094549999700007</v>
      </c>
      <c r="M186" s="20">
        <v>160</v>
      </c>
    </row>
    <row r="187" spans="1:13" ht="30" customHeight="1">
      <c r="A187" s="5" t="s">
        <v>13</v>
      </c>
      <c r="B187" s="30" t="s">
        <v>387</v>
      </c>
      <c r="C187" s="30" t="s">
        <v>286</v>
      </c>
      <c r="D187" s="44">
        <v>32972.119791138211</v>
      </c>
      <c r="E187" s="28">
        <v>27689.340104033497</v>
      </c>
      <c r="F187" s="27">
        <f t="shared" si="5"/>
        <v>5282.779687104714</v>
      </c>
      <c r="G187" s="27">
        <f t="shared" si="4"/>
        <v>16.021959523890079</v>
      </c>
      <c r="H187" s="29">
        <v>54</v>
      </c>
      <c r="I187" s="29">
        <v>3</v>
      </c>
      <c r="J187" s="12" t="s">
        <v>19</v>
      </c>
      <c r="K187" s="30">
        <v>40.8828566667</v>
      </c>
      <c r="L187" s="30">
        <v>71.988209999999995</v>
      </c>
      <c r="M187" s="20">
        <v>160</v>
      </c>
    </row>
    <row r="188" spans="1:13" ht="30" customHeight="1">
      <c r="A188" s="5" t="s">
        <v>13</v>
      </c>
      <c r="B188" s="30" t="s">
        <v>390</v>
      </c>
      <c r="C188" s="30" t="s">
        <v>287</v>
      </c>
      <c r="D188" s="44">
        <v>24344.095518138209</v>
      </c>
      <c r="E188" s="28">
        <v>20140.762437366826</v>
      </c>
      <c r="F188" s="27">
        <f t="shared" si="5"/>
        <v>4203.3330807713828</v>
      </c>
      <c r="G188" s="27">
        <f t="shared" si="4"/>
        <v>17.266334983115634</v>
      </c>
      <c r="H188" s="29">
        <v>72</v>
      </c>
      <c r="I188" s="29">
        <v>0</v>
      </c>
      <c r="J188" s="12" t="s">
        <v>19</v>
      </c>
      <c r="K188" s="30">
        <v>40.859856666699997</v>
      </c>
      <c r="L188" s="30">
        <v>72.077610000000007</v>
      </c>
      <c r="M188" s="20">
        <v>63</v>
      </c>
    </row>
    <row r="189" spans="1:13" ht="30" customHeight="1">
      <c r="A189" s="5" t="s">
        <v>13</v>
      </c>
      <c r="B189" s="30" t="s">
        <v>391</v>
      </c>
      <c r="C189" s="30" t="s">
        <v>288</v>
      </c>
      <c r="D189" s="44">
        <v>25540.794801138203</v>
      </c>
      <c r="E189" s="28">
        <v>21187.743437366826</v>
      </c>
      <c r="F189" s="27">
        <f t="shared" si="5"/>
        <v>4353.0513637713775</v>
      </c>
      <c r="G189" s="27">
        <f t="shared" si="4"/>
        <v>17.043523499031391</v>
      </c>
      <c r="H189" s="29">
        <v>84</v>
      </c>
      <c r="I189" s="29">
        <v>0</v>
      </c>
      <c r="J189" s="12" t="s">
        <v>23</v>
      </c>
      <c r="K189" s="30">
        <v>40.848528333300003</v>
      </c>
      <c r="L189" s="30">
        <v>72.072953333300006</v>
      </c>
      <c r="M189" s="20">
        <v>100</v>
      </c>
    </row>
    <row r="190" spans="1:13" ht="30" customHeight="1">
      <c r="A190" s="5" t="s">
        <v>13</v>
      </c>
      <c r="B190" s="30" t="s">
        <v>390</v>
      </c>
      <c r="C190" s="30" t="s">
        <v>289</v>
      </c>
      <c r="D190" s="44">
        <v>24023.984271138201</v>
      </c>
      <c r="E190" s="28">
        <v>19860.700104033491</v>
      </c>
      <c r="F190" s="27">
        <f t="shared" si="5"/>
        <v>4163.2841671047099</v>
      </c>
      <c r="G190" s="27">
        <f t="shared" si="4"/>
        <v>17.32969902126673</v>
      </c>
      <c r="H190" s="29">
        <v>56</v>
      </c>
      <c r="I190" s="29">
        <v>2</v>
      </c>
      <c r="J190" s="12" t="s">
        <v>19</v>
      </c>
      <c r="K190" s="30">
        <v>40.877876666699997</v>
      </c>
      <c r="L190" s="30">
        <v>72.082390000000004</v>
      </c>
      <c r="M190" s="20">
        <v>100</v>
      </c>
    </row>
    <row r="191" spans="1:13" ht="30" customHeight="1">
      <c r="A191" s="5" t="s">
        <v>13</v>
      </c>
      <c r="B191" s="30" t="s">
        <v>384</v>
      </c>
      <c r="C191" s="30" t="s">
        <v>97</v>
      </c>
      <c r="D191" s="44">
        <v>23669.707611138208</v>
      </c>
      <c r="E191" s="28">
        <v>19550.74677070016</v>
      </c>
      <c r="F191" s="27">
        <f t="shared" si="5"/>
        <v>4118.9608404380488</v>
      </c>
      <c r="G191" s="27">
        <f t="shared" si="4"/>
        <v>17.401823918178852</v>
      </c>
      <c r="H191" s="29">
        <v>39</v>
      </c>
      <c r="I191" s="29">
        <v>0</v>
      </c>
      <c r="J191" s="12" t="s">
        <v>19</v>
      </c>
      <c r="K191" s="30">
        <v>40.864673333299997</v>
      </c>
      <c r="L191" s="30">
        <v>71.946511666700005</v>
      </c>
      <c r="M191" s="20">
        <v>100</v>
      </c>
    </row>
    <row r="192" spans="1:13" ht="30" customHeight="1">
      <c r="A192" s="5" t="s">
        <v>30</v>
      </c>
      <c r="B192" s="30" t="s">
        <v>385</v>
      </c>
      <c r="C192" s="30" t="s">
        <v>290</v>
      </c>
      <c r="D192" s="44">
        <v>31399.149861138216</v>
      </c>
      <c r="E192" s="28">
        <v>26313.163437366831</v>
      </c>
      <c r="F192" s="27">
        <f t="shared" si="5"/>
        <v>5085.9864237713846</v>
      </c>
      <c r="G192" s="27">
        <f t="shared" si="4"/>
        <v>16.197847541299701</v>
      </c>
      <c r="H192" s="29">
        <v>81</v>
      </c>
      <c r="I192" s="29">
        <v>2</v>
      </c>
      <c r="J192" s="12" t="s">
        <v>33</v>
      </c>
      <c r="K192" s="30">
        <v>40.865333333300001</v>
      </c>
      <c r="L192" s="30">
        <v>71.986301666700001</v>
      </c>
      <c r="M192" s="20">
        <v>160</v>
      </c>
    </row>
    <row r="193" spans="1:13" ht="30" customHeight="1">
      <c r="A193" s="5" t="s">
        <v>30</v>
      </c>
      <c r="B193" s="30" t="s">
        <v>388</v>
      </c>
      <c r="C193" s="30" t="s">
        <v>291</v>
      </c>
      <c r="D193" s="44">
        <v>25787.004621138207</v>
      </c>
      <c r="E193" s="28">
        <v>21403.150104033492</v>
      </c>
      <c r="F193" s="27">
        <f t="shared" si="5"/>
        <v>4383.8545171047153</v>
      </c>
      <c r="G193" s="27">
        <f t="shared" si="4"/>
        <v>17.000247145847904</v>
      </c>
      <c r="H193" s="29">
        <v>105</v>
      </c>
      <c r="I193" s="29">
        <v>0</v>
      </c>
      <c r="J193" s="12" t="s">
        <v>42</v>
      </c>
      <c r="K193" s="30">
        <v>40.872945000000001</v>
      </c>
      <c r="L193" s="30">
        <v>72.003528333299997</v>
      </c>
      <c r="M193" s="21">
        <v>250</v>
      </c>
    </row>
    <row r="194" spans="1:13" ht="30" customHeight="1">
      <c r="A194" s="5" t="s">
        <v>30</v>
      </c>
      <c r="B194" s="30" t="s">
        <v>384</v>
      </c>
      <c r="C194" s="30" t="s">
        <v>116</v>
      </c>
      <c r="D194" s="44">
        <v>36320.351601138216</v>
      </c>
      <c r="E194" s="28">
        <v>30618.67677070016</v>
      </c>
      <c r="F194" s="27">
        <f t="shared" si="5"/>
        <v>5701.6748304380562</v>
      </c>
      <c r="G194" s="27">
        <f t="shared" si="4"/>
        <v>15.698291946764567</v>
      </c>
      <c r="H194" s="29">
        <v>105</v>
      </c>
      <c r="I194" s="29">
        <v>2</v>
      </c>
      <c r="J194" s="12" t="s">
        <v>42</v>
      </c>
      <c r="K194" s="30">
        <v>40.890994999999997</v>
      </c>
      <c r="L194" s="30">
        <v>71.932898333300002</v>
      </c>
      <c r="M194" s="20">
        <v>400</v>
      </c>
    </row>
    <row r="195" spans="1:13" ht="30" customHeight="1">
      <c r="A195" s="5" t="s">
        <v>30</v>
      </c>
      <c r="B195" s="30" t="s">
        <v>389</v>
      </c>
      <c r="C195" s="30" t="s">
        <v>292</v>
      </c>
      <c r="D195" s="44">
        <v>22777.942821138207</v>
      </c>
      <c r="E195" s="28">
        <v>18770.550104033493</v>
      </c>
      <c r="F195" s="27">
        <f t="shared" si="5"/>
        <v>4007.3927171047144</v>
      </c>
      <c r="G195" s="27">
        <f t="shared" ref="G195:G258" si="6">+F195*100/D195</f>
        <v>17.59330396327892</v>
      </c>
      <c r="H195" s="29">
        <v>26</v>
      </c>
      <c r="I195" s="29">
        <v>0</v>
      </c>
      <c r="J195" s="12" t="s">
        <v>42</v>
      </c>
      <c r="K195" s="30">
        <v>40.87829</v>
      </c>
      <c r="L195" s="30">
        <v>72.038823333300002</v>
      </c>
      <c r="M195" s="20">
        <v>160</v>
      </c>
    </row>
    <row r="196" spans="1:13" ht="30" customHeight="1">
      <c r="A196" s="5" t="s">
        <v>45</v>
      </c>
      <c r="B196" s="30" t="s">
        <v>392</v>
      </c>
      <c r="C196" s="30" t="s">
        <v>293</v>
      </c>
      <c r="D196" s="44">
        <v>23723.066661138208</v>
      </c>
      <c r="E196" s="28">
        <v>19597.43010403349</v>
      </c>
      <c r="F196" s="27">
        <f t="shared" si="5"/>
        <v>4125.6365571047172</v>
      </c>
      <c r="G196" s="27">
        <f t="shared" si="6"/>
        <v>17.390823100721217</v>
      </c>
      <c r="H196" s="29">
        <v>91</v>
      </c>
      <c r="I196" s="29">
        <v>2</v>
      </c>
      <c r="J196" s="12" t="s">
        <v>51</v>
      </c>
      <c r="K196" s="30">
        <v>40.838336666700002</v>
      </c>
      <c r="L196" s="30">
        <v>72.207795000000004</v>
      </c>
      <c r="M196" s="20">
        <v>100</v>
      </c>
    </row>
    <row r="197" spans="1:13" ht="30" customHeight="1">
      <c r="A197" s="5" t="s">
        <v>45</v>
      </c>
      <c r="B197" s="30" t="s">
        <v>392</v>
      </c>
      <c r="C197" s="30" t="s">
        <v>294</v>
      </c>
      <c r="D197" s="44">
        <v>24886.655901138205</v>
      </c>
      <c r="E197" s="28">
        <v>20615.443437366826</v>
      </c>
      <c r="F197" s="27">
        <f t="shared" ref="F197:F260" si="7">+D197-E197</f>
        <v>4271.2124637713787</v>
      </c>
      <c r="G197" s="27">
        <f t="shared" si="6"/>
        <v>17.162661310296947</v>
      </c>
      <c r="H197" s="29">
        <v>78</v>
      </c>
      <c r="I197" s="29">
        <v>0</v>
      </c>
      <c r="J197" s="12" t="s">
        <v>51</v>
      </c>
      <c r="K197" s="30">
        <v>40.839168333300002</v>
      </c>
      <c r="L197" s="30">
        <v>72.209829999999997</v>
      </c>
      <c r="M197" s="20">
        <v>100</v>
      </c>
    </row>
    <row r="198" spans="1:13" ht="30" customHeight="1">
      <c r="A198" s="5" t="s">
        <v>30</v>
      </c>
      <c r="B198" s="30" t="s">
        <v>388</v>
      </c>
      <c r="C198" s="30" t="s">
        <v>295</v>
      </c>
      <c r="D198" s="44">
        <v>27660.934071138203</v>
      </c>
      <c r="E198" s="28">
        <v>23042.633437366825</v>
      </c>
      <c r="F198" s="27">
        <f t="shared" si="7"/>
        <v>4618.3006337713778</v>
      </c>
      <c r="G198" s="27">
        <f t="shared" si="6"/>
        <v>16.696112365164762</v>
      </c>
      <c r="H198" s="29">
        <v>104</v>
      </c>
      <c r="I198" s="29">
        <v>2</v>
      </c>
      <c r="J198" s="12" t="s">
        <v>51</v>
      </c>
      <c r="K198" s="30">
        <v>40.875433333300002</v>
      </c>
      <c r="L198" s="30">
        <v>72.019919999999999</v>
      </c>
      <c r="M198" s="20">
        <v>160</v>
      </c>
    </row>
    <row r="199" spans="1:13" ht="30" customHeight="1">
      <c r="A199" s="5" t="s">
        <v>30</v>
      </c>
      <c r="B199" s="30" t="s">
        <v>388</v>
      </c>
      <c r="C199" s="30" t="s">
        <v>296</v>
      </c>
      <c r="D199" s="44">
        <v>22341.457791138211</v>
      </c>
      <c r="E199" s="28">
        <v>18388.673437366826</v>
      </c>
      <c r="F199" s="27">
        <f t="shared" si="7"/>
        <v>3952.7843537713852</v>
      </c>
      <c r="G199" s="27">
        <f t="shared" si="6"/>
        <v>17.692598176557961</v>
      </c>
      <c r="H199" s="29">
        <v>25</v>
      </c>
      <c r="I199" s="29">
        <v>2</v>
      </c>
      <c r="J199" s="12" t="s">
        <v>51</v>
      </c>
      <c r="K199" s="30">
        <v>40.874026666600002</v>
      </c>
      <c r="L199" s="30">
        <v>72.094549999700007</v>
      </c>
      <c r="M199" s="20">
        <v>250</v>
      </c>
    </row>
    <row r="200" spans="1:13" ht="30" customHeight="1">
      <c r="A200" s="5" t="s">
        <v>30</v>
      </c>
      <c r="B200" s="30" t="s">
        <v>386</v>
      </c>
      <c r="C200" s="30" t="s">
        <v>297</v>
      </c>
      <c r="D200" s="44">
        <v>23034.454881138208</v>
      </c>
      <c r="E200" s="28">
        <v>18994.970104033491</v>
      </c>
      <c r="F200" s="27">
        <f t="shared" si="7"/>
        <v>4039.4847771047171</v>
      </c>
      <c r="G200" s="27">
        <f t="shared" si="6"/>
        <v>17.536706633385339</v>
      </c>
      <c r="H200" s="29">
        <v>58</v>
      </c>
      <c r="I200" s="29">
        <v>0</v>
      </c>
      <c r="J200" s="12"/>
      <c r="K200" s="30">
        <v>40.872078333300003</v>
      </c>
      <c r="L200" s="30">
        <v>71.959788333299997</v>
      </c>
      <c r="M200" s="20">
        <v>63</v>
      </c>
    </row>
    <row r="201" spans="1:13" ht="30" customHeight="1">
      <c r="A201" s="5" t="s">
        <v>30</v>
      </c>
      <c r="B201" s="30" t="s">
        <v>387</v>
      </c>
      <c r="C201" s="30" t="s">
        <v>298</v>
      </c>
      <c r="D201" s="44">
        <v>23399.826261138205</v>
      </c>
      <c r="E201" s="28">
        <v>19314.630104033491</v>
      </c>
      <c r="F201" s="27">
        <f t="shared" si="7"/>
        <v>4085.1961571047141</v>
      </c>
      <c r="G201" s="27">
        <f t="shared" si="6"/>
        <v>17.458232858289623</v>
      </c>
      <c r="H201" s="29">
        <v>51</v>
      </c>
      <c r="I201" s="29">
        <v>0</v>
      </c>
      <c r="J201" s="12" t="s">
        <v>52</v>
      </c>
      <c r="K201" s="30">
        <v>40.885644999999997</v>
      </c>
      <c r="L201" s="30">
        <v>71.975255000000004</v>
      </c>
      <c r="M201" s="20">
        <v>250</v>
      </c>
    </row>
    <row r="202" spans="1:13" ht="30" customHeight="1">
      <c r="A202" s="19" t="s">
        <v>30</v>
      </c>
      <c r="B202" s="30" t="s">
        <v>387</v>
      </c>
      <c r="C202" s="30" t="s">
        <v>299</v>
      </c>
      <c r="D202" s="44">
        <v>22683.645321138207</v>
      </c>
      <c r="E202" s="28">
        <v>18688.050104033493</v>
      </c>
      <c r="F202" s="27">
        <f t="shared" si="7"/>
        <v>3995.5952171047138</v>
      </c>
      <c r="G202" s="27">
        <f t="shared" si="6"/>
        <v>17.614431721789174</v>
      </c>
      <c r="H202" s="29">
        <v>46</v>
      </c>
      <c r="I202" s="29">
        <v>2</v>
      </c>
      <c r="J202" s="13" t="s">
        <v>52</v>
      </c>
      <c r="K202" s="30">
        <v>40.883506666700001</v>
      </c>
      <c r="L202" s="30">
        <v>71.977718333300004</v>
      </c>
      <c r="M202" s="20">
        <v>250</v>
      </c>
    </row>
    <row r="203" spans="1:13" ht="30" customHeight="1">
      <c r="A203" s="19" t="s">
        <v>30</v>
      </c>
      <c r="B203" s="30" t="s">
        <v>389</v>
      </c>
      <c r="C203" s="30" t="s">
        <v>300</v>
      </c>
      <c r="D203" s="44">
        <v>21148.893501138209</v>
      </c>
      <c r="E203" s="28">
        <v>17345.310104033491</v>
      </c>
      <c r="F203" s="27">
        <f t="shared" si="7"/>
        <v>3803.5833971047177</v>
      </c>
      <c r="G203" s="27">
        <f t="shared" si="6"/>
        <v>17.984786754446578</v>
      </c>
      <c r="H203" s="29">
        <v>28</v>
      </c>
      <c r="I203" s="29">
        <v>2</v>
      </c>
      <c r="J203" s="13" t="s">
        <v>52</v>
      </c>
      <c r="K203" s="30">
        <v>40.877465000000001</v>
      </c>
      <c r="L203" s="30">
        <v>72.08811</v>
      </c>
      <c r="M203" s="20">
        <v>250</v>
      </c>
    </row>
    <row r="204" spans="1:13" ht="30" customHeight="1">
      <c r="A204" s="19" t="s">
        <v>30</v>
      </c>
      <c r="B204" s="30" t="s">
        <v>390</v>
      </c>
      <c r="C204" s="30" t="s">
        <v>301</v>
      </c>
      <c r="D204" s="44">
        <v>30032.925771138212</v>
      </c>
      <c r="E204" s="28">
        <v>25117.866770700162</v>
      </c>
      <c r="F204" s="27">
        <f t="shared" si="7"/>
        <v>4915.0590004380501</v>
      </c>
      <c r="G204" s="27">
        <f t="shared" si="6"/>
        <v>16.365568369504132</v>
      </c>
      <c r="H204" s="29">
        <v>91</v>
      </c>
      <c r="I204" s="29">
        <v>0</v>
      </c>
      <c r="J204" s="13" t="s">
        <v>53</v>
      </c>
      <c r="K204" s="30">
        <v>40.861406666699999</v>
      </c>
      <c r="L204" s="30">
        <v>72.060223333300002</v>
      </c>
      <c r="M204" s="20">
        <v>100</v>
      </c>
    </row>
    <row r="205" spans="1:13" ht="30" customHeight="1">
      <c r="A205" s="19" t="s">
        <v>30</v>
      </c>
      <c r="B205" s="30" t="s">
        <v>388</v>
      </c>
      <c r="C205" s="30" t="s">
        <v>302</v>
      </c>
      <c r="D205" s="44">
        <v>24449.088831138208</v>
      </c>
      <c r="E205" s="28">
        <v>20232.620104033493</v>
      </c>
      <c r="F205" s="27">
        <f t="shared" si="7"/>
        <v>4216.4687271047151</v>
      </c>
      <c r="G205" s="27">
        <f t="shared" si="6"/>
        <v>17.245913564413275</v>
      </c>
      <c r="H205" s="29">
        <v>70</v>
      </c>
      <c r="I205" s="29">
        <v>0</v>
      </c>
      <c r="J205" s="13" t="s">
        <v>53</v>
      </c>
      <c r="K205" s="30">
        <v>40.876036666700003</v>
      </c>
      <c r="L205" s="30">
        <v>72.012455000000003</v>
      </c>
      <c r="M205" s="20">
        <v>63</v>
      </c>
    </row>
    <row r="206" spans="1:13" ht="30" customHeight="1">
      <c r="A206" s="19" t="s">
        <v>30</v>
      </c>
      <c r="B206" s="30" t="s">
        <v>387</v>
      </c>
      <c r="C206" s="30" t="s">
        <v>303</v>
      </c>
      <c r="D206" s="44">
        <v>44016.749721138214</v>
      </c>
      <c r="E206" s="28">
        <v>37352.18343736681</v>
      </c>
      <c r="F206" s="27">
        <f t="shared" si="7"/>
        <v>6664.5662837714044</v>
      </c>
      <c r="G206" s="27">
        <f t="shared" si="6"/>
        <v>15.140977755045082</v>
      </c>
      <c r="H206" s="29">
        <v>141</v>
      </c>
      <c r="I206" s="29">
        <v>0</v>
      </c>
      <c r="J206" s="13" t="s">
        <v>53</v>
      </c>
      <c r="K206" s="30">
        <v>40.878603333299999</v>
      </c>
      <c r="L206" s="30">
        <v>71.971546666699993</v>
      </c>
      <c r="M206" s="20">
        <v>100</v>
      </c>
    </row>
    <row r="207" spans="1:13" ht="30" customHeight="1">
      <c r="A207" s="19" t="s">
        <v>30</v>
      </c>
      <c r="B207" s="30" t="s">
        <v>388</v>
      </c>
      <c r="C207" s="30" t="s">
        <v>304</v>
      </c>
      <c r="D207" s="44">
        <v>23346.65771113821</v>
      </c>
      <c r="E207" s="28">
        <v>19268.113437366825</v>
      </c>
      <c r="F207" s="27">
        <f t="shared" si="7"/>
        <v>4078.5442737713856</v>
      </c>
      <c r="G207" s="27">
        <f t="shared" si="6"/>
        <v>17.469499592764389</v>
      </c>
      <c r="H207" s="29">
        <v>54</v>
      </c>
      <c r="I207" s="29">
        <v>0</v>
      </c>
      <c r="J207" s="13" t="s">
        <v>53</v>
      </c>
      <c r="K207" s="30">
        <v>40.877144999999999</v>
      </c>
      <c r="L207" s="30">
        <v>72.008285000000001</v>
      </c>
      <c r="M207" s="20">
        <v>160</v>
      </c>
    </row>
    <row r="208" spans="1:13" ht="30" customHeight="1">
      <c r="A208" s="19" t="s">
        <v>30</v>
      </c>
      <c r="B208" s="30" t="s">
        <v>389</v>
      </c>
      <c r="C208" s="30" t="s">
        <v>305</v>
      </c>
      <c r="D208" s="44">
        <v>26463.805401138205</v>
      </c>
      <c r="E208" s="28">
        <v>21995.276770700159</v>
      </c>
      <c r="F208" s="27">
        <f t="shared" si="7"/>
        <v>4468.5286304380461</v>
      </c>
      <c r="G208" s="27">
        <f t="shared" si="6"/>
        <v>16.885434890047428</v>
      </c>
      <c r="H208" s="29">
        <v>120</v>
      </c>
      <c r="I208" s="29">
        <v>0</v>
      </c>
      <c r="J208" s="13" t="s">
        <v>53</v>
      </c>
      <c r="K208" s="30">
        <v>40.881168333300003</v>
      </c>
      <c r="L208" s="30">
        <v>72.049769999999995</v>
      </c>
      <c r="M208" s="20">
        <v>160</v>
      </c>
    </row>
    <row r="209" spans="1:13" ht="30" customHeight="1">
      <c r="A209" s="19" t="s">
        <v>30</v>
      </c>
      <c r="B209" s="30" t="s">
        <v>390</v>
      </c>
      <c r="C209" s="30" t="s">
        <v>306</v>
      </c>
      <c r="D209" s="44">
        <v>22383.965961138212</v>
      </c>
      <c r="E209" s="28">
        <v>18425.863437366825</v>
      </c>
      <c r="F209" s="27">
        <f t="shared" si="7"/>
        <v>3958.1025237713875</v>
      </c>
      <c r="G209" s="27">
        <f t="shared" si="6"/>
        <v>17.682757964532396</v>
      </c>
      <c r="H209" s="29">
        <v>91</v>
      </c>
      <c r="I209" s="29">
        <v>0</v>
      </c>
      <c r="J209" s="13" t="s">
        <v>53</v>
      </c>
      <c r="K209" s="30">
        <v>40.850251666699997</v>
      </c>
      <c r="L209" s="30">
        <v>72.055284999999998</v>
      </c>
      <c r="M209" s="20">
        <v>250</v>
      </c>
    </row>
    <row r="210" spans="1:13" ht="30" customHeight="1">
      <c r="A210" s="19" t="s">
        <v>30</v>
      </c>
      <c r="B210" s="30" t="s">
        <v>389</v>
      </c>
      <c r="C210" s="30" t="s">
        <v>307</v>
      </c>
      <c r="D210" s="44">
        <v>28360.796781138215</v>
      </c>
      <c r="E210" s="28">
        <v>23654.936770700162</v>
      </c>
      <c r="F210" s="27">
        <f t="shared" si="7"/>
        <v>4705.860010438053</v>
      </c>
      <c r="G210" s="27">
        <f t="shared" si="6"/>
        <v>16.592834280198211</v>
      </c>
      <c r="H210" s="29">
        <v>58</v>
      </c>
      <c r="I210" s="29">
        <v>0</v>
      </c>
      <c r="J210" s="13" t="s">
        <v>53</v>
      </c>
      <c r="K210" s="30">
        <v>40.8797483333</v>
      </c>
      <c r="L210" s="30">
        <v>72.029821666700002</v>
      </c>
      <c r="M210" s="20">
        <v>40</v>
      </c>
    </row>
    <row r="211" spans="1:13" ht="30" customHeight="1">
      <c r="A211" s="19" t="s">
        <v>30</v>
      </c>
      <c r="B211" s="30" t="s">
        <v>387</v>
      </c>
      <c r="C211" s="30" t="s">
        <v>308</v>
      </c>
      <c r="D211" s="44">
        <v>26727.137361138208</v>
      </c>
      <c r="E211" s="28">
        <v>22225.663437366824</v>
      </c>
      <c r="F211" s="27">
        <f t="shared" si="7"/>
        <v>4501.4739237713839</v>
      </c>
      <c r="G211" s="27">
        <f t="shared" si="6"/>
        <v>16.842334676352646</v>
      </c>
      <c r="H211" s="29">
        <v>51</v>
      </c>
      <c r="I211" s="29">
        <v>0</v>
      </c>
      <c r="J211" s="13" t="s">
        <v>49</v>
      </c>
      <c r="K211" s="30">
        <v>40.87462</v>
      </c>
      <c r="L211" s="30">
        <v>71.975811666699997</v>
      </c>
      <c r="M211" s="20">
        <v>250</v>
      </c>
    </row>
    <row r="212" spans="1:13" ht="30" customHeight="1">
      <c r="A212" s="5" t="s">
        <v>45</v>
      </c>
      <c r="B212" s="30" t="s">
        <v>392</v>
      </c>
      <c r="C212" s="30" t="s">
        <v>309</v>
      </c>
      <c r="D212" s="44">
        <v>21934.405011138206</v>
      </c>
      <c r="E212" s="28">
        <v>18032.546770700159</v>
      </c>
      <c r="F212" s="27">
        <f t="shared" si="7"/>
        <v>3901.8582404380468</v>
      </c>
      <c r="G212" s="27">
        <f t="shared" si="6"/>
        <v>17.788758065043016</v>
      </c>
      <c r="H212" s="29">
        <v>63</v>
      </c>
      <c r="I212" s="29">
        <v>2</v>
      </c>
      <c r="J212" s="13" t="s">
        <v>49</v>
      </c>
      <c r="K212" s="30">
        <v>40.841295000000002</v>
      </c>
      <c r="L212" s="30">
        <v>72.169233333299999</v>
      </c>
      <c r="M212" s="20">
        <v>63</v>
      </c>
    </row>
    <row r="213" spans="1:13" ht="30" customHeight="1">
      <c r="A213" s="19" t="s">
        <v>30</v>
      </c>
      <c r="B213" s="30" t="s">
        <v>389</v>
      </c>
      <c r="C213" s="30" t="s">
        <v>310</v>
      </c>
      <c r="D213" s="44">
        <v>25392.524841138205</v>
      </c>
      <c r="E213" s="28">
        <v>21058.023437366825</v>
      </c>
      <c r="F213" s="27">
        <f t="shared" si="7"/>
        <v>4334.5014037713809</v>
      </c>
      <c r="G213" s="27">
        <f t="shared" si="6"/>
        <v>17.069989813494615</v>
      </c>
      <c r="H213" s="29">
        <v>70</v>
      </c>
      <c r="I213" s="29">
        <v>2</v>
      </c>
      <c r="J213" s="13" t="s">
        <v>54</v>
      </c>
      <c r="K213" s="30">
        <v>40.8741466667</v>
      </c>
      <c r="L213" s="30">
        <v>72.027926666699997</v>
      </c>
      <c r="M213" s="20">
        <v>25</v>
      </c>
    </row>
    <row r="214" spans="1:13" ht="30" customHeight="1">
      <c r="A214" s="5" t="s">
        <v>45</v>
      </c>
      <c r="B214" s="30" t="s">
        <v>392</v>
      </c>
      <c r="C214" s="30" t="s">
        <v>311</v>
      </c>
      <c r="D214" s="44">
        <v>21934.934601138211</v>
      </c>
      <c r="E214" s="28">
        <v>18033.010104033492</v>
      </c>
      <c r="F214" s="27">
        <f t="shared" si="7"/>
        <v>3901.9244971047192</v>
      </c>
      <c r="G214" s="27">
        <f t="shared" si="6"/>
        <v>17.788630639009277</v>
      </c>
      <c r="H214" s="29">
        <v>58</v>
      </c>
      <c r="I214" s="29">
        <v>0</v>
      </c>
      <c r="J214" s="13" t="s">
        <v>52</v>
      </c>
      <c r="K214" s="30">
        <v>40.822923333299997</v>
      </c>
      <c r="L214" s="30">
        <v>72.176041666700002</v>
      </c>
      <c r="M214" s="20">
        <v>100</v>
      </c>
    </row>
    <row r="215" spans="1:13" ht="30" customHeight="1">
      <c r="A215" s="19" t="s">
        <v>30</v>
      </c>
      <c r="B215" s="30" t="s">
        <v>388</v>
      </c>
      <c r="C215" s="30" t="s">
        <v>312</v>
      </c>
      <c r="D215" s="44">
        <v>23501.686611138208</v>
      </c>
      <c r="E215" s="28">
        <v>19403.74677070016</v>
      </c>
      <c r="F215" s="27">
        <f t="shared" si="7"/>
        <v>4097.9398404380481</v>
      </c>
      <c r="G215" s="27">
        <f t="shared" si="6"/>
        <v>17.436790423781339</v>
      </c>
      <c r="H215" s="29">
        <v>76</v>
      </c>
      <c r="I215" s="29">
        <v>0</v>
      </c>
      <c r="J215" s="13" t="s">
        <v>42</v>
      </c>
      <c r="K215" s="30">
        <v>40.871153333300001</v>
      </c>
      <c r="L215" s="30">
        <v>72.022553333299996</v>
      </c>
      <c r="M215" s="20">
        <v>250</v>
      </c>
    </row>
    <row r="216" spans="1:13" ht="30" customHeight="1">
      <c r="A216" s="19" t="s">
        <v>30</v>
      </c>
      <c r="B216" s="30" t="s">
        <v>389</v>
      </c>
      <c r="C216" s="30" t="s">
        <v>313</v>
      </c>
      <c r="D216" s="44">
        <v>34119.505101138217</v>
      </c>
      <c r="E216" s="28">
        <v>28693.17677070016</v>
      </c>
      <c r="F216" s="27">
        <f t="shared" si="7"/>
        <v>5426.3283304380566</v>
      </c>
      <c r="G216" s="27">
        <f t="shared" si="6"/>
        <v>15.903889327682645</v>
      </c>
      <c r="H216" s="29">
        <v>99</v>
      </c>
      <c r="I216" s="29">
        <v>3</v>
      </c>
      <c r="J216" s="13" t="s">
        <v>27</v>
      </c>
      <c r="K216" s="30">
        <v>40.879914999999997</v>
      </c>
      <c r="L216" s="30">
        <v>72.089108333300004</v>
      </c>
      <c r="M216" s="20">
        <v>40</v>
      </c>
    </row>
    <row r="217" spans="1:13" ht="30" customHeight="1">
      <c r="A217" s="19" t="s">
        <v>30</v>
      </c>
      <c r="B217" s="30" t="s">
        <v>388</v>
      </c>
      <c r="C217" s="30" t="s">
        <v>314</v>
      </c>
      <c r="D217" s="44">
        <v>22737.72827113821</v>
      </c>
      <c r="E217" s="28">
        <v>18735.366770700159</v>
      </c>
      <c r="F217" s="27">
        <f t="shared" si="7"/>
        <v>4002.3615004380517</v>
      </c>
      <c r="G217" s="27">
        <f t="shared" si="6"/>
        <v>17.602292773981244</v>
      </c>
      <c r="H217" s="29">
        <v>54</v>
      </c>
      <c r="I217" s="29">
        <v>2</v>
      </c>
      <c r="J217" s="13" t="s">
        <v>32</v>
      </c>
      <c r="K217" s="30">
        <v>40.876891666699997</v>
      </c>
      <c r="L217" s="30">
        <v>71.987205000000003</v>
      </c>
      <c r="M217" s="19">
        <v>160</v>
      </c>
    </row>
    <row r="218" spans="1:13" ht="30" customHeight="1">
      <c r="A218" s="19" t="s">
        <v>30</v>
      </c>
      <c r="B218" s="30" t="s">
        <v>388</v>
      </c>
      <c r="C218" s="30" t="s">
        <v>315</v>
      </c>
      <c r="D218" s="44">
        <v>22963.600311138205</v>
      </c>
      <c r="E218" s="28">
        <v>18932.980104033493</v>
      </c>
      <c r="F218" s="27">
        <f t="shared" si="7"/>
        <v>4030.6202071047119</v>
      </c>
      <c r="G218" s="27">
        <f t="shared" si="6"/>
        <v>17.552213731701777</v>
      </c>
      <c r="H218" s="29">
        <v>45</v>
      </c>
      <c r="I218" s="29">
        <v>2</v>
      </c>
      <c r="J218" s="13"/>
      <c r="K218" s="30">
        <v>40.8787183333</v>
      </c>
      <c r="L218" s="30">
        <v>71.984646666700002</v>
      </c>
      <c r="M218" s="20">
        <v>160</v>
      </c>
    </row>
    <row r="219" spans="1:13" ht="30" customHeight="1">
      <c r="A219" s="5" t="s">
        <v>45</v>
      </c>
      <c r="B219" s="30" t="s">
        <v>392</v>
      </c>
      <c r="C219" s="30" t="s">
        <v>316</v>
      </c>
      <c r="D219" s="44">
        <v>25176.798831138207</v>
      </c>
      <c r="E219" s="28">
        <v>20869.286770700157</v>
      </c>
      <c r="F219" s="27">
        <f t="shared" si="7"/>
        <v>4307.51206043805</v>
      </c>
      <c r="G219" s="27">
        <f t="shared" si="6"/>
        <v>17.109053813110656</v>
      </c>
      <c r="H219" s="29">
        <v>98</v>
      </c>
      <c r="I219" s="29">
        <v>0</v>
      </c>
      <c r="J219" s="13"/>
      <c r="K219" s="30">
        <v>40.835000000000001</v>
      </c>
      <c r="L219" s="30">
        <v>72.206898333300003</v>
      </c>
      <c r="M219" s="20">
        <v>63</v>
      </c>
    </row>
    <row r="220" spans="1:13" ht="30" customHeight="1">
      <c r="A220" s="19" t="s">
        <v>30</v>
      </c>
      <c r="B220" s="30" t="s">
        <v>387</v>
      </c>
      <c r="C220" s="30" t="s">
        <v>317</v>
      </c>
      <c r="D220" s="44">
        <v>22708.482711138207</v>
      </c>
      <c r="E220" s="28">
        <v>18709.780104033493</v>
      </c>
      <c r="F220" s="27">
        <f t="shared" si="7"/>
        <v>3998.7026071047148</v>
      </c>
      <c r="G220" s="27">
        <f t="shared" si="6"/>
        <v>17.608849776402739</v>
      </c>
      <c r="H220" s="29">
        <v>82</v>
      </c>
      <c r="I220" s="29">
        <v>2</v>
      </c>
      <c r="J220" s="13"/>
      <c r="K220" s="30">
        <v>40.880708333299999</v>
      </c>
      <c r="L220" s="30">
        <v>71.964420000000004</v>
      </c>
      <c r="M220" s="20">
        <v>63</v>
      </c>
    </row>
    <row r="221" spans="1:13" ht="30" customHeight="1">
      <c r="A221" s="19" t="s">
        <v>13</v>
      </c>
      <c r="B221" s="30" t="s">
        <v>386</v>
      </c>
      <c r="C221" s="30" t="s">
        <v>318</v>
      </c>
      <c r="D221" s="44">
        <v>43609.285461138214</v>
      </c>
      <c r="E221" s="28">
        <v>36995.696770700146</v>
      </c>
      <c r="F221" s="27">
        <f t="shared" si="7"/>
        <v>6613.5886904380677</v>
      </c>
      <c r="G221" s="27">
        <f t="shared" si="6"/>
        <v>15.165551603297128</v>
      </c>
      <c r="H221" s="29">
        <v>73</v>
      </c>
      <c r="I221" s="29">
        <v>2</v>
      </c>
      <c r="J221" s="13"/>
      <c r="K221" s="30">
        <v>40.874901666699998</v>
      </c>
      <c r="L221" s="30">
        <v>71.967150000000004</v>
      </c>
      <c r="M221" s="20">
        <v>160</v>
      </c>
    </row>
    <row r="222" spans="1:13" ht="30" customHeight="1">
      <c r="A222" s="19" t="s">
        <v>30</v>
      </c>
      <c r="B222" s="30" t="s">
        <v>386</v>
      </c>
      <c r="C222" s="30" t="s">
        <v>319</v>
      </c>
      <c r="D222" s="44">
        <v>23619.39275113821</v>
      </c>
      <c r="E222" s="28">
        <v>19506.726770700159</v>
      </c>
      <c r="F222" s="27">
        <f t="shared" si="7"/>
        <v>4112.6659804380506</v>
      </c>
      <c r="G222" s="27">
        <f t="shared" si="6"/>
        <v>17.412242659116892</v>
      </c>
      <c r="H222" s="29">
        <v>127</v>
      </c>
      <c r="I222" s="29">
        <v>2</v>
      </c>
      <c r="J222" s="13"/>
      <c r="K222" s="30">
        <v>40.869693333299999</v>
      </c>
      <c r="L222" s="30">
        <v>71.966144999999997</v>
      </c>
      <c r="M222" s="19">
        <v>160</v>
      </c>
    </row>
    <row r="223" spans="1:13" ht="30" customHeight="1">
      <c r="A223" s="19" t="s">
        <v>30</v>
      </c>
      <c r="B223" s="30" t="s">
        <v>384</v>
      </c>
      <c r="C223" s="30" t="s">
        <v>90</v>
      </c>
      <c r="D223" s="44">
        <v>22509.044451138212</v>
      </c>
      <c r="E223" s="28">
        <v>18535.293437366825</v>
      </c>
      <c r="F223" s="27">
        <f t="shared" si="7"/>
        <v>3973.7510137713871</v>
      </c>
      <c r="G223" s="27">
        <f t="shared" si="6"/>
        <v>17.654019131720389</v>
      </c>
      <c r="H223" s="29">
        <v>88</v>
      </c>
      <c r="I223" s="29">
        <v>0</v>
      </c>
      <c r="J223" s="13" t="s">
        <v>39</v>
      </c>
      <c r="K223" s="30">
        <v>40.8802053239</v>
      </c>
      <c r="L223" s="30">
        <v>71.948066717000003</v>
      </c>
      <c r="M223" s="20">
        <v>100</v>
      </c>
    </row>
    <row r="224" spans="1:13" ht="30" customHeight="1">
      <c r="A224" s="5" t="s">
        <v>45</v>
      </c>
      <c r="B224" s="30" t="s">
        <v>392</v>
      </c>
      <c r="C224" s="30" t="s">
        <v>320</v>
      </c>
      <c r="D224" s="44">
        <v>24181.874481138206</v>
      </c>
      <c r="E224" s="28">
        <v>19998.83677070016</v>
      </c>
      <c r="F224" s="27">
        <f t="shared" si="7"/>
        <v>4183.0377104380459</v>
      </c>
      <c r="G224" s="27">
        <f t="shared" si="6"/>
        <v>17.298235972983829</v>
      </c>
      <c r="H224" s="29">
        <v>43</v>
      </c>
      <c r="I224" s="29">
        <v>0</v>
      </c>
      <c r="J224" s="13" t="s">
        <v>23</v>
      </c>
      <c r="K224" s="30">
        <v>40.837551666700001</v>
      </c>
      <c r="L224" s="30">
        <v>72.172751666699995</v>
      </c>
      <c r="M224" s="20">
        <v>100</v>
      </c>
    </row>
    <row r="225" spans="1:13" ht="30" customHeight="1">
      <c r="A225" s="16" t="s">
        <v>13</v>
      </c>
      <c r="B225" s="30" t="s">
        <v>385</v>
      </c>
      <c r="C225" s="30" t="s">
        <v>321</v>
      </c>
      <c r="D225" s="44">
        <v>26057.110761138203</v>
      </c>
      <c r="E225" s="28">
        <v>21639.463437366823</v>
      </c>
      <c r="F225" s="27">
        <f t="shared" si="7"/>
        <v>4417.6473237713799</v>
      </c>
      <c r="G225" s="27">
        <f t="shared" si="6"/>
        <v>16.953711270091759</v>
      </c>
      <c r="H225" s="29">
        <v>89</v>
      </c>
      <c r="I225" s="29">
        <v>2</v>
      </c>
      <c r="J225" s="15" t="s">
        <v>55</v>
      </c>
      <c r="K225" s="30">
        <v>40.857341666700002</v>
      </c>
      <c r="L225" s="30">
        <v>72.001365000000007</v>
      </c>
      <c r="M225" s="15">
        <v>1000</v>
      </c>
    </row>
    <row r="226" spans="1:13" ht="30" customHeight="1">
      <c r="A226" s="16" t="s">
        <v>13</v>
      </c>
      <c r="B226" s="30" t="s">
        <v>387</v>
      </c>
      <c r="C226" s="30" t="s">
        <v>322</v>
      </c>
      <c r="D226" s="44">
        <v>23227.976211138212</v>
      </c>
      <c r="E226" s="28">
        <v>19164.280104033493</v>
      </c>
      <c r="F226" s="27">
        <f t="shared" si="7"/>
        <v>4063.696107104719</v>
      </c>
      <c r="G226" s="27">
        <f t="shared" si="6"/>
        <v>17.494834979020286</v>
      </c>
      <c r="H226" s="29">
        <v>51</v>
      </c>
      <c r="I226" s="29">
        <v>0</v>
      </c>
      <c r="J226" s="15" t="s">
        <v>55</v>
      </c>
      <c r="K226" s="30">
        <v>40.883535000000002</v>
      </c>
      <c r="L226" s="30">
        <v>71.979993333300001</v>
      </c>
      <c r="M226" s="15">
        <v>630</v>
      </c>
    </row>
    <row r="227" spans="1:13" ht="30" customHeight="1">
      <c r="A227" s="16" t="s">
        <v>13</v>
      </c>
      <c r="B227" s="30" t="s">
        <v>390</v>
      </c>
      <c r="C227" s="30" t="s">
        <v>323</v>
      </c>
      <c r="D227" s="44">
        <v>24604.125351138202</v>
      </c>
      <c r="E227" s="28">
        <v>20368.260104033492</v>
      </c>
      <c r="F227" s="27">
        <f t="shared" si="7"/>
        <v>4235.8652471047099</v>
      </c>
      <c r="G227" s="27">
        <f t="shared" si="6"/>
        <v>17.216077331148682</v>
      </c>
      <c r="H227" s="29">
        <v>52</v>
      </c>
      <c r="I227" s="29">
        <v>3</v>
      </c>
      <c r="J227" s="15" t="s">
        <v>56</v>
      </c>
      <c r="K227" s="30">
        <v>40.874026666600002</v>
      </c>
      <c r="L227" s="30">
        <v>72.094549999700007</v>
      </c>
      <c r="M227" s="15">
        <v>400</v>
      </c>
    </row>
    <row r="228" spans="1:13" ht="30" customHeight="1">
      <c r="A228" s="16" t="s">
        <v>30</v>
      </c>
      <c r="B228" s="30" t="s">
        <v>391</v>
      </c>
      <c r="C228" s="30" t="s">
        <v>324</v>
      </c>
      <c r="D228" s="44">
        <v>22248.785256138206</v>
      </c>
      <c r="E228" s="28">
        <v>18307.595104033491</v>
      </c>
      <c r="F228" s="27">
        <f t="shared" si="7"/>
        <v>3941.1901521047148</v>
      </c>
      <c r="G228" s="27">
        <f t="shared" si="6"/>
        <v>17.714181276559277</v>
      </c>
      <c r="H228" s="29">
        <v>75</v>
      </c>
      <c r="I228" s="29">
        <v>2</v>
      </c>
      <c r="J228" s="15" t="s">
        <v>57</v>
      </c>
      <c r="K228" s="30">
        <v>40.846710000000002</v>
      </c>
      <c r="L228" s="30">
        <v>72.065683333300001</v>
      </c>
      <c r="M228" s="15">
        <v>1000</v>
      </c>
    </row>
    <row r="229" spans="1:13" ht="30" customHeight="1">
      <c r="A229" s="5" t="s">
        <v>45</v>
      </c>
      <c r="B229" s="30" t="s">
        <v>392</v>
      </c>
      <c r="C229" s="30" t="s">
        <v>325</v>
      </c>
      <c r="D229" s="44">
        <v>33351.15383113821</v>
      </c>
      <c r="E229" s="28">
        <v>28020.953437366832</v>
      </c>
      <c r="F229" s="27">
        <f t="shared" si="7"/>
        <v>5330.200393771378</v>
      </c>
      <c r="G229" s="27">
        <f t="shared" si="6"/>
        <v>15.982056934998306</v>
      </c>
      <c r="H229" s="29">
        <v>126</v>
      </c>
      <c r="I229" s="29">
        <v>0</v>
      </c>
      <c r="J229" s="15" t="s">
        <v>58</v>
      </c>
      <c r="K229" s="30">
        <v>40.839961666699999</v>
      </c>
      <c r="L229" s="30">
        <v>72.232654999999994</v>
      </c>
      <c r="M229" s="15">
        <v>1000</v>
      </c>
    </row>
    <row r="230" spans="1:13" ht="30" customHeight="1">
      <c r="A230" s="16" t="s">
        <v>13</v>
      </c>
      <c r="B230" s="30" t="s">
        <v>387</v>
      </c>
      <c r="C230" s="30" t="s">
        <v>326</v>
      </c>
      <c r="D230" s="44">
        <v>33997.790841138216</v>
      </c>
      <c r="E230" s="28">
        <v>28586.690104033496</v>
      </c>
      <c r="F230" s="27">
        <f t="shared" si="7"/>
        <v>5411.1007371047199</v>
      </c>
      <c r="G230" s="27">
        <f t="shared" si="6"/>
        <v>15.916036316563094</v>
      </c>
      <c r="H230" s="29">
        <v>102</v>
      </c>
      <c r="I230" s="29">
        <v>0</v>
      </c>
      <c r="J230" s="15" t="s">
        <v>55</v>
      </c>
      <c r="K230" s="30">
        <v>40.873249936800001</v>
      </c>
      <c r="L230" s="30">
        <v>71.969074951500005</v>
      </c>
      <c r="M230" s="15">
        <v>160</v>
      </c>
    </row>
    <row r="231" spans="1:13" ht="30" customHeight="1">
      <c r="A231" s="16" t="s">
        <v>13</v>
      </c>
      <c r="B231" s="30" t="s">
        <v>384</v>
      </c>
      <c r="C231" s="30" t="s">
        <v>118</v>
      </c>
      <c r="D231" s="44">
        <v>30757.488711138209</v>
      </c>
      <c r="E231" s="28">
        <v>25751.7801040335</v>
      </c>
      <c r="F231" s="27">
        <f t="shared" si="7"/>
        <v>5005.7086071047088</v>
      </c>
      <c r="G231" s="27">
        <f t="shared" si="6"/>
        <v>16.274763697765714</v>
      </c>
      <c r="H231" s="29">
        <v>53</v>
      </c>
      <c r="I231" s="29">
        <v>2</v>
      </c>
      <c r="J231" s="15" t="s">
        <v>59</v>
      </c>
      <c r="K231" s="30">
        <v>40.895608333299997</v>
      </c>
      <c r="L231" s="30">
        <v>71.923013333300005</v>
      </c>
      <c r="M231" s="15">
        <v>100</v>
      </c>
    </row>
    <row r="232" spans="1:13" ht="30" customHeight="1">
      <c r="A232" s="16" t="s">
        <v>13</v>
      </c>
      <c r="B232" s="30" t="s">
        <v>386</v>
      </c>
      <c r="C232" s="30" t="s">
        <v>327</v>
      </c>
      <c r="D232" s="44">
        <v>23191.346871138212</v>
      </c>
      <c r="E232" s="28">
        <v>19132.233437366827</v>
      </c>
      <c r="F232" s="27">
        <f t="shared" si="7"/>
        <v>4059.1134337713847</v>
      </c>
      <c r="G232" s="27">
        <f t="shared" si="6"/>
        <v>17.502706748019794</v>
      </c>
      <c r="H232" s="29">
        <v>68</v>
      </c>
      <c r="I232" s="29">
        <v>3</v>
      </c>
      <c r="J232" s="15" t="s">
        <v>55</v>
      </c>
      <c r="K232" s="30">
        <v>40.875115049900003</v>
      </c>
      <c r="L232" s="30">
        <v>72.008864803799995</v>
      </c>
      <c r="M232" s="15">
        <v>250</v>
      </c>
    </row>
    <row r="233" spans="1:13" ht="30" customHeight="1">
      <c r="A233" s="16" t="s">
        <v>13</v>
      </c>
      <c r="B233" s="30" t="s">
        <v>390</v>
      </c>
      <c r="C233" s="30" t="s">
        <v>328</v>
      </c>
      <c r="D233" s="44">
        <v>23920.337031138202</v>
      </c>
      <c r="E233" s="28">
        <v>19770.02010403349</v>
      </c>
      <c r="F233" s="27">
        <f t="shared" si="7"/>
        <v>4150.3169271047118</v>
      </c>
      <c r="G233" s="27">
        <f t="shared" si="6"/>
        <v>17.350578805399159</v>
      </c>
      <c r="H233" s="29">
        <v>46</v>
      </c>
      <c r="I233" s="29">
        <v>0</v>
      </c>
      <c r="J233" s="15" t="s">
        <v>60</v>
      </c>
      <c r="K233" s="30">
        <v>40.874026666600002</v>
      </c>
      <c r="L233" s="30">
        <v>72.094549999700007</v>
      </c>
      <c r="M233" s="15">
        <v>160</v>
      </c>
    </row>
    <row r="234" spans="1:13" ht="30" customHeight="1">
      <c r="A234" s="16" t="s">
        <v>13</v>
      </c>
      <c r="B234" s="30" t="s">
        <v>391</v>
      </c>
      <c r="C234" s="30" t="s">
        <v>329</v>
      </c>
      <c r="D234" s="44">
        <v>26360.821101138208</v>
      </c>
      <c r="E234" s="28">
        <v>21905.176770700156</v>
      </c>
      <c r="F234" s="27">
        <f t="shared" si="7"/>
        <v>4455.6443304380518</v>
      </c>
      <c r="G234" s="27">
        <f t="shared" si="6"/>
        <v>16.902524824030106</v>
      </c>
      <c r="H234" s="29">
        <v>102</v>
      </c>
      <c r="I234" s="29">
        <v>2</v>
      </c>
      <c r="J234" s="15" t="s">
        <v>61</v>
      </c>
      <c r="K234" s="30">
        <v>40.816318333300003</v>
      </c>
      <c r="L234" s="30">
        <v>72.106885000000005</v>
      </c>
      <c r="M234" s="15">
        <v>100</v>
      </c>
    </row>
    <row r="235" spans="1:13" ht="30" customHeight="1">
      <c r="A235" s="16" t="s">
        <v>13</v>
      </c>
      <c r="B235" s="30" t="s">
        <v>390</v>
      </c>
      <c r="C235" s="30" t="s">
        <v>330</v>
      </c>
      <c r="D235" s="44">
        <v>23317.160691138208</v>
      </c>
      <c r="E235" s="28">
        <v>19242.306770700157</v>
      </c>
      <c r="F235" s="27">
        <f t="shared" si="7"/>
        <v>4074.8539204380504</v>
      </c>
      <c r="G235" s="27">
        <f t="shared" si="6"/>
        <v>17.475772348160369</v>
      </c>
      <c r="H235" s="29">
        <v>37</v>
      </c>
      <c r="I235" s="29">
        <v>0</v>
      </c>
      <c r="J235" s="15" t="s">
        <v>55</v>
      </c>
      <c r="K235" s="30">
        <v>40.872684479199997</v>
      </c>
      <c r="L235" s="30">
        <v>72.093719629500001</v>
      </c>
      <c r="M235" s="15">
        <v>100</v>
      </c>
    </row>
    <row r="236" spans="1:13" ht="30" customHeight="1">
      <c r="A236" s="16" t="s">
        <v>13</v>
      </c>
      <c r="B236" s="30" t="s">
        <v>384</v>
      </c>
      <c r="C236" s="30" t="s">
        <v>95</v>
      </c>
      <c r="D236" s="44">
        <v>23219.201781138207</v>
      </c>
      <c r="E236" s="28">
        <v>19156.603437366826</v>
      </c>
      <c r="F236" s="27">
        <f t="shared" si="7"/>
        <v>4062.5983437713803</v>
      </c>
      <c r="G236" s="27">
        <f t="shared" si="6"/>
        <v>17.496718371565965</v>
      </c>
      <c r="H236" s="29">
        <v>50</v>
      </c>
      <c r="I236" s="29">
        <v>0</v>
      </c>
      <c r="J236" s="15" t="s">
        <v>62</v>
      </c>
      <c r="K236" s="30">
        <v>40.874026666600002</v>
      </c>
      <c r="L236" s="30">
        <v>72.094549999700007</v>
      </c>
      <c r="M236" s="15">
        <v>400</v>
      </c>
    </row>
    <row r="237" spans="1:13" ht="30" customHeight="1">
      <c r="A237" s="16" t="s">
        <v>13</v>
      </c>
      <c r="B237" s="30" t="s">
        <v>388</v>
      </c>
      <c r="C237" s="30" t="s">
        <v>331</v>
      </c>
      <c r="D237" s="44">
        <v>24474.429141138207</v>
      </c>
      <c r="E237" s="28">
        <v>20254.790104033491</v>
      </c>
      <c r="F237" s="27">
        <f t="shared" si="7"/>
        <v>4219.6390371047164</v>
      </c>
      <c r="G237" s="27">
        <f t="shared" si="6"/>
        <v>17.241011068209446</v>
      </c>
      <c r="H237" s="29">
        <v>81</v>
      </c>
      <c r="I237" s="29">
        <v>2</v>
      </c>
      <c r="J237" s="15" t="s">
        <v>60</v>
      </c>
      <c r="K237" s="30">
        <v>40.869140000000002</v>
      </c>
      <c r="L237" s="30">
        <v>71.991384999999994</v>
      </c>
      <c r="M237" s="15">
        <v>100</v>
      </c>
    </row>
    <row r="238" spans="1:13" ht="30" customHeight="1">
      <c r="A238" s="5" t="s">
        <v>45</v>
      </c>
      <c r="B238" s="30" t="s">
        <v>392</v>
      </c>
      <c r="C238" s="30" t="s">
        <v>332</v>
      </c>
      <c r="D238" s="44">
        <v>23833.686201138207</v>
      </c>
      <c r="E238" s="28">
        <v>19694.210104033493</v>
      </c>
      <c r="F238" s="27">
        <f t="shared" si="7"/>
        <v>4139.4760971047144</v>
      </c>
      <c r="G238" s="27">
        <f t="shared" si="6"/>
        <v>17.368174029693439</v>
      </c>
      <c r="H238" s="29">
        <v>54</v>
      </c>
      <c r="I238" s="29">
        <v>0</v>
      </c>
      <c r="J238" s="15" t="s">
        <v>63</v>
      </c>
      <c r="K238" s="30">
        <v>40.820733333200003</v>
      </c>
      <c r="L238" s="30">
        <v>72.163296666700006</v>
      </c>
      <c r="M238" s="15">
        <v>160</v>
      </c>
    </row>
    <row r="239" spans="1:13" ht="30" customHeight="1">
      <c r="A239" s="16" t="s">
        <v>30</v>
      </c>
      <c r="B239" s="30" t="s">
        <v>391</v>
      </c>
      <c r="C239" s="30" t="s">
        <v>333</v>
      </c>
      <c r="D239" s="44">
        <v>24842.802801138205</v>
      </c>
      <c r="E239" s="28">
        <v>20577.076770700158</v>
      </c>
      <c r="F239" s="27">
        <f t="shared" si="7"/>
        <v>4265.726030438047</v>
      </c>
      <c r="G239" s="27">
        <f t="shared" si="6"/>
        <v>17.170872645024609</v>
      </c>
      <c r="H239" s="29">
        <v>70</v>
      </c>
      <c r="I239" s="29">
        <v>0</v>
      </c>
      <c r="J239" s="15" t="s">
        <v>64</v>
      </c>
      <c r="K239" s="30">
        <v>40.813206666600003</v>
      </c>
      <c r="L239" s="30">
        <v>72.109205000000003</v>
      </c>
      <c r="M239" s="15">
        <v>630</v>
      </c>
    </row>
    <row r="240" spans="1:13" ht="30" customHeight="1">
      <c r="A240" s="16" t="s">
        <v>13</v>
      </c>
      <c r="B240" s="30" t="s">
        <v>386</v>
      </c>
      <c r="C240" s="30" t="s">
        <v>334</v>
      </c>
      <c r="D240" s="44">
        <v>26571.079761138208</v>
      </c>
      <c r="E240" s="28">
        <v>22089.130104033491</v>
      </c>
      <c r="F240" s="27">
        <f t="shared" si="7"/>
        <v>4481.9496571047166</v>
      </c>
      <c r="G240" s="27">
        <f t="shared" si="6"/>
        <v>16.867773900780037</v>
      </c>
      <c r="H240" s="29">
        <v>103</v>
      </c>
      <c r="I240" s="29">
        <v>3</v>
      </c>
      <c r="J240" s="15" t="s">
        <v>65</v>
      </c>
      <c r="K240" s="30">
        <v>40.872072950000003</v>
      </c>
      <c r="L240" s="30">
        <v>71.967303771499999</v>
      </c>
      <c r="M240" s="15">
        <v>100</v>
      </c>
    </row>
    <row r="241" spans="1:14" ht="30" customHeight="1">
      <c r="A241" s="16" t="s">
        <v>30</v>
      </c>
      <c r="B241" s="30" t="s">
        <v>389</v>
      </c>
      <c r="C241" s="30" t="s">
        <v>335</v>
      </c>
      <c r="D241" s="44">
        <v>25944.696711138204</v>
      </c>
      <c r="E241" s="28">
        <v>21541.113437366825</v>
      </c>
      <c r="F241" s="27">
        <f t="shared" si="7"/>
        <v>4403.583273771379</v>
      </c>
      <c r="G241" s="27">
        <f t="shared" si="6"/>
        <v>16.972961074857722</v>
      </c>
      <c r="H241" s="29">
        <v>75</v>
      </c>
      <c r="I241" s="29">
        <v>2</v>
      </c>
      <c r="J241" s="15" t="s">
        <v>62</v>
      </c>
      <c r="K241" s="30">
        <v>40.875613333300002</v>
      </c>
      <c r="L241" s="30">
        <v>72.034936666700006</v>
      </c>
      <c r="M241" s="15">
        <v>400</v>
      </c>
    </row>
    <row r="242" spans="1:14" ht="30" customHeight="1">
      <c r="A242" s="16" t="s">
        <v>13</v>
      </c>
      <c r="B242" s="30" t="s">
        <v>391</v>
      </c>
      <c r="C242" s="30" t="s">
        <v>336</v>
      </c>
      <c r="D242" s="44">
        <v>21245.09981113821</v>
      </c>
      <c r="E242" s="28">
        <v>17429.480104033493</v>
      </c>
      <c r="F242" s="27">
        <f t="shared" si="7"/>
        <v>3815.6197071047172</v>
      </c>
      <c r="G242" s="27">
        <f t="shared" si="6"/>
        <v>17.959998969288414</v>
      </c>
      <c r="H242" s="29">
        <v>25</v>
      </c>
      <c r="I242" s="29">
        <v>0</v>
      </c>
      <c r="J242" s="15" t="s">
        <v>66</v>
      </c>
      <c r="K242" s="30">
        <v>40.813206666600003</v>
      </c>
      <c r="L242" s="30">
        <v>72.109205000000003</v>
      </c>
      <c r="M242" s="15">
        <v>100</v>
      </c>
    </row>
    <row r="243" spans="1:14" ht="30" customHeight="1">
      <c r="A243" s="16" t="s">
        <v>13</v>
      </c>
      <c r="B243" s="30" t="s">
        <v>391</v>
      </c>
      <c r="C243" s="30" t="s">
        <v>337</v>
      </c>
      <c r="D243" s="44">
        <v>21740.110251138209</v>
      </c>
      <c r="E243" s="28">
        <v>17862.560104033491</v>
      </c>
      <c r="F243" s="27">
        <f t="shared" si="7"/>
        <v>3877.5501471047173</v>
      </c>
      <c r="G243" s="27">
        <f t="shared" si="6"/>
        <v>17.835926783773818</v>
      </c>
      <c r="H243" s="29">
        <v>50</v>
      </c>
      <c r="I243" s="29">
        <v>0</v>
      </c>
      <c r="J243" s="15" t="s">
        <v>59</v>
      </c>
      <c r="K243" s="30">
        <v>40.813206666600003</v>
      </c>
      <c r="L243" s="30">
        <v>72.109205000000003</v>
      </c>
      <c r="M243" s="15">
        <v>100</v>
      </c>
    </row>
    <row r="244" spans="1:14" ht="30" customHeight="1">
      <c r="A244" s="16" t="s">
        <v>13</v>
      </c>
      <c r="B244" s="30" t="s">
        <v>391</v>
      </c>
      <c r="C244" s="30" t="s">
        <v>338</v>
      </c>
      <c r="D244" s="44">
        <v>21360.839991138211</v>
      </c>
      <c r="E244" s="28">
        <v>17530.740104033492</v>
      </c>
      <c r="F244" s="27">
        <f t="shared" si="7"/>
        <v>3830.0998871047195</v>
      </c>
      <c r="G244" s="27">
        <f t="shared" si="6"/>
        <v>17.930474123179053</v>
      </c>
      <c r="H244" s="29">
        <v>29</v>
      </c>
      <c r="I244" s="29">
        <v>2</v>
      </c>
      <c r="J244" s="15" t="s">
        <v>66</v>
      </c>
      <c r="K244" s="30">
        <v>40.813206666600003</v>
      </c>
      <c r="L244" s="30">
        <v>72.109205000000003</v>
      </c>
      <c r="M244" s="15">
        <v>25</v>
      </c>
    </row>
    <row r="245" spans="1:14" ht="30" customHeight="1">
      <c r="A245" s="16" t="s">
        <v>13</v>
      </c>
      <c r="B245" s="30" t="s">
        <v>387</v>
      </c>
      <c r="C245" s="30" t="s">
        <v>339</v>
      </c>
      <c r="D245" s="44">
        <v>20960.363271138205</v>
      </c>
      <c r="E245" s="28">
        <v>17180.366770700159</v>
      </c>
      <c r="F245" s="27">
        <f t="shared" si="7"/>
        <v>3779.9965004380465</v>
      </c>
      <c r="G245" s="27">
        <f t="shared" si="6"/>
        <v>18.034021889510804</v>
      </c>
      <c r="H245" s="29">
        <v>37</v>
      </c>
      <c r="I245" s="29">
        <v>3</v>
      </c>
      <c r="J245" s="15" t="s">
        <v>66</v>
      </c>
      <c r="K245" s="30">
        <v>40.887124999999997</v>
      </c>
      <c r="L245" s="30">
        <v>71.961399</v>
      </c>
      <c r="M245" s="15">
        <v>63</v>
      </c>
    </row>
    <row r="246" spans="1:14" ht="30" customHeight="1">
      <c r="A246" s="16" t="s">
        <v>13</v>
      </c>
      <c r="B246" s="30" t="s">
        <v>388</v>
      </c>
      <c r="C246" s="30" t="s">
        <v>340</v>
      </c>
      <c r="D246" s="44">
        <v>20987.829561138209</v>
      </c>
      <c r="E246" s="28">
        <v>17204.396770700158</v>
      </c>
      <c r="F246" s="27">
        <f t="shared" si="7"/>
        <v>3783.4327904380516</v>
      </c>
      <c r="G246" s="27">
        <f t="shared" si="6"/>
        <v>18.026793954166592</v>
      </c>
      <c r="H246" s="29">
        <v>100</v>
      </c>
      <c r="I246" s="29">
        <v>0</v>
      </c>
      <c r="J246" s="15" t="s">
        <v>67</v>
      </c>
      <c r="K246" s="30">
        <v>40.890337000000002</v>
      </c>
      <c r="L246" s="30">
        <v>72.009943000000007</v>
      </c>
      <c r="M246" s="15">
        <v>160</v>
      </c>
      <c r="N246" s="32">
        <v>7</v>
      </c>
    </row>
    <row r="247" spans="1:14" ht="30" customHeight="1">
      <c r="A247" s="16" t="s">
        <v>13</v>
      </c>
      <c r="B247" s="30" t="s">
        <v>390</v>
      </c>
      <c r="C247" s="30" t="s">
        <v>341</v>
      </c>
      <c r="D247" s="44">
        <v>21062.36840113821</v>
      </c>
      <c r="E247" s="28">
        <v>17269.610104033491</v>
      </c>
      <c r="F247" s="27">
        <f t="shared" si="7"/>
        <v>3792.7582971047195</v>
      </c>
      <c r="G247" s="27">
        <f t="shared" si="6"/>
        <v>18.007273564257659</v>
      </c>
      <c r="H247" s="29">
        <v>59</v>
      </c>
      <c r="I247" s="29">
        <v>0</v>
      </c>
      <c r="J247" s="15" t="s">
        <v>60</v>
      </c>
      <c r="K247" s="13"/>
      <c r="L247" s="13"/>
      <c r="M247" s="15">
        <v>63</v>
      </c>
    </row>
    <row r="248" spans="1:14" ht="30" customHeight="1">
      <c r="A248" s="16" t="s">
        <v>13</v>
      </c>
      <c r="B248" s="30" t="s">
        <v>384</v>
      </c>
      <c r="C248" s="30" t="s">
        <v>122</v>
      </c>
      <c r="D248" s="44">
        <v>20960.363271138205</v>
      </c>
      <c r="E248" s="28">
        <v>17180.366770700159</v>
      </c>
      <c r="F248" s="27">
        <f t="shared" si="7"/>
        <v>3779.9965004380465</v>
      </c>
      <c r="G248" s="27">
        <f t="shared" si="6"/>
        <v>18.034021889510804</v>
      </c>
      <c r="H248" s="29">
        <v>20</v>
      </c>
      <c r="I248" s="29">
        <v>2</v>
      </c>
      <c r="J248" s="15" t="s">
        <v>75</v>
      </c>
      <c r="K248" s="13"/>
      <c r="L248" s="13"/>
      <c r="M248" s="15">
        <v>160</v>
      </c>
    </row>
    <row r="249" spans="1:14" ht="30" customHeight="1">
      <c r="A249" s="16" t="s">
        <v>13</v>
      </c>
      <c r="B249" s="30" t="s">
        <v>387</v>
      </c>
      <c r="C249" s="30" t="s">
        <v>342</v>
      </c>
      <c r="D249" s="44">
        <v>38361.608631138217</v>
      </c>
      <c r="E249" s="28">
        <v>32404.553437366831</v>
      </c>
      <c r="F249" s="27">
        <f t="shared" si="7"/>
        <v>5957.0551937713863</v>
      </c>
      <c r="G249" s="27">
        <f t="shared" si="6"/>
        <v>15.528689766507938</v>
      </c>
      <c r="H249" s="29">
        <v>76</v>
      </c>
      <c r="I249" s="29">
        <v>2</v>
      </c>
      <c r="J249" s="15" t="s">
        <v>75</v>
      </c>
      <c r="K249" s="13"/>
      <c r="L249" s="13"/>
      <c r="M249" s="15">
        <v>63</v>
      </c>
    </row>
    <row r="250" spans="1:14" ht="30" customHeight="1">
      <c r="A250" s="16" t="s">
        <v>13</v>
      </c>
      <c r="B250" s="30" t="s">
        <v>388</v>
      </c>
      <c r="C250" s="30" t="s">
        <v>343</v>
      </c>
      <c r="D250" s="44">
        <v>27653.847471138208</v>
      </c>
      <c r="E250" s="28">
        <v>23036.433437366828</v>
      </c>
      <c r="F250" s="27">
        <f t="shared" si="7"/>
        <v>4617.4140337713798</v>
      </c>
      <c r="G250" s="27">
        <f t="shared" si="6"/>
        <v>16.697184862216684</v>
      </c>
      <c r="H250" s="29">
        <v>39</v>
      </c>
      <c r="I250" s="29">
        <v>0</v>
      </c>
      <c r="J250" s="15" t="s">
        <v>75</v>
      </c>
      <c r="K250" s="13">
        <v>40.876370000000001</v>
      </c>
      <c r="L250" s="13">
        <v>71.934290000000004</v>
      </c>
      <c r="M250" s="15">
        <v>63</v>
      </c>
    </row>
    <row r="251" spans="1:14" ht="30" customHeight="1">
      <c r="A251" s="16" t="s">
        <v>13</v>
      </c>
      <c r="B251" s="30" t="s">
        <v>389</v>
      </c>
      <c r="C251" s="30" t="s">
        <v>344</v>
      </c>
      <c r="D251" s="44">
        <v>23507.409231138208</v>
      </c>
      <c r="E251" s="28">
        <v>19408.753437366824</v>
      </c>
      <c r="F251" s="27">
        <f t="shared" si="7"/>
        <v>4098.6557937713842</v>
      </c>
      <c r="G251" s="27">
        <f t="shared" si="6"/>
        <v>17.435591278779686</v>
      </c>
      <c r="H251" s="29">
        <v>30</v>
      </c>
      <c r="I251" s="29">
        <v>0</v>
      </c>
      <c r="J251" s="15" t="s">
        <v>75</v>
      </c>
      <c r="K251" s="13"/>
      <c r="L251" s="13"/>
      <c r="M251" s="15">
        <v>160</v>
      </c>
    </row>
    <row r="252" spans="1:14" ht="30" customHeight="1">
      <c r="A252" s="16" t="s">
        <v>13</v>
      </c>
      <c r="B252" s="30" t="s">
        <v>389</v>
      </c>
      <c r="C252" s="30" t="s">
        <v>345</v>
      </c>
      <c r="D252" s="44">
        <v>23736.397851138212</v>
      </c>
      <c r="E252" s="28">
        <v>19609.093437366824</v>
      </c>
      <c r="F252" s="27">
        <f t="shared" si="7"/>
        <v>4127.3044137713878</v>
      </c>
      <c r="G252" s="27">
        <f t="shared" si="6"/>
        <v>17.388082385775625</v>
      </c>
      <c r="H252" s="29">
        <v>59</v>
      </c>
      <c r="I252" s="29">
        <v>2</v>
      </c>
      <c r="J252" s="15" t="s">
        <v>75</v>
      </c>
      <c r="K252" s="13"/>
      <c r="L252" s="13"/>
      <c r="M252" s="15">
        <v>63</v>
      </c>
    </row>
    <row r="253" spans="1:14" ht="30" customHeight="1">
      <c r="A253" s="16" t="s">
        <v>13</v>
      </c>
      <c r="B253" s="30" t="s">
        <v>386</v>
      </c>
      <c r="C253" s="30" t="s">
        <v>346</v>
      </c>
      <c r="D253" s="44">
        <v>24758.697051138202</v>
      </c>
      <c r="E253" s="28">
        <v>20503.493437366826</v>
      </c>
      <c r="F253" s="27">
        <f t="shared" si="7"/>
        <v>4255.2036137713767</v>
      </c>
      <c r="G253" s="27">
        <f t="shared" si="6"/>
        <v>17.186702535203715</v>
      </c>
      <c r="H253" s="29">
        <v>56</v>
      </c>
      <c r="I253" s="29">
        <v>0</v>
      </c>
      <c r="J253" s="15" t="s">
        <v>59</v>
      </c>
      <c r="K253" s="13"/>
      <c r="L253" s="13"/>
      <c r="M253" s="15">
        <v>250</v>
      </c>
    </row>
    <row r="254" spans="1:14" ht="30" customHeight="1">
      <c r="A254" s="16" t="s">
        <v>13</v>
      </c>
      <c r="B254" s="30" t="s">
        <v>388</v>
      </c>
      <c r="C254" s="30" t="s">
        <v>347</v>
      </c>
      <c r="D254" s="44">
        <v>27347.245341138208</v>
      </c>
      <c r="E254" s="28">
        <v>22768.190104033496</v>
      </c>
      <c r="F254" s="27">
        <f t="shared" si="7"/>
        <v>4579.0552371047124</v>
      </c>
      <c r="G254" s="27">
        <f t="shared" si="6"/>
        <v>16.744118758522571</v>
      </c>
      <c r="H254" s="29">
        <v>85</v>
      </c>
      <c r="I254" s="29">
        <v>2</v>
      </c>
      <c r="J254" s="15" t="s">
        <v>72</v>
      </c>
      <c r="K254" s="13"/>
      <c r="L254" s="13"/>
      <c r="M254" s="15">
        <v>25</v>
      </c>
    </row>
    <row r="255" spans="1:14" ht="30" customHeight="1">
      <c r="A255" s="16" t="s">
        <v>13</v>
      </c>
      <c r="B255" s="30" t="s">
        <v>387</v>
      </c>
      <c r="C255" s="30" t="s">
        <v>348</v>
      </c>
      <c r="D255" s="44">
        <v>24865.258941138207</v>
      </c>
      <c r="E255" s="28">
        <v>20596.723437366825</v>
      </c>
      <c r="F255" s="27">
        <f t="shared" si="7"/>
        <v>4268.5355037713816</v>
      </c>
      <c r="G255" s="27">
        <f t="shared" si="6"/>
        <v>17.166664195518688</v>
      </c>
      <c r="H255" s="29">
        <v>60</v>
      </c>
      <c r="I255" s="29">
        <v>0</v>
      </c>
      <c r="J255" s="15" t="s">
        <v>76</v>
      </c>
      <c r="K255" s="13"/>
      <c r="L255" s="13"/>
      <c r="M255" s="15">
        <v>630</v>
      </c>
    </row>
    <row r="256" spans="1:14" ht="30" customHeight="1">
      <c r="A256" s="16" t="s">
        <v>30</v>
      </c>
      <c r="B256" s="30" t="s">
        <v>388</v>
      </c>
      <c r="C256" s="30" t="s">
        <v>349</v>
      </c>
      <c r="D256" s="44">
        <v>23781.344421138205</v>
      </c>
      <c r="E256" s="28">
        <v>19648.416770700158</v>
      </c>
      <c r="F256" s="27">
        <f t="shared" si="7"/>
        <v>4132.9276504380468</v>
      </c>
      <c r="G256" s="27">
        <f t="shared" si="6"/>
        <v>17.378864614417957</v>
      </c>
      <c r="H256" s="29">
        <v>59</v>
      </c>
      <c r="I256" s="29">
        <v>0</v>
      </c>
      <c r="J256" s="15" t="s">
        <v>76</v>
      </c>
      <c r="K256" s="13"/>
      <c r="L256" s="13"/>
      <c r="M256" s="15">
        <v>400</v>
      </c>
    </row>
    <row r="257" spans="1:13" ht="30" customHeight="1">
      <c r="A257" s="16" t="s">
        <v>13</v>
      </c>
      <c r="B257" s="30" t="s">
        <v>387</v>
      </c>
      <c r="C257" s="30" t="s">
        <v>350</v>
      </c>
      <c r="D257" s="44">
        <v>26088.516591138206</v>
      </c>
      <c r="E257" s="28">
        <v>21666.940104033492</v>
      </c>
      <c r="F257" s="27">
        <f t="shared" si="7"/>
        <v>4421.576487104714</v>
      </c>
      <c r="G257" s="27">
        <f t="shared" si="6"/>
        <v>16.948362976707703</v>
      </c>
      <c r="H257" s="29">
        <v>24</v>
      </c>
      <c r="I257" s="29">
        <v>2</v>
      </c>
      <c r="J257" s="15" t="s">
        <v>55</v>
      </c>
      <c r="K257" s="13"/>
      <c r="L257" s="13"/>
      <c r="M257" s="15">
        <v>160</v>
      </c>
    </row>
    <row r="258" spans="1:13" ht="30" customHeight="1">
      <c r="A258" s="16" t="s">
        <v>13</v>
      </c>
      <c r="B258" s="30" t="s">
        <v>384</v>
      </c>
      <c r="C258" s="30" t="s">
        <v>99</v>
      </c>
      <c r="D258" s="44">
        <v>22250.162571138211</v>
      </c>
      <c r="E258" s="28">
        <v>18308.800104033493</v>
      </c>
      <c r="F258" s="27">
        <f t="shared" si="7"/>
        <v>3941.3624671047182</v>
      </c>
      <c r="G258" s="27">
        <f t="shared" si="6"/>
        <v>17.713859188684108</v>
      </c>
      <c r="H258" s="29">
        <v>41</v>
      </c>
      <c r="I258" s="29">
        <v>2</v>
      </c>
      <c r="J258" s="15" t="s">
        <v>75</v>
      </c>
      <c r="K258" s="13"/>
      <c r="L258" s="13"/>
      <c r="M258" s="15">
        <v>160</v>
      </c>
    </row>
    <row r="259" spans="1:13" ht="30" customHeight="1">
      <c r="A259" s="16" t="s">
        <v>13</v>
      </c>
      <c r="B259" s="30" t="s">
        <v>390</v>
      </c>
      <c r="C259" s="30" t="s">
        <v>351</v>
      </c>
      <c r="D259" s="44">
        <v>20962.874061138205</v>
      </c>
      <c r="E259" s="28">
        <v>17182.563437366825</v>
      </c>
      <c r="F259" s="27">
        <f t="shared" si="7"/>
        <v>3780.3106237713801</v>
      </c>
      <c r="G259" s="27">
        <f t="shared" ref="G259:G293" si="8">+F259*100/D259</f>
        <v>18.033360371989581</v>
      </c>
      <c r="H259" s="29">
        <v>43</v>
      </c>
      <c r="I259" s="29">
        <v>2</v>
      </c>
      <c r="J259" s="15" t="s">
        <v>75</v>
      </c>
      <c r="K259" s="13">
        <v>40.865291666700003</v>
      </c>
      <c r="L259" s="13">
        <v>71.961494999999999</v>
      </c>
      <c r="M259" s="15">
        <v>100</v>
      </c>
    </row>
    <row r="260" spans="1:13" ht="30" customHeight="1">
      <c r="A260" s="16" t="s">
        <v>30</v>
      </c>
      <c r="B260" s="30" t="s">
        <v>388</v>
      </c>
      <c r="C260" s="30" t="s">
        <v>352</v>
      </c>
      <c r="D260" s="44">
        <v>22580.741031138208</v>
      </c>
      <c r="E260" s="28">
        <v>18598.02010403349</v>
      </c>
      <c r="F260" s="27">
        <f t="shared" si="7"/>
        <v>3982.7209271047177</v>
      </c>
      <c r="G260" s="27">
        <f t="shared" si="8"/>
        <v>17.637689222035085</v>
      </c>
      <c r="H260" s="29">
        <v>40</v>
      </c>
      <c r="I260" s="29">
        <v>2</v>
      </c>
      <c r="J260" s="15" t="s">
        <v>68</v>
      </c>
      <c r="K260" s="13"/>
      <c r="L260" s="13"/>
      <c r="M260" s="15">
        <v>100</v>
      </c>
    </row>
    <row r="261" spans="1:13" ht="30" customHeight="1">
      <c r="A261" s="16" t="s">
        <v>13</v>
      </c>
      <c r="B261" s="30" t="s">
        <v>389</v>
      </c>
      <c r="C261" s="30" t="s">
        <v>353</v>
      </c>
      <c r="D261" s="44">
        <v>25745.216541138208</v>
      </c>
      <c r="E261" s="28">
        <v>21366.59010403349</v>
      </c>
      <c r="F261" s="27">
        <f t="shared" ref="F261:F298" si="9">+D261-E261</f>
        <v>4378.6264371047182</v>
      </c>
      <c r="G261" s="27">
        <f t="shared" si="8"/>
        <v>17.007533924246172</v>
      </c>
      <c r="H261" s="29">
        <v>71</v>
      </c>
      <c r="I261" s="29">
        <v>0</v>
      </c>
      <c r="J261" s="15" t="s">
        <v>72</v>
      </c>
      <c r="K261" s="13"/>
      <c r="L261" s="13"/>
      <c r="M261" s="15">
        <v>250</v>
      </c>
    </row>
    <row r="262" spans="1:13" ht="30" customHeight="1">
      <c r="A262" s="16" t="s">
        <v>30</v>
      </c>
      <c r="B262" s="30" t="s">
        <v>390</v>
      </c>
      <c r="C262" s="30" t="s">
        <v>354</v>
      </c>
      <c r="D262" s="44">
        <v>20960.363271138205</v>
      </c>
      <c r="E262" s="28">
        <v>17180.366770700159</v>
      </c>
      <c r="F262" s="27">
        <f t="shared" si="9"/>
        <v>3779.9965004380465</v>
      </c>
      <c r="G262" s="27">
        <f t="shared" si="8"/>
        <v>18.034021889510804</v>
      </c>
      <c r="H262" s="29">
        <v>52</v>
      </c>
      <c r="I262" s="29">
        <v>0</v>
      </c>
      <c r="J262" s="15" t="s">
        <v>72</v>
      </c>
      <c r="K262" s="13"/>
      <c r="L262" s="13"/>
      <c r="M262" s="15">
        <v>160</v>
      </c>
    </row>
    <row r="263" spans="1:13" ht="30" customHeight="1">
      <c r="A263" s="16" t="s">
        <v>30</v>
      </c>
      <c r="B263" s="30" t="s">
        <v>387</v>
      </c>
      <c r="C263" s="30" t="s">
        <v>355</v>
      </c>
      <c r="D263" s="44">
        <v>127956.69614113822</v>
      </c>
      <c r="E263" s="28">
        <v>110790.45677070018</v>
      </c>
      <c r="F263" s="27">
        <f t="shared" si="9"/>
        <v>17166.239370438037</v>
      </c>
      <c r="G263" s="27">
        <f t="shared" si="8"/>
        <v>13.415663179911592</v>
      </c>
      <c r="H263" s="29">
        <v>79</v>
      </c>
      <c r="I263" s="29">
        <v>2</v>
      </c>
      <c r="J263" s="15" t="s">
        <v>71</v>
      </c>
      <c r="K263" s="13"/>
      <c r="L263" s="13"/>
      <c r="M263" s="15">
        <v>160</v>
      </c>
    </row>
    <row r="264" spans="1:13" ht="30" customHeight="1">
      <c r="A264" s="16" t="s">
        <v>30</v>
      </c>
      <c r="B264" s="30" t="s">
        <v>384</v>
      </c>
      <c r="C264" s="30" t="s">
        <v>120</v>
      </c>
      <c r="D264" s="44">
        <v>24438.923751138202</v>
      </c>
      <c r="E264" s="28">
        <v>20223.726770700159</v>
      </c>
      <c r="F264" s="27">
        <f t="shared" si="9"/>
        <v>4215.1969804380424</v>
      </c>
      <c r="G264" s="27">
        <f t="shared" si="8"/>
        <v>17.24788302202435</v>
      </c>
      <c r="H264" s="29">
        <v>30</v>
      </c>
      <c r="I264" s="29">
        <v>0</v>
      </c>
      <c r="J264" s="15" t="s">
        <v>71</v>
      </c>
      <c r="K264" s="13"/>
      <c r="L264" s="13"/>
      <c r="M264" s="15">
        <v>100</v>
      </c>
    </row>
    <row r="265" spans="1:13" ht="30" customHeight="1">
      <c r="A265" s="16" t="s">
        <v>30</v>
      </c>
      <c r="B265" s="30" t="s">
        <v>384</v>
      </c>
      <c r="C265" s="30" t="s">
        <v>103</v>
      </c>
      <c r="D265" s="44">
        <v>23605.429101138212</v>
      </c>
      <c r="E265" s="28">
        <v>19494.510104033492</v>
      </c>
      <c r="F265" s="27">
        <f t="shared" si="9"/>
        <v>4110.9189971047199</v>
      </c>
      <c r="G265" s="27">
        <f t="shared" si="8"/>
        <v>17.415141997594521</v>
      </c>
      <c r="H265" s="29">
        <v>89</v>
      </c>
      <c r="I265" s="29">
        <v>0</v>
      </c>
      <c r="J265" s="15" t="s">
        <v>77</v>
      </c>
      <c r="K265" s="13">
        <v>40.858196666700003</v>
      </c>
      <c r="L265" s="13">
        <v>72.1313583333</v>
      </c>
      <c r="M265" s="15">
        <v>250</v>
      </c>
    </row>
    <row r="266" spans="1:13" ht="30" customHeight="1">
      <c r="A266" s="16" t="s">
        <v>13</v>
      </c>
      <c r="B266" s="30" t="s">
        <v>388</v>
      </c>
      <c r="C266" s="30" t="s">
        <v>356</v>
      </c>
      <c r="D266" s="44">
        <v>20963.380791138206</v>
      </c>
      <c r="E266" s="28">
        <v>17183.006770700158</v>
      </c>
      <c r="F266" s="27">
        <f t="shared" si="9"/>
        <v>3780.3740204380483</v>
      </c>
      <c r="G266" s="27">
        <f t="shared" si="8"/>
        <v>18.033226883118566</v>
      </c>
      <c r="H266" s="29">
        <v>16</v>
      </c>
      <c r="I266" s="29">
        <v>2</v>
      </c>
      <c r="J266" s="15" t="s">
        <v>69</v>
      </c>
      <c r="K266" s="13"/>
      <c r="L266" s="13"/>
      <c r="M266" s="15">
        <v>160</v>
      </c>
    </row>
    <row r="267" spans="1:13" ht="30" customHeight="1">
      <c r="A267" s="5" t="s">
        <v>45</v>
      </c>
      <c r="B267" s="30" t="s">
        <v>392</v>
      </c>
      <c r="C267" s="30" t="s">
        <v>357</v>
      </c>
      <c r="D267" s="44">
        <v>23146.80416113821</v>
      </c>
      <c r="E267" s="28">
        <v>19093.263437366826</v>
      </c>
      <c r="F267" s="27">
        <f t="shared" si="9"/>
        <v>4053.5407237713844</v>
      </c>
      <c r="G267" s="27">
        <f t="shared" si="8"/>
        <v>17.512312695749948</v>
      </c>
      <c r="H267" s="29">
        <v>44</v>
      </c>
      <c r="I267" s="29">
        <v>0</v>
      </c>
      <c r="J267" s="15" t="s">
        <v>73</v>
      </c>
      <c r="K267" s="13"/>
      <c r="L267" s="13"/>
      <c r="M267" s="15">
        <v>160</v>
      </c>
    </row>
    <row r="268" spans="1:13" ht="30" customHeight="1">
      <c r="A268" s="16" t="s">
        <v>30</v>
      </c>
      <c r="B268" s="30" t="s">
        <v>389</v>
      </c>
      <c r="C268" s="30" t="s">
        <v>358</v>
      </c>
      <c r="D268" s="44">
        <v>23168.894541138212</v>
      </c>
      <c r="E268" s="28">
        <v>19112.59010403349</v>
      </c>
      <c r="F268" s="27">
        <f t="shared" si="9"/>
        <v>4056.3044371047217</v>
      </c>
      <c r="G268" s="27">
        <f t="shared" si="8"/>
        <v>17.507544133805915</v>
      </c>
      <c r="H268" s="29">
        <v>37</v>
      </c>
      <c r="I268" s="29">
        <v>0</v>
      </c>
      <c r="J268" s="15" t="s">
        <v>78</v>
      </c>
      <c r="K268" s="13"/>
      <c r="L268" s="13"/>
      <c r="M268" s="15">
        <v>250</v>
      </c>
    </row>
    <row r="269" spans="1:13" ht="30" customHeight="1">
      <c r="A269" s="16" t="s">
        <v>30</v>
      </c>
      <c r="B269" s="30" t="s">
        <v>391</v>
      </c>
      <c r="C269" s="30" t="s">
        <v>359</v>
      </c>
      <c r="D269" s="44">
        <v>22651.808961138206</v>
      </c>
      <c r="E269" s="28">
        <v>18660.19677070016</v>
      </c>
      <c r="F269" s="27">
        <f t="shared" si="9"/>
        <v>3991.6121904380452</v>
      </c>
      <c r="G269" s="27">
        <f t="shared" si="8"/>
        <v>17.621604514174194</v>
      </c>
      <c r="H269" s="29">
        <v>24</v>
      </c>
      <c r="I269" s="29">
        <v>0</v>
      </c>
      <c r="J269" s="15" t="s">
        <v>79</v>
      </c>
      <c r="K269" s="13">
        <v>40.883151666700002</v>
      </c>
      <c r="L269" s="13">
        <v>72.085181666699995</v>
      </c>
      <c r="M269" s="15">
        <v>160</v>
      </c>
    </row>
    <row r="270" spans="1:13" ht="30" customHeight="1">
      <c r="A270" s="16" t="s">
        <v>30</v>
      </c>
      <c r="B270" s="30" t="s">
        <v>384</v>
      </c>
      <c r="C270" s="30" t="s">
        <v>102</v>
      </c>
      <c r="D270" s="44">
        <v>21807.893961138212</v>
      </c>
      <c r="E270" s="28">
        <v>17921.863437366825</v>
      </c>
      <c r="F270" s="27">
        <f t="shared" si="9"/>
        <v>3886.0305237713874</v>
      </c>
      <c r="G270" s="27">
        <f t="shared" si="8"/>
        <v>17.819375546746127</v>
      </c>
      <c r="H270" s="29">
        <v>32</v>
      </c>
      <c r="I270" s="29">
        <v>0</v>
      </c>
      <c r="J270" s="15" t="s">
        <v>80</v>
      </c>
      <c r="K270" s="13"/>
      <c r="L270" s="13"/>
      <c r="M270" s="15">
        <v>63</v>
      </c>
    </row>
    <row r="271" spans="1:13" ht="30" customHeight="1">
      <c r="A271" s="5" t="s">
        <v>45</v>
      </c>
      <c r="B271" s="30" t="s">
        <v>392</v>
      </c>
      <c r="C271" s="30" t="s">
        <v>360</v>
      </c>
      <c r="D271" s="44">
        <v>25895.037171138203</v>
      </c>
      <c r="E271" s="28">
        <v>21497.666770700158</v>
      </c>
      <c r="F271" s="27">
        <f t="shared" si="9"/>
        <v>4397.3704004380452</v>
      </c>
      <c r="G271" s="27">
        <f t="shared" si="8"/>
        <v>16.981518008165736</v>
      </c>
      <c r="H271" s="29">
        <v>77</v>
      </c>
      <c r="I271" s="29">
        <v>0</v>
      </c>
      <c r="J271" s="15" t="s">
        <v>75</v>
      </c>
      <c r="K271" s="13"/>
      <c r="L271" s="13"/>
      <c r="M271" s="15">
        <v>400</v>
      </c>
    </row>
    <row r="272" spans="1:13" ht="30" customHeight="1">
      <c r="A272" s="16" t="s">
        <v>13</v>
      </c>
      <c r="B272" s="30" t="s">
        <v>388</v>
      </c>
      <c r="C272" s="30" t="s">
        <v>361</v>
      </c>
      <c r="D272" s="44">
        <v>22467.721191138207</v>
      </c>
      <c r="E272" s="28">
        <v>18499.140104033493</v>
      </c>
      <c r="F272" s="27">
        <f t="shared" si="9"/>
        <v>3968.5810871047142</v>
      </c>
      <c r="G272" s="27">
        <f t="shared" si="8"/>
        <v>17.663478433540536</v>
      </c>
      <c r="H272" s="29">
        <v>52</v>
      </c>
      <c r="I272" s="29">
        <v>0</v>
      </c>
      <c r="J272" s="15" t="s">
        <v>75</v>
      </c>
      <c r="K272" s="13"/>
      <c r="L272" s="13"/>
      <c r="M272" s="15">
        <v>400</v>
      </c>
    </row>
    <row r="273" spans="1:13" ht="30" customHeight="1">
      <c r="A273" s="16" t="s">
        <v>13</v>
      </c>
      <c r="B273" s="30" t="s">
        <v>387</v>
      </c>
      <c r="C273" s="30" t="s">
        <v>362</v>
      </c>
      <c r="D273" s="44">
        <v>32542.267971138212</v>
      </c>
      <c r="E273" s="28">
        <v>27313.266770700164</v>
      </c>
      <c r="F273" s="27">
        <f t="shared" si="9"/>
        <v>5229.0012004380478</v>
      </c>
      <c r="G273" s="27">
        <f t="shared" si="8"/>
        <v>16.068336740007357</v>
      </c>
      <c r="H273" s="29">
        <v>53</v>
      </c>
      <c r="I273" s="29">
        <v>0</v>
      </c>
      <c r="J273" s="15" t="s">
        <v>68</v>
      </c>
      <c r="K273" s="13">
        <v>40.890700000000002</v>
      </c>
      <c r="L273" s="13">
        <v>71.955235000000002</v>
      </c>
      <c r="M273" s="15">
        <v>40</v>
      </c>
    </row>
    <row r="274" spans="1:13" ht="30" customHeight="1">
      <c r="A274" s="16" t="s">
        <v>13</v>
      </c>
      <c r="B274" s="30" t="s">
        <v>388</v>
      </c>
      <c r="C274" s="30" t="s">
        <v>363</v>
      </c>
      <c r="D274" s="44">
        <v>21344.197911138206</v>
      </c>
      <c r="E274" s="28">
        <v>17516.18010403349</v>
      </c>
      <c r="F274" s="27">
        <f t="shared" si="9"/>
        <v>3828.0178071047158</v>
      </c>
      <c r="G274" s="27">
        <f t="shared" si="8"/>
        <v>17.934699739206934</v>
      </c>
      <c r="H274" s="29">
        <v>30</v>
      </c>
      <c r="I274" s="29">
        <v>2</v>
      </c>
      <c r="J274" s="15" t="s">
        <v>74</v>
      </c>
      <c r="K274" s="13">
        <v>40.883293333300003</v>
      </c>
      <c r="L274" s="13">
        <v>71.964291666700007</v>
      </c>
      <c r="M274" s="15">
        <v>63</v>
      </c>
    </row>
    <row r="275" spans="1:13" ht="30" customHeight="1">
      <c r="A275" s="16" t="s">
        <v>13</v>
      </c>
      <c r="B275" s="30" t="s">
        <v>389</v>
      </c>
      <c r="C275" s="30" t="s">
        <v>364</v>
      </c>
      <c r="D275" s="44">
        <v>24840.135801138204</v>
      </c>
      <c r="E275" s="28">
        <v>20574.743437366826</v>
      </c>
      <c r="F275" s="27">
        <f t="shared" si="9"/>
        <v>4265.3923637713779</v>
      </c>
      <c r="G275" s="27">
        <f t="shared" si="8"/>
        <v>17.171372966390678</v>
      </c>
      <c r="H275" s="29">
        <v>74</v>
      </c>
      <c r="I275" s="29">
        <v>0</v>
      </c>
      <c r="J275" s="15" t="s">
        <v>76</v>
      </c>
      <c r="K275" s="13">
        <v>40.875286666699999</v>
      </c>
      <c r="L275" s="13">
        <v>71.9537066667</v>
      </c>
      <c r="M275" s="15">
        <v>25</v>
      </c>
    </row>
    <row r="276" spans="1:13" ht="30" customHeight="1">
      <c r="A276" s="16" t="s">
        <v>13</v>
      </c>
      <c r="B276" s="30" t="s">
        <v>386</v>
      </c>
      <c r="C276" s="30" t="s">
        <v>365</v>
      </c>
      <c r="D276" s="44">
        <v>23139.290841138205</v>
      </c>
      <c r="E276" s="28">
        <v>19086.690104033492</v>
      </c>
      <c r="F276" s="27">
        <f t="shared" si="9"/>
        <v>4052.6007371047126</v>
      </c>
      <c r="G276" s="27">
        <f t="shared" si="8"/>
        <v>17.51393664104776</v>
      </c>
      <c r="H276" s="29">
        <v>42</v>
      </c>
      <c r="I276" s="29">
        <v>0</v>
      </c>
      <c r="J276" s="15" t="s">
        <v>81</v>
      </c>
      <c r="K276" s="13"/>
      <c r="L276" s="13"/>
      <c r="M276" s="15">
        <v>160</v>
      </c>
    </row>
    <row r="277" spans="1:13" ht="30" customHeight="1">
      <c r="A277" s="16" t="s">
        <v>13</v>
      </c>
      <c r="B277" s="30" t="s">
        <v>389</v>
      </c>
      <c r="C277" s="30" t="s">
        <v>366</v>
      </c>
      <c r="D277" s="44">
        <v>22860.158811138212</v>
      </c>
      <c r="E277" s="28">
        <v>18842.480104033493</v>
      </c>
      <c r="F277" s="27">
        <f t="shared" si="9"/>
        <v>4017.6787071047183</v>
      </c>
      <c r="G277" s="27">
        <f t="shared" si="8"/>
        <v>17.575025354360946</v>
      </c>
      <c r="H277" s="29">
        <v>19</v>
      </c>
      <c r="I277" s="29">
        <v>0</v>
      </c>
      <c r="J277" s="15" t="s">
        <v>77</v>
      </c>
      <c r="K277" s="13"/>
      <c r="L277" s="13"/>
      <c r="M277" s="15">
        <v>60</v>
      </c>
    </row>
    <row r="278" spans="1:13" ht="30" customHeight="1">
      <c r="A278" s="16" t="s">
        <v>30</v>
      </c>
      <c r="B278" s="30" t="s">
        <v>384</v>
      </c>
      <c r="C278" s="30" t="s">
        <v>91</v>
      </c>
      <c r="D278" s="44">
        <v>22064.649861138209</v>
      </c>
      <c r="E278" s="28">
        <v>18146.49677070016</v>
      </c>
      <c r="F278" s="27">
        <f t="shared" si="9"/>
        <v>3918.1530904380488</v>
      </c>
      <c r="G278" s="27">
        <f t="shared" si="8"/>
        <v>17.757603746701513</v>
      </c>
      <c r="H278" s="29">
        <v>21</v>
      </c>
      <c r="I278" s="29">
        <v>0</v>
      </c>
      <c r="J278" s="15" t="s">
        <v>82</v>
      </c>
      <c r="K278" s="13"/>
      <c r="L278" s="13"/>
      <c r="M278" s="15">
        <v>250</v>
      </c>
    </row>
    <row r="279" spans="1:13" ht="30" customHeight="1">
      <c r="A279" s="16" t="s">
        <v>30</v>
      </c>
      <c r="B279" s="30" t="s">
        <v>390</v>
      </c>
      <c r="C279" s="30" t="s">
        <v>367</v>
      </c>
      <c r="D279" s="44">
        <v>28909.825401138212</v>
      </c>
      <c r="E279" s="28">
        <v>24135.276770700159</v>
      </c>
      <c r="F279" s="27">
        <f t="shared" si="9"/>
        <v>4774.5486304380538</v>
      </c>
      <c r="G279" s="27">
        <f t="shared" si="8"/>
        <v>16.515314652332954</v>
      </c>
      <c r="H279" s="29">
        <v>53</v>
      </c>
      <c r="I279" s="29">
        <v>0</v>
      </c>
      <c r="J279" s="15" t="s">
        <v>70</v>
      </c>
      <c r="K279" s="13">
        <v>40.870626666699998</v>
      </c>
      <c r="L279" s="13">
        <v>72.030681666700005</v>
      </c>
      <c r="M279" s="15">
        <v>40</v>
      </c>
    </row>
    <row r="280" spans="1:13" ht="30" customHeight="1">
      <c r="A280" s="16" t="s">
        <v>30</v>
      </c>
      <c r="B280" s="30" t="s">
        <v>384</v>
      </c>
      <c r="C280" s="30" t="s">
        <v>106</v>
      </c>
      <c r="D280" s="44">
        <v>22602.827601138208</v>
      </c>
      <c r="E280" s="28">
        <v>18617.343437366824</v>
      </c>
      <c r="F280" s="27">
        <f t="shared" si="9"/>
        <v>3985.4841637713835</v>
      </c>
      <c r="G280" s="27">
        <f t="shared" si="8"/>
        <v>17.632679566032202</v>
      </c>
      <c r="H280" s="29">
        <v>47</v>
      </c>
      <c r="I280" s="29">
        <v>2</v>
      </c>
      <c r="J280" s="15" t="s">
        <v>59</v>
      </c>
      <c r="K280" s="13"/>
      <c r="L280" s="13"/>
      <c r="M280" s="15">
        <v>250</v>
      </c>
    </row>
    <row r="281" spans="1:13" ht="30" customHeight="1">
      <c r="A281" s="16" t="s">
        <v>13</v>
      </c>
      <c r="B281" s="30" t="s">
        <v>388</v>
      </c>
      <c r="C281" s="30" t="s">
        <v>368</v>
      </c>
      <c r="D281" s="44">
        <v>22219.85402113821</v>
      </c>
      <c r="E281" s="28">
        <v>18282.283437366827</v>
      </c>
      <c r="F281" s="27">
        <f t="shared" si="9"/>
        <v>3937.5705837713831</v>
      </c>
      <c r="G281" s="27">
        <f t="shared" si="8"/>
        <v>17.720956132409739</v>
      </c>
      <c r="H281" s="29">
        <v>37</v>
      </c>
      <c r="I281" s="29">
        <v>0</v>
      </c>
      <c r="J281" s="15" t="s">
        <v>83</v>
      </c>
      <c r="K281" s="13"/>
      <c r="L281" s="13"/>
      <c r="M281" s="15">
        <v>63</v>
      </c>
    </row>
    <row r="282" spans="1:13" ht="30" customHeight="1">
      <c r="A282" s="16" t="s">
        <v>13</v>
      </c>
      <c r="B282" s="30" t="s">
        <v>389</v>
      </c>
      <c r="C282" s="30" t="s">
        <v>369</v>
      </c>
      <c r="D282" s="44">
        <v>26642.761101138211</v>
      </c>
      <c r="E282" s="28">
        <v>22151.843437366824</v>
      </c>
      <c r="F282" s="27">
        <f t="shared" si="9"/>
        <v>4490.9176637713863</v>
      </c>
      <c r="G282" s="27">
        <f t="shared" si="8"/>
        <v>16.856051993723462</v>
      </c>
      <c r="H282" s="29">
        <v>76</v>
      </c>
      <c r="I282" s="29">
        <v>0</v>
      </c>
      <c r="J282" s="15" t="s">
        <v>55</v>
      </c>
      <c r="K282" s="13"/>
      <c r="L282" s="13"/>
      <c r="M282" s="15">
        <v>400</v>
      </c>
    </row>
    <row r="283" spans="1:13" ht="30" customHeight="1">
      <c r="A283" s="16" t="s">
        <v>13</v>
      </c>
      <c r="B283" s="30" t="s">
        <v>390</v>
      </c>
      <c r="C283" s="30" t="s">
        <v>370</v>
      </c>
      <c r="D283" s="44">
        <v>23906.674371138208</v>
      </c>
      <c r="E283" s="28">
        <v>19758.066770700159</v>
      </c>
      <c r="F283" s="27">
        <f t="shared" si="9"/>
        <v>4148.6076004380484</v>
      </c>
      <c r="G283" s="27">
        <f t="shared" si="8"/>
        <v>17.353344660295097</v>
      </c>
      <c r="H283" s="29">
        <v>54</v>
      </c>
      <c r="I283" s="29">
        <v>2</v>
      </c>
      <c r="J283" s="15" t="s">
        <v>56</v>
      </c>
      <c r="K283" s="13"/>
      <c r="L283" s="13"/>
      <c r="M283" s="15">
        <v>25</v>
      </c>
    </row>
    <row r="284" spans="1:13" ht="30" customHeight="1">
      <c r="A284" s="16" t="s">
        <v>13</v>
      </c>
      <c r="B284" s="30" t="s">
        <v>391</v>
      </c>
      <c r="C284" s="30" t="s">
        <v>371</v>
      </c>
      <c r="D284" s="44">
        <v>22269.829791138207</v>
      </c>
      <c r="E284" s="28">
        <v>18326.006770700158</v>
      </c>
      <c r="F284" s="27">
        <f t="shared" si="9"/>
        <v>3943.8230204380488</v>
      </c>
      <c r="G284" s="27">
        <f t="shared" si="8"/>
        <v>17.70926431600931</v>
      </c>
      <c r="H284" s="29">
        <v>46</v>
      </c>
      <c r="I284" s="29">
        <v>0</v>
      </c>
      <c r="J284" s="15" t="s">
        <v>75</v>
      </c>
      <c r="K284" s="13"/>
      <c r="L284" s="13"/>
      <c r="M284" s="15">
        <v>25</v>
      </c>
    </row>
    <row r="285" spans="1:13" ht="30" customHeight="1">
      <c r="A285" s="16" t="s">
        <v>13</v>
      </c>
      <c r="B285" s="30" t="s">
        <v>388</v>
      </c>
      <c r="C285" s="30" t="s">
        <v>372</v>
      </c>
      <c r="D285" s="44">
        <v>22564.556151138207</v>
      </c>
      <c r="E285" s="28">
        <v>18583.860104033491</v>
      </c>
      <c r="F285" s="27">
        <f t="shared" si="9"/>
        <v>3980.6960471047169</v>
      </c>
      <c r="G285" s="27">
        <f t="shared" si="8"/>
        <v>17.641366488407183</v>
      </c>
      <c r="H285" s="29">
        <v>29</v>
      </c>
      <c r="I285" s="29">
        <v>2</v>
      </c>
      <c r="J285" s="15" t="s">
        <v>55</v>
      </c>
      <c r="K285" s="13">
        <v>40.882366666700001</v>
      </c>
      <c r="L285" s="13">
        <v>72.011693333300002</v>
      </c>
      <c r="M285" s="15">
        <v>63</v>
      </c>
    </row>
    <row r="286" spans="1:13" ht="30" customHeight="1">
      <c r="A286" s="5" t="s">
        <v>45</v>
      </c>
      <c r="B286" s="30" t="s">
        <v>392</v>
      </c>
      <c r="C286" s="30" t="s">
        <v>373</v>
      </c>
      <c r="D286" s="44">
        <v>28847.219481138211</v>
      </c>
      <c r="E286" s="28">
        <v>24080.503437366828</v>
      </c>
      <c r="F286" s="27">
        <f t="shared" si="9"/>
        <v>4766.7160437713828</v>
      </c>
      <c r="G286" s="27">
        <f t="shared" si="8"/>
        <v>16.52400518839643</v>
      </c>
      <c r="H286" s="29">
        <v>171</v>
      </c>
      <c r="I286" s="29">
        <v>2</v>
      </c>
      <c r="J286" s="15" t="s">
        <v>84</v>
      </c>
      <c r="K286" s="13"/>
      <c r="L286" s="13"/>
      <c r="M286" s="15">
        <v>100</v>
      </c>
    </row>
    <row r="287" spans="1:13" ht="30" customHeight="1">
      <c r="A287" s="16" t="s">
        <v>13</v>
      </c>
      <c r="B287" s="30" t="s">
        <v>388</v>
      </c>
      <c r="C287" s="30" t="s">
        <v>26</v>
      </c>
      <c r="D287" s="44">
        <v>22227.706431138209</v>
      </c>
      <c r="E287" s="28">
        <v>18289.153437366826</v>
      </c>
      <c r="F287" s="27">
        <f t="shared" si="9"/>
        <v>3938.5529937713836</v>
      </c>
      <c r="G287" s="27">
        <f t="shared" si="8"/>
        <v>17.719115582046594</v>
      </c>
      <c r="H287" s="29">
        <v>34</v>
      </c>
      <c r="I287" s="29">
        <v>0</v>
      </c>
      <c r="J287" s="15" t="s">
        <v>85</v>
      </c>
      <c r="K287" s="13"/>
      <c r="L287" s="13"/>
      <c r="M287" s="15">
        <v>100</v>
      </c>
    </row>
    <row r="288" spans="1:13" ht="30" customHeight="1">
      <c r="A288" s="16" t="s">
        <v>13</v>
      </c>
      <c r="B288" s="30" t="s">
        <v>390</v>
      </c>
      <c r="C288" s="30" t="s">
        <v>374</v>
      </c>
      <c r="D288" s="44">
        <v>23983.602081138204</v>
      </c>
      <c r="E288" s="28">
        <v>19825.370104033493</v>
      </c>
      <c r="F288" s="27">
        <f t="shared" si="9"/>
        <v>4158.2319771047114</v>
      </c>
      <c r="G288" s="27">
        <f t="shared" si="8"/>
        <v>17.337812573095238</v>
      </c>
      <c r="H288" s="29">
        <v>46</v>
      </c>
      <c r="I288" s="29">
        <v>0</v>
      </c>
      <c r="J288" s="15" t="s">
        <v>81</v>
      </c>
      <c r="K288" s="13"/>
      <c r="L288" s="13"/>
      <c r="M288" s="15">
        <v>100</v>
      </c>
    </row>
    <row r="289" spans="1:13" ht="30" customHeight="1">
      <c r="A289" s="16" t="s">
        <v>13</v>
      </c>
      <c r="B289" s="30" t="s">
        <v>390</v>
      </c>
      <c r="C289" s="30" t="s">
        <v>375</v>
      </c>
      <c r="D289" s="44">
        <v>23413.961361138212</v>
      </c>
      <c r="E289" s="28">
        <v>19326.99677070016</v>
      </c>
      <c r="F289" s="27">
        <f t="shared" si="9"/>
        <v>4086.9645904380523</v>
      </c>
      <c r="G289" s="27">
        <f t="shared" si="8"/>
        <v>17.455246155917354</v>
      </c>
      <c r="H289" s="29">
        <v>53</v>
      </c>
      <c r="I289" s="29">
        <v>5</v>
      </c>
      <c r="J289" s="15" t="s">
        <v>65</v>
      </c>
      <c r="K289" s="13"/>
      <c r="L289" s="13"/>
      <c r="M289" s="15">
        <v>63</v>
      </c>
    </row>
    <row r="290" spans="1:13" ht="30" customHeight="1">
      <c r="A290" s="16" t="s">
        <v>13</v>
      </c>
      <c r="B290" s="30" t="s">
        <v>390</v>
      </c>
      <c r="C290" s="30" t="s">
        <v>376</v>
      </c>
      <c r="D290" s="44">
        <v>24253.483431138207</v>
      </c>
      <c r="E290" s="28">
        <v>20061.486770700158</v>
      </c>
      <c r="F290" s="27">
        <f t="shared" si="9"/>
        <v>4191.9966604380497</v>
      </c>
      <c r="G290" s="27">
        <f t="shared" si="8"/>
        <v>17.284101363584295</v>
      </c>
      <c r="H290" s="29">
        <v>66</v>
      </c>
      <c r="I290" s="29">
        <v>0</v>
      </c>
      <c r="J290" s="15" t="s">
        <v>60</v>
      </c>
      <c r="K290" s="13"/>
      <c r="L290" s="13"/>
      <c r="M290" s="15">
        <v>160</v>
      </c>
    </row>
    <row r="291" spans="1:13" ht="30" customHeight="1">
      <c r="A291" s="16" t="s">
        <v>13</v>
      </c>
      <c r="B291" s="30" t="s">
        <v>389</v>
      </c>
      <c r="C291" s="30" t="s">
        <v>377</v>
      </c>
      <c r="D291" s="44">
        <v>27288.437991138206</v>
      </c>
      <c r="E291" s="28">
        <v>22716.740104033492</v>
      </c>
      <c r="F291" s="27">
        <f t="shared" si="9"/>
        <v>4571.697887104714</v>
      </c>
      <c r="G291" s="27">
        <f t="shared" si="8"/>
        <v>16.753241385928181</v>
      </c>
      <c r="H291" s="29">
        <v>101</v>
      </c>
      <c r="I291" s="29">
        <v>0</v>
      </c>
      <c r="J291" s="15" t="s">
        <v>60</v>
      </c>
      <c r="K291" s="13">
        <v>40.881914999999999</v>
      </c>
      <c r="L291" s="13">
        <v>71.997399999999999</v>
      </c>
      <c r="M291" s="15">
        <v>100</v>
      </c>
    </row>
    <row r="292" spans="1:13" ht="30" customHeight="1">
      <c r="A292" s="5" t="s">
        <v>45</v>
      </c>
      <c r="B292" s="30" t="s">
        <v>392</v>
      </c>
      <c r="C292" s="30" t="s">
        <v>378</v>
      </c>
      <c r="D292" s="44">
        <v>22581.834501138208</v>
      </c>
      <c r="E292" s="28">
        <v>18598.976770700159</v>
      </c>
      <c r="F292" s="27">
        <f t="shared" si="9"/>
        <v>3982.8577304380487</v>
      </c>
      <c r="G292" s="27">
        <f t="shared" si="8"/>
        <v>17.637440971579604</v>
      </c>
      <c r="H292" s="29">
        <v>36</v>
      </c>
      <c r="I292" s="29">
        <v>0</v>
      </c>
      <c r="J292" s="15" t="s">
        <v>55</v>
      </c>
      <c r="K292" s="13"/>
      <c r="L292" s="13"/>
      <c r="M292" s="15">
        <v>160</v>
      </c>
    </row>
    <row r="293" spans="1:13" ht="30" customHeight="1">
      <c r="A293" s="16" t="s">
        <v>30</v>
      </c>
      <c r="B293" s="30" t="s">
        <v>391</v>
      </c>
      <c r="C293" s="30" t="s">
        <v>379</v>
      </c>
      <c r="D293" s="44">
        <v>24412.920501138207</v>
      </c>
      <c r="E293" s="28">
        <v>20200.976770700159</v>
      </c>
      <c r="F293" s="27">
        <f t="shared" si="9"/>
        <v>4211.9437304380481</v>
      </c>
      <c r="G293" s="27">
        <f t="shared" si="8"/>
        <v>17.252928547576573</v>
      </c>
      <c r="H293" s="29">
        <v>33</v>
      </c>
      <c r="I293" s="29">
        <v>0</v>
      </c>
      <c r="J293" s="15" t="s">
        <v>75</v>
      </c>
      <c r="K293" s="13">
        <v>40.837551666700001</v>
      </c>
      <c r="L293" s="13">
        <v>72.172751666699995</v>
      </c>
      <c r="M293" s="15">
        <v>100</v>
      </c>
    </row>
    <row r="294" spans="1:13" ht="30" customHeight="1">
      <c r="A294" s="16" t="s">
        <v>30</v>
      </c>
      <c r="B294" s="30" t="s">
        <v>388</v>
      </c>
      <c r="C294" s="30" t="s">
        <v>380</v>
      </c>
      <c r="D294" s="44">
        <v>21967.479621138209</v>
      </c>
      <c r="E294" s="28">
        <v>18061.483437366824</v>
      </c>
      <c r="F294" s="27">
        <f t="shared" si="9"/>
        <v>3905.9961837713854</v>
      </c>
      <c r="G294" s="27">
        <f t="shared" ref="G294:G298" si="10">+F294*100/D294</f>
        <v>17.780811686802885</v>
      </c>
      <c r="H294" s="29">
        <v>31</v>
      </c>
      <c r="I294" s="29">
        <v>0</v>
      </c>
      <c r="J294" s="15" t="s">
        <v>86</v>
      </c>
      <c r="K294" s="13">
        <v>40.883151666700002</v>
      </c>
      <c r="L294" s="13">
        <v>72.085181666699995</v>
      </c>
      <c r="M294" s="15">
        <v>63</v>
      </c>
    </row>
    <row r="295" spans="1:13" ht="30" customHeight="1">
      <c r="A295" s="16" t="s">
        <v>13</v>
      </c>
      <c r="B295" s="30" t="s">
        <v>390</v>
      </c>
      <c r="C295" s="30" t="s">
        <v>381</v>
      </c>
      <c r="D295" s="44">
        <v>21762.219681138205</v>
      </c>
      <c r="E295" s="28">
        <v>17881.903437366826</v>
      </c>
      <c r="F295" s="27">
        <f t="shared" si="9"/>
        <v>3880.31624377138</v>
      </c>
      <c r="G295" s="27">
        <f t="shared" si="10"/>
        <v>17.830516834339907</v>
      </c>
      <c r="H295" s="29">
        <v>19</v>
      </c>
      <c r="I295" s="29">
        <v>0</v>
      </c>
      <c r="J295" s="15" t="s">
        <v>70</v>
      </c>
      <c r="K295" s="13">
        <v>40.883535000000002</v>
      </c>
      <c r="L295" s="13">
        <v>71.979993333300001</v>
      </c>
      <c r="M295" s="15">
        <v>100</v>
      </c>
    </row>
    <row r="296" spans="1:13" ht="30" customHeight="1">
      <c r="A296" s="16" t="s">
        <v>30</v>
      </c>
      <c r="B296" s="30" t="s">
        <v>385</v>
      </c>
      <c r="C296" s="30" t="s">
        <v>382</v>
      </c>
      <c r="D296" s="44">
        <v>27108.887931138204</v>
      </c>
      <c r="E296" s="28">
        <v>22559.653437366829</v>
      </c>
      <c r="F296" s="27">
        <f t="shared" si="9"/>
        <v>4549.2344937713751</v>
      </c>
      <c r="G296" s="27">
        <f t="shared" si="10"/>
        <v>16.781339409153585</v>
      </c>
      <c r="H296" s="29">
        <v>138</v>
      </c>
      <c r="I296" s="29">
        <v>14</v>
      </c>
      <c r="J296" s="15" t="s">
        <v>56</v>
      </c>
      <c r="K296" s="13">
        <v>40.858853333299997</v>
      </c>
      <c r="L296" s="13">
        <v>72.0770083333</v>
      </c>
      <c r="M296" s="15">
        <v>100</v>
      </c>
    </row>
    <row r="297" spans="1:13" ht="30" customHeight="1">
      <c r="A297" s="16" t="s">
        <v>45</v>
      </c>
      <c r="B297" s="30" t="s">
        <v>385</v>
      </c>
      <c r="C297" s="30" t="s">
        <v>383</v>
      </c>
      <c r="D297" s="44">
        <v>21348.350029229423</v>
      </c>
      <c r="E297" s="28">
        <v>17519.907643447907</v>
      </c>
      <c r="F297" s="27">
        <f t="shared" si="9"/>
        <v>3828.4423857815164</v>
      </c>
      <c r="G297" s="27">
        <f t="shared" si="10"/>
        <v>17.933200366959252</v>
      </c>
      <c r="H297" s="29">
        <v>4</v>
      </c>
      <c r="I297" s="29">
        <v>3</v>
      </c>
      <c r="J297" s="15" t="s">
        <v>87</v>
      </c>
      <c r="K297" s="13">
        <v>40.833135628299999</v>
      </c>
      <c r="L297" s="13">
        <v>72.203557438199994</v>
      </c>
      <c r="M297" s="15">
        <v>630</v>
      </c>
    </row>
    <row r="298" spans="1:13" ht="30" customHeight="1">
      <c r="A298" s="16" t="s">
        <v>30</v>
      </c>
      <c r="B298" s="30" t="s">
        <v>384</v>
      </c>
      <c r="C298" s="30" t="s">
        <v>114</v>
      </c>
      <c r="D298" s="44">
        <v>21273.099501138207</v>
      </c>
      <c r="E298" s="28">
        <v>17453.976770700159</v>
      </c>
      <c r="F298" s="27">
        <f t="shared" si="9"/>
        <v>3819.1227304380482</v>
      </c>
      <c r="G298" s="27">
        <f t="shared" si="10"/>
        <v>17.952826903450095</v>
      </c>
      <c r="H298" s="29">
        <v>20</v>
      </c>
      <c r="I298" s="29">
        <v>0</v>
      </c>
      <c r="J298" s="15" t="s">
        <v>88</v>
      </c>
      <c r="K298" s="13">
        <v>40.8940533333</v>
      </c>
      <c r="L298" s="13">
        <v>71.926556666699994</v>
      </c>
      <c r="M298" s="15">
        <v>40</v>
      </c>
    </row>
    <row r="299" spans="1:13" ht="27" customHeight="1">
      <c r="A299" s="16" t="s">
        <v>13</v>
      </c>
      <c r="B299" s="30" t="s">
        <v>388</v>
      </c>
      <c r="C299" s="30" t="s">
        <v>402</v>
      </c>
      <c r="D299" s="44">
        <v>2336.7719999999999</v>
      </c>
      <c r="E299" s="27">
        <v>2336.7719999999999</v>
      </c>
      <c r="F299" s="27">
        <f t="shared" ref="F299:F362" si="11">+D299-E299</f>
        <v>0</v>
      </c>
      <c r="G299" s="27">
        <f t="shared" ref="G299:G362" si="12">+F299*100/D299</f>
        <v>0</v>
      </c>
      <c r="H299" s="29">
        <v>1</v>
      </c>
      <c r="I299" s="41"/>
      <c r="J299" s="41"/>
      <c r="K299" s="42"/>
      <c r="L299" s="42"/>
      <c r="M299" s="43"/>
    </row>
    <row r="300" spans="1:13" ht="27" customHeight="1">
      <c r="A300" s="16" t="s">
        <v>13</v>
      </c>
      <c r="B300" s="30" t="s">
        <v>387</v>
      </c>
      <c r="C300" s="30" t="s">
        <v>404</v>
      </c>
      <c r="D300" s="44">
        <v>2352.1455000000001</v>
      </c>
      <c r="E300" s="27">
        <v>2352.1455000000001</v>
      </c>
      <c r="F300" s="27">
        <f t="shared" si="11"/>
        <v>0</v>
      </c>
      <c r="G300" s="27">
        <f t="shared" si="12"/>
        <v>0</v>
      </c>
      <c r="H300" s="29">
        <v>1</v>
      </c>
      <c r="I300" s="41"/>
      <c r="J300" s="41"/>
      <c r="K300" s="42"/>
      <c r="L300" s="42"/>
      <c r="M300" s="43"/>
    </row>
    <row r="301" spans="1:13" ht="27" customHeight="1">
      <c r="A301" s="16" t="s">
        <v>13</v>
      </c>
      <c r="B301" s="30" t="s">
        <v>388</v>
      </c>
      <c r="C301" s="30" t="s">
        <v>405</v>
      </c>
      <c r="D301" s="44">
        <v>235.727</v>
      </c>
      <c r="E301" s="27">
        <v>235.727</v>
      </c>
      <c r="F301" s="27">
        <f t="shared" si="11"/>
        <v>0</v>
      </c>
      <c r="G301" s="27">
        <f t="shared" si="12"/>
        <v>0</v>
      </c>
      <c r="H301" s="29">
        <v>1</v>
      </c>
      <c r="I301" s="41"/>
      <c r="J301" s="41"/>
      <c r="K301" s="42"/>
      <c r="L301" s="42"/>
      <c r="M301" s="43"/>
    </row>
    <row r="302" spans="1:13" ht="27" customHeight="1">
      <c r="A302" s="16" t="s">
        <v>13</v>
      </c>
      <c r="B302" s="30" t="s">
        <v>388</v>
      </c>
      <c r="C302" s="30" t="s">
        <v>407</v>
      </c>
      <c r="D302" s="44">
        <v>2393.1415000000002</v>
      </c>
      <c r="E302" s="27">
        <v>2393.1415000000002</v>
      </c>
      <c r="F302" s="27">
        <f t="shared" si="11"/>
        <v>0</v>
      </c>
      <c r="G302" s="27">
        <f t="shared" si="12"/>
        <v>0</v>
      </c>
      <c r="H302" s="29">
        <v>1</v>
      </c>
      <c r="I302" s="41"/>
      <c r="J302" s="41"/>
      <c r="K302" s="42"/>
      <c r="L302" s="42"/>
      <c r="M302" s="43"/>
    </row>
    <row r="303" spans="1:13" ht="27" customHeight="1">
      <c r="A303" s="16" t="s">
        <v>13</v>
      </c>
      <c r="B303" s="30" t="s">
        <v>388</v>
      </c>
      <c r="C303" s="30" t="s">
        <v>408</v>
      </c>
      <c r="D303" s="44">
        <v>2403.3905</v>
      </c>
      <c r="E303" s="27">
        <v>2403.3905</v>
      </c>
      <c r="F303" s="27">
        <f t="shared" si="11"/>
        <v>0</v>
      </c>
      <c r="G303" s="27">
        <f t="shared" si="12"/>
        <v>0</v>
      </c>
      <c r="H303" s="29">
        <v>1</v>
      </c>
      <c r="I303" s="41"/>
      <c r="J303" s="41"/>
      <c r="K303" s="42"/>
      <c r="L303" s="42"/>
      <c r="M303" s="43"/>
    </row>
    <row r="304" spans="1:13" ht="27" customHeight="1">
      <c r="A304" s="16" t="s">
        <v>13</v>
      </c>
      <c r="B304" s="30" t="s">
        <v>388</v>
      </c>
      <c r="C304" s="30" t="s">
        <v>410</v>
      </c>
      <c r="D304" s="44">
        <v>2536.4</v>
      </c>
      <c r="E304" s="27">
        <v>2536.4</v>
      </c>
      <c r="F304" s="27">
        <f t="shared" si="11"/>
        <v>0</v>
      </c>
      <c r="G304" s="27">
        <f t="shared" si="12"/>
        <v>0</v>
      </c>
      <c r="H304" s="29">
        <v>1</v>
      </c>
      <c r="I304" s="41"/>
      <c r="J304" s="41"/>
      <c r="K304" s="42"/>
      <c r="L304" s="42"/>
      <c r="M304" s="43"/>
    </row>
    <row r="305" spans="1:13" ht="27" customHeight="1">
      <c r="A305" s="16" t="s">
        <v>13</v>
      </c>
      <c r="B305" s="30" t="s">
        <v>387</v>
      </c>
      <c r="C305" s="30" t="s">
        <v>411</v>
      </c>
      <c r="D305" s="44">
        <v>3185.3</v>
      </c>
      <c r="E305" s="27">
        <v>3185.3</v>
      </c>
      <c r="F305" s="27">
        <f t="shared" si="11"/>
        <v>0</v>
      </c>
      <c r="G305" s="27">
        <f t="shared" si="12"/>
        <v>0</v>
      </c>
      <c r="H305" s="29">
        <v>1</v>
      </c>
      <c r="I305" s="41"/>
      <c r="J305" s="41"/>
      <c r="K305" s="42"/>
      <c r="L305" s="42"/>
      <c r="M305" s="43"/>
    </row>
    <row r="306" spans="1:13" ht="27" customHeight="1">
      <c r="A306" s="16" t="s">
        <v>13</v>
      </c>
      <c r="B306" s="30" t="s">
        <v>387</v>
      </c>
      <c r="C306" s="30" t="s">
        <v>412</v>
      </c>
      <c r="D306" s="44">
        <v>4299.8</v>
      </c>
      <c r="E306" s="27">
        <v>4299.8</v>
      </c>
      <c r="F306" s="27">
        <f t="shared" si="11"/>
        <v>0</v>
      </c>
      <c r="G306" s="27">
        <f t="shared" si="12"/>
        <v>0</v>
      </c>
      <c r="H306" s="29">
        <v>1</v>
      </c>
      <c r="I306" s="41"/>
      <c r="J306" s="41"/>
      <c r="K306" s="42"/>
      <c r="L306" s="42"/>
      <c r="M306" s="43"/>
    </row>
    <row r="307" spans="1:13" ht="27" customHeight="1">
      <c r="A307" s="16" t="s">
        <v>13</v>
      </c>
      <c r="B307" s="30" t="s">
        <v>388</v>
      </c>
      <c r="C307" s="30" t="s">
        <v>413</v>
      </c>
      <c r="D307" s="44">
        <v>5042.3</v>
      </c>
      <c r="E307" s="27">
        <v>5042.3</v>
      </c>
      <c r="F307" s="27">
        <f t="shared" si="11"/>
        <v>0</v>
      </c>
      <c r="G307" s="27">
        <f t="shared" si="12"/>
        <v>0</v>
      </c>
      <c r="H307" s="29">
        <v>1</v>
      </c>
      <c r="I307" s="41"/>
      <c r="J307" s="41"/>
      <c r="K307" s="42"/>
      <c r="L307" s="42"/>
      <c r="M307" s="43"/>
    </row>
    <row r="308" spans="1:13" ht="27" customHeight="1">
      <c r="A308" s="16" t="s">
        <v>13</v>
      </c>
      <c r="B308" s="30" t="s">
        <v>388</v>
      </c>
      <c r="C308" s="30" t="s">
        <v>414</v>
      </c>
      <c r="D308" s="44">
        <v>2357.27</v>
      </c>
      <c r="E308" s="27">
        <v>2357.27</v>
      </c>
      <c r="F308" s="27">
        <f t="shared" si="11"/>
        <v>0</v>
      </c>
      <c r="G308" s="27">
        <f t="shared" si="12"/>
        <v>0</v>
      </c>
      <c r="H308" s="29">
        <v>1</v>
      </c>
      <c r="I308" s="41"/>
      <c r="J308" s="41"/>
      <c r="K308" s="42"/>
      <c r="L308" s="42"/>
      <c r="M308" s="43"/>
    </row>
    <row r="309" spans="1:13" ht="27" customHeight="1">
      <c r="A309" s="16" t="s">
        <v>13</v>
      </c>
      <c r="B309" s="30" t="s">
        <v>388</v>
      </c>
      <c r="C309" s="30" t="s">
        <v>415</v>
      </c>
      <c r="D309" s="44">
        <v>1296.4985000000001</v>
      </c>
      <c r="E309" s="27">
        <v>1296.4985000000001</v>
      </c>
      <c r="F309" s="27">
        <f t="shared" si="11"/>
        <v>0</v>
      </c>
      <c r="G309" s="27">
        <f t="shared" si="12"/>
        <v>0</v>
      </c>
      <c r="H309" s="29">
        <v>1</v>
      </c>
      <c r="I309" s="41"/>
      <c r="J309" s="41"/>
      <c r="K309" s="42"/>
      <c r="L309" s="42"/>
      <c r="M309" s="43"/>
    </row>
    <row r="310" spans="1:13" ht="27" customHeight="1">
      <c r="A310" s="16" t="s">
        <v>13</v>
      </c>
      <c r="B310" s="30" t="s">
        <v>388</v>
      </c>
      <c r="C310" s="30" t="s">
        <v>416</v>
      </c>
      <c r="D310" s="44">
        <v>1270.876</v>
      </c>
      <c r="E310" s="27">
        <v>1270.876</v>
      </c>
      <c r="F310" s="27">
        <f t="shared" si="11"/>
        <v>0</v>
      </c>
      <c r="G310" s="27">
        <f t="shared" si="12"/>
        <v>0</v>
      </c>
      <c r="H310" s="29">
        <v>1</v>
      </c>
      <c r="I310" s="41"/>
      <c r="J310" s="41"/>
      <c r="K310" s="42"/>
      <c r="L310" s="42"/>
      <c r="M310" s="43"/>
    </row>
    <row r="311" spans="1:13" ht="27" customHeight="1">
      <c r="A311" s="16" t="s">
        <v>13</v>
      </c>
      <c r="B311" s="30" t="s">
        <v>388</v>
      </c>
      <c r="C311" s="30" t="s">
        <v>417</v>
      </c>
      <c r="D311" s="44">
        <v>2367.5190000000002</v>
      </c>
      <c r="E311" s="27">
        <v>2367.5190000000002</v>
      </c>
      <c r="F311" s="27">
        <f t="shared" si="11"/>
        <v>0</v>
      </c>
      <c r="G311" s="27">
        <f t="shared" si="12"/>
        <v>0</v>
      </c>
      <c r="H311" s="29">
        <v>1</v>
      </c>
      <c r="I311" s="41"/>
      <c r="J311" s="41"/>
      <c r="K311" s="42"/>
      <c r="L311" s="42"/>
      <c r="M311" s="43"/>
    </row>
    <row r="312" spans="1:13" ht="27" customHeight="1">
      <c r="A312" s="16" t="s">
        <v>13</v>
      </c>
      <c r="B312" s="30" t="s">
        <v>388</v>
      </c>
      <c r="C312" s="30" t="s">
        <v>431</v>
      </c>
      <c r="D312" s="44">
        <v>2388.0170000000003</v>
      </c>
      <c r="E312" s="27">
        <v>2388.0170000000003</v>
      </c>
      <c r="F312" s="27">
        <f t="shared" si="11"/>
        <v>0</v>
      </c>
      <c r="G312" s="27">
        <f t="shared" si="12"/>
        <v>0</v>
      </c>
      <c r="H312" s="29">
        <v>1</v>
      </c>
      <c r="I312" s="41"/>
      <c r="J312" s="41"/>
      <c r="K312" s="42"/>
      <c r="L312" s="42"/>
      <c r="M312" s="43"/>
    </row>
    <row r="313" spans="1:13" ht="27" customHeight="1">
      <c r="A313" s="16" t="s">
        <v>13</v>
      </c>
      <c r="B313" s="30" t="s">
        <v>388</v>
      </c>
      <c r="C313" s="30" t="s">
        <v>418</v>
      </c>
      <c r="D313" s="44">
        <v>476.57850000000002</v>
      </c>
      <c r="E313" s="27">
        <v>476.57850000000002</v>
      </c>
      <c r="F313" s="27">
        <f t="shared" si="11"/>
        <v>0</v>
      </c>
      <c r="G313" s="27">
        <f t="shared" si="12"/>
        <v>0</v>
      </c>
      <c r="H313" s="29">
        <v>1</v>
      </c>
      <c r="I313" s="41"/>
      <c r="J313" s="41"/>
      <c r="K313" s="42"/>
      <c r="L313" s="42"/>
      <c r="M313" s="43"/>
    </row>
    <row r="314" spans="1:13" ht="27" customHeight="1">
      <c r="A314" s="16" t="s">
        <v>13</v>
      </c>
      <c r="B314" s="30" t="s">
        <v>387</v>
      </c>
      <c r="C314" s="30" t="s">
        <v>419</v>
      </c>
      <c r="D314" s="44">
        <v>2372.6435000000001</v>
      </c>
      <c r="E314" s="27">
        <v>2372.6435000000001</v>
      </c>
      <c r="F314" s="27">
        <f t="shared" si="11"/>
        <v>0</v>
      </c>
      <c r="G314" s="27">
        <f t="shared" si="12"/>
        <v>0</v>
      </c>
      <c r="H314" s="29">
        <v>1</v>
      </c>
      <c r="I314" s="41"/>
      <c r="J314" s="41"/>
      <c r="K314" s="42"/>
      <c r="L314" s="42"/>
      <c r="M314" s="43"/>
    </row>
    <row r="315" spans="1:13" ht="27" customHeight="1">
      <c r="A315" s="16" t="s">
        <v>13</v>
      </c>
      <c r="B315" s="30" t="s">
        <v>387</v>
      </c>
      <c r="C315" s="30" t="s">
        <v>420</v>
      </c>
      <c r="D315" s="44">
        <v>2439.2620000000002</v>
      </c>
      <c r="E315" s="27">
        <v>2439.2620000000002</v>
      </c>
      <c r="F315" s="27">
        <f t="shared" si="11"/>
        <v>0</v>
      </c>
      <c r="G315" s="27">
        <f t="shared" si="12"/>
        <v>0</v>
      </c>
      <c r="H315" s="29">
        <v>1</v>
      </c>
      <c r="I315" s="41"/>
      <c r="J315" s="41"/>
      <c r="K315" s="42"/>
      <c r="L315" s="42"/>
      <c r="M315" s="43"/>
    </row>
    <row r="316" spans="1:13" ht="27" customHeight="1">
      <c r="A316" s="16" t="s">
        <v>13</v>
      </c>
      <c r="B316" s="30" t="s">
        <v>387</v>
      </c>
      <c r="C316" s="30" t="s">
        <v>421</v>
      </c>
      <c r="D316" s="44">
        <v>2449.511</v>
      </c>
      <c r="E316" s="27">
        <v>2449.511</v>
      </c>
      <c r="F316" s="27">
        <f t="shared" si="11"/>
        <v>0</v>
      </c>
      <c r="G316" s="27">
        <f t="shared" si="12"/>
        <v>0</v>
      </c>
      <c r="H316" s="29">
        <v>1</v>
      </c>
      <c r="I316" s="41"/>
      <c r="J316" s="41"/>
      <c r="K316" s="42"/>
      <c r="L316" s="42"/>
      <c r="M316" s="43"/>
    </row>
    <row r="317" spans="1:13" ht="27" customHeight="1">
      <c r="A317" s="16" t="s">
        <v>13</v>
      </c>
      <c r="B317" s="30" t="s">
        <v>387</v>
      </c>
      <c r="C317" s="30" t="s">
        <v>422</v>
      </c>
      <c r="D317" s="44">
        <v>2516.1295</v>
      </c>
      <c r="E317" s="27">
        <v>2516.1295</v>
      </c>
      <c r="F317" s="27">
        <f t="shared" si="11"/>
        <v>0</v>
      </c>
      <c r="G317" s="27">
        <f t="shared" si="12"/>
        <v>0</v>
      </c>
      <c r="H317" s="29">
        <v>1</v>
      </c>
      <c r="I317" s="41"/>
      <c r="J317" s="41"/>
      <c r="K317" s="42"/>
      <c r="L317" s="42"/>
      <c r="M317" s="43"/>
    </row>
    <row r="318" spans="1:13" ht="27" customHeight="1">
      <c r="A318" s="16" t="s">
        <v>13</v>
      </c>
      <c r="B318" s="30" t="s">
        <v>387</v>
      </c>
      <c r="C318" s="30" t="s">
        <v>423</v>
      </c>
      <c r="D318" s="44">
        <v>3341.2</v>
      </c>
      <c r="E318" s="27">
        <v>3341.2</v>
      </c>
      <c r="F318" s="27">
        <f t="shared" si="11"/>
        <v>0</v>
      </c>
      <c r="G318" s="27">
        <f t="shared" si="12"/>
        <v>0</v>
      </c>
      <c r="H318" s="29">
        <v>1</v>
      </c>
      <c r="I318" s="41"/>
      <c r="J318" s="41"/>
      <c r="K318" s="42"/>
      <c r="L318" s="42"/>
      <c r="M318" s="43"/>
    </row>
    <row r="319" spans="1:13" ht="27" customHeight="1">
      <c r="A319" s="16" t="s">
        <v>13</v>
      </c>
      <c r="B319" s="30" t="s">
        <v>386</v>
      </c>
      <c r="C319" s="30" t="s">
        <v>424</v>
      </c>
      <c r="D319" s="44">
        <v>2214.6</v>
      </c>
      <c r="E319" s="27">
        <v>2214.6</v>
      </c>
      <c r="F319" s="27">
        <f t="shared" si="11"/>
        <v>0</v>
      </c>
      <c r="G319" s="27">
        <f t="shared" si="12"/>
        <v>0</v>
      </c>
      <c r="H319" s="29">
        <v>1</v>
      </c>
      <c r="I319" s="41"/>
      <c r="J319" s="41"/>
      <c r="K319" s="42"/>
      <c r="L319" s="42"/>
      <c r="M319" s="43"/>
    </row>
    <row r="320" spans="1:13" ht="27" customHeight="1">
      <c r="A320" s="16" t="s">
        <v>13</v>
      </c>
      <c r="B320" s="30"/>
      <c r="C320" s="30" t="s">
        <v>394</v>
      </c>
      <c r="D320" s="44">
        <v>4301.2</v>
      </c>
      <c r="E320" s="27">
        <v>4301.2</v>
      </c>
      <c r="F320" s="27">
        <f t="shared" si="11"/>
        <v>0</v>
      </c>
      <c r="G320" s="27">
        <f t="shared" si="12"/>
        <v>0</v>
      </c>
      <c r="H320" s="29">
        <v>1</v>
      </c>
      <c r="I320" s="41"/>
      <c r="J320" s="41"/>
      <c r="K320" s="42"/>
      <c r="L320" s="42"/>
      <c r="M320" s="43"/>
    </row>
    <row r="321" spans="1:13" ht="27" customHeight="1">
      <c r="A321" s="16" t="s">
        <v>13</v>
      </c>
      <c r="B321" s="30" t="s">
        <v>386</v>
      </c>
      <c r="C321" s="30" t="s">
        <v>395</v>
      </c>
      <c r="D321" s="44">
        <v>1573.2215000000001</v>
      </c>
      <c r="E321" s="27">
        <v>1573.2215000000001</v>
      </c>
      <c r="F321" s="27">
        <f t="shared" si="11"/>
        <v>0</v>
      </c>
      <c r="G321" s="27">
        <f t="shared" si="12"/>
        <v>0</v>
      </c>
      <c r="H321" s="29">
        <v>1</v>
      </c>
      <c r="I321" s="41"/>
      <c r="J321" s="41"/>
      <c r="K321" s="42"/>
      <c r="L321" s="42"/>
      <c r="M321" s="43"/>
    </row>
    <row r="322" spans="1:13" ht="27" customHeight="1">
      <c r="A322" s="16" t="s">
        <v>13</v>
      </c>
      <c r="B322" s="30" t="s">
        <v>384</v>
      </c>
      <c r="C322" s="30" t="s">
        <v>396</v>
      </c>
      <c r="D322" s="44">
        <v>1757.7035000000001</v>
      </c>
      <c r="E322" s="27">
        <v>1757.7035000000001</v>
      </c>
      <c r="F322" s="27">
        <f t="shared" si="11"/>
        <v>0</v>
      </c>
      <c r="G322" s="27">
        <f t="shared" si="12"/>
        <v>0</v>
      </c>
      <c r="H322" s="29">
        <v>1</v>
      </c>
      <c r="I322" s="41"/>
      <c r="J322" s="41"/>
      <c r="K322" s="42"/>
      <c r="L322" s="42"/>
      <c r="M322" s="43"/>
    </row>
    <row r="323" spans="1:13" ht="27" customHeight="1">
      <c r="A323" s="16" t="s">
        <v>13</v>
      </c>
      <c r="B323" s="30" t="s">
        <v>386</v>
      </c>
      <c r="C323" s="30" t="s">
        <v>397</v>
      </c>
      <c r="D323" s="44">
        <v>2331.6475</v>
      </c>
      <c r="E323" s="27">
        <v>2331.6475</v>
      </c>
      <c r="F323" s="27">
        <f t="shared" si="11"/>
        <v>0</v>
      </c>
      <c r="G323" s="27">
        <f t="shared" si="12"/>
        <v>0</v>
      </c>
      <c r="H323" s="29">
        <v>1</v>
      </c>
      <c r="I323" s="41"/>
      <c r="J323" s="41"/>
      <c r="K323" s="42"/>
      <c r="L323" s="42"/>
      <c r="M323" s="43"/>
    </row>
    <row r="324" spans="1:13" ht="27" customHeight="1">
      <c r="A324" s="16" t="s">
        <v>13</v>
      </c>
      <c r="B324" s="30" t="s">
        <v>387</v>
      </c>
      <c r="C324" s="30" t="s">
        <v>398</v>
      </c>
      <c r="D324" s="44">
        <v>4236.3</v>
      </c>
      <c r="E324" s="27">
        <v>4236.3</v>
      </c>
      <c r="F324" s="27">
        <f t="shared" si="11"/>
        <v>0</v>
      </c>
      <c r="G324" s="27">
        <f t="shared" si="12"/>
        <v>0</v>
      </c>
      <c r="H324" s="29">
        <v>1</v>
      </c>
      <c r="I324" s="41"/>
      <c r="J324" s="41"/>
      <c r="K324" s="42"/>
      <c r="L324" s="42"/>
      <c r="M324" s="43"/>
    </row>
    <row r="325" spans="1:13" ht="27" customHeight="1">
      <c r="A325" s="16" t="s">
        <v>13</v>
      </c>
      <c r="B325" s="30" t="s">
        <v>387</v>
      </c>
      <c r="C325" s="30" t="s">
        <v>399</v>
      </c>
      <c r="D325" s="44">
        <v>2398.2660000000001</v>
      </c>
      <c r="E325" s="27">
        <v>2398.2660000000001</v>
      </c>
      <c r="F325" s="27">
        <f t="shared" si="11"/>
        <v>0</v>
      </c>
      <c r="G325" s="27">
        <f t="shared" si="12"/>
        <v>0</v>
      </c>
      <c r="H325" s="29">
        <v>1</v>
      </c>
      <c r="I325" s="41"/>
      <c r="J325" s="41"/>
      <c r="K325" s="42"/>
      <c r="L325" s="42"/>
      <c r="M325" s="43"/>
    </row>
    <row r="326" spans="1:13" ht="27" customHeight="1">
      <c r="A326" s="16" t="s">
        <v>13</v>
      </c>
      <c r="B326" s="30" t="s">
        <v>387</v>
      </c>
      <c r="C326" s="30" t="s">
        <v>400</v>
      </c>
      <c r="D326" s="44">
        <v>1178.635</v>
      </c>
      <c r="E326" s="27">
        <v>1178.635</v>
      </c>
      <c r="F326" s="27">
        <f t="shared" si="11"/>
        <v>0</v>
      </c>
      <c r="G326" s="27">
        <f t="shared" si="12"/>
        <v>0</v>
      </c>
      <c r="H326" s="29">
        <v>1</v>
      </c>
      <c r="I326" s="41"/>
      <c r="J326" s="41"/>
      <c r="K326" s="42"/>
      <c r="L326" s="42"/>
      <c r="M326" s="43"/>
    </row>
    <row r="327" spans="1:13" ht="27" customHeight="1">
      <c r="A327" s="16" t="s">
        <v>13</v>
      </c>
      <c r="B327" s="30" t="s">
        <v>387</v>
      </c>
      <c r="C327" s="30" t="s">
        <v>401</v>
      </c>
      <c r="D327" s="44">
        <v>3425.2</v>
      </c>
      <c r="E327" s="27">
        <v>3425.2</v>
      </c>
      <c r="F327" s="27">
        <f t="shared" si="11"/>
        <v>0</v>
      </c>
      <c r="G327" s="27">
        <f t="shared" si="12"/>
        <v>0</v>
      </c>
      <c r="H327" s="29">
        <v>1</v>
      </c>
      <c r="I327" s="41"/>
      <c r="J327" s="41"/>
      <c r="K327" s="42"/>
      <c r="L327" s="42"/>
      <c r="M327" s="43"/>
    </row>
    <row r="328" spans="1:13" ht="27" customHeight="1">
      <c r="A328" s="16" t="s">
        <v>13</v>
      </c>
      <c r="B328" s="30" t="s">
        <v>387</v>
      </c>
      <c r="C328" s="30" t="s">
        <v>403</v>
      </c>
      <c r="D328" s="44">
        <v>1537.3500000000001</v>
      </c>
      <c r="E328" s="27">
        <v>1537.3500000000001</v>
      </c>
      <c r="F328" s="27">
        <f t="shared" si="11"/>
        <v>0</v>
      </c>
      <c r="G328" s="27">
        <f t="shared" si="12"/>
        <v>0</v>
      </c>
      <c r="H328" s="29">
        <v>1</v>
      </c>
      <c r="I328" s="41"/>
      <c r="J328" s="41"/>
      <c r="K328" s="42"/>
      <c r="L328" s="42"/>
      <c r="M328" s="43"/>
    </row>
    <row r="329" spans="1:13" ht="27" customHeight="1">
      <c r="A329" s="16" t="s">
        <v>13</v>
      </c>
      <c r="B329" s="30" t="s">
        <v>386</v>
      </c>
      <c r="C329" s="30" t="s">
        <v>425</v>
      </c>
      <c r="D329" s="44">
        <v>1863.3</v>
      </c>
      <c r="E329" s="27">
        <v>1863.3</v>
      </c>
      <c r="F329" s="27">
        <f t="shared" si="11"/>
        <v>0</v>
      </c>
      <c r="G329" s="27">
        <f t="shared" si="12"/>
        <v>0</v>
      </c>
      <c r="H329" s="29">
        <v>1</v>
      </c>
      <c r="I329" s="41"/>
      <c r="J329" s="41"/>
      <c r="K329" s="42"/>
      <c r="L329" s="42"/>
      <c r="M329" s="43"/>
    </row>
    <row r="330" spans="1:13" ht="27" customHeight="1">
      <c r="A330" s="16" t="s">
        <v>13</v>
      </c>
      <c r="B330" s="30" t="s">
        <v>386</v>
      </c>
      <c r="C330" s="30" t="s">
        <v>427</v>
      </c>
      <c r="D330" s="44">
        <v>2341.8965000000003</v>
      </c>
      <c r="E330" s="27">
        <v>2341.8965000000003</v>
      </c>
      <c r="F330" s="27">
        <f t="shared" si="11"/>
        <v>0</v>
      </c>
      <c r="G330" s="27">
        <f t="shared" si="12"/>
        <v>0</v>
      </c>
      <c r="H330" s="29">
        <v>1</v>
      </c>
      <c r="I330" s="41"/>
      <c r="J330" s="41"/>
      <c r="K330" s="42"/>
      <c r="L330" s="42"/>
      <c r="M330" s="43"/>
    </row>
    <row r="331" spans="1:13" ht="27" customHeight="1">
      <c r="A331" s="16" t="s">
        <v>13</v>
      </c>
      <c r="B331" s="30" t="s">
        <v>386</v>
      </c>
      <c r="C331" s="30" t="s">
        <v>428</v>
      </c>
      <c r="D331" s="44">
        <v>1204.2575000000002</v>
      </c>
      <c r="E331" s="27">
        <v>1204.2575000000002</v>
      </c>
      <c r="F331" s="27">
        <f t="shared" si="11"/>
        <v>0</v>
      </c>
      <c r="G331" s="27">
        <f t="shared" si="12"/>
        <v>0</v>
      </c>
      <c r="H331" s="29">
        <v>1</v>
      </c>
      <c r="I331" s="41"/>
      <c r="J331" s="41"/>
      <c r="K331" s="42"/>
      <c r="L331" s="42"/>
      <c r="M331" s="43"/>
    </row>
    <row r="332" spans="1:13" ht="27" customHeight="1">
      <c r="A332" s="16" t="s">
        <v>13</v>
      </c>
      <c r="B332" s="30" t="s">
        <v>384</v>
      </c>
      <c r="C332" s="30" t="s">
        <v>406</v>
      </c>
      <c r="D332" s="44">
        <v>2382.8924999999999</v>
      </c>
      <c r="E332" s="27">
        <v>2382.8924999999999</v>
      </c>
      <c r="F332" s="27">
        <f t="shared" si="11"/>
        <v>0</v>
      </c>
      <c r="G332" s="27">
        <f t="shared" si="12"/>
        <v>0</v>
      </c>
      <c r="H332" s="29">
        <v>1</v>
      </c>
      <c r="I332" s="41"/>
      <c r="J332" s="41"/>
      <c r="K332" s="42"/>
      <c r="L332" s="42"/>
      <c r="M332" s="43"/>
    </row>
    <row r="333" spans="1:13" ht="27" customHeight="1">
      <c r="A333" s="16" t="s">
        <v>13</v>
      </c>
      <c r="B333" s="30" t="s">
        <v>384</v>
      </c>
      <c r="C333" s="30" t="s">
        <v>409</v>
      </c>
      <c r="D333" s="44">
        <v>2429.0129999999999</v>
      </c>
      <c r="E333" s="27">
        <v>2429.0129999999999</v>
      </c>
      <c r="F333" s="27">
        <f t="shared" si="11"/>
        <v>0</v>
      </c>
      <c r="G333" s="27">
        <f t="shared" si="12"/>
        <v>0</v>
      </c>
      <c r="H333" s="29">
        <v>1</v>
      </c>
      <c r="I333" s="41"/>
      <c r="J333" s="41"/>
      <c r="K333" s="42"/>
      <c r="L333" s="42"/>
      <c r="M333" s="43"/>
    </row>
    <row r="334" spans="1:13" ht="27" customHeight="1">
      <c r="A334" s="16" t="s">
        <v>13</v>
      </c>
      <c r="B334" s="30" t="s">
        <v>384</v>
      </c>
      <c r="C334" s="30" t="s">
        <v>429</v>
      </c>
      <c r="D334" s="44">
        <v>25.622500000000002</v>
      </c>
      <c r="E334" s="27">
        <v>25.622500000000002</v>
      </c>
      <c r="F334" s="27">
        <f t="shared" si="11"/>
        <v>0</v>
      </c>
      <c r="G334" s="27">
        <f t="shared" si="12"/>
        <v>0</v>
      </c>
      <c r="H334" s="29">
        <v>1</v>
      </c>
      <c r="I334" s="41"/>
      <c r="J334" s="41"/>
      <c r="K334" s="42"/>
      <c r="L334" s="42"/>
      <c r="M334" s="43"/>
    </row>
    <row r="335" spans="1:13" ht="27" customHeight="1">
      <c r="A335" s="16" t="s">
        <v>13</v>
      </c>
      <c r="B335" s="30" t="s">
        <v>386</v>
      </c>
      <c r="C335" s="30" t="s">
        <v>430</v>
      </c>
      <c r="D335" s="44">
        <v>1342.6190000000001</v>
      </c>
      <c r="E335" s="27">
        <v>1342.6190000000001</v>
      </c>
      <c r="F335" s="27">
        <f t="shared" si="11"/>
        <v>0</v>
      </c>
      <c r="G335" s="27">
        <f t="shared" si="12"/>
        <v>0</v>
      </c>
      <c r="H335" s="29">
        <v>1</v>
      </c>
      <c r="I335" s="41"/>
      <c r="J335" s="41"/>
      <c r="K335" s="42"/>
      <c r="L335" s="42"/>
      <c r="M335" s="43"/>
    </row>
    <row r="336" spans="1:13" ht="27" customHeight="1">
      <c r="A336" s="16" t="s">
        <v>13</v>
      </c>
      <c r="B336" s="30" t="s">
        <v>386</v>
      </c>
      <c r="C336" s="30" t="s">
        <v>436</v>
      </c>
      <c r="D336" s="44">
        <v>112.739</v>
      </c>
      <c r="E336" s="27">
        <v>112.739</v>
      </c>
      <c r="F336" s="27">
        <f t="shared" si="11"/>
        <v>0</v>
      </c>
      <c r="G336" s="27">
        <f t="shared" si="12"/>
        <v>0</v>
      </c>
      <c r="H336" s="29">
        <v>1</v>
      </c>
      <c r="I336" s="41"/>
      <c r="J336" s="41"/>
      <c r="K336" s="42"/>
      <c r="L336" s="42"/>
      <c r="M336" s="43"/>
    </row>
    <row r="337" spans="1:13" ht="27" customHeight="1">
      <c r="A337" s="16" t="s">
        <v>13</v>
      </c>
      <c r="B337" s="30" t="s">
        <v>386</v>
      </c>
      <c r="C337" s="30" t="s">
        <v>432</v>
      </c>
      <c r="D337" s="44">
        <v>2418.7640000000001</v>
      </c>
      <c r="E337" s="27">
        <v>2418.7640000000001</v>
      </c>
      <c r="F337" s="27">
        <f t="shared" si="11"/>
        <v>0</v>
      </c>
      <c r="G337" s="27">
        <f t="shared" si="12"/>
        <v>0</v>
      </c>
      <c r="H337" s="29">
        <v>1</v>
      </c>
      <c r="I337" s="41"/>
      <c r="J337" s="41"/>
      <c r="K337" s="42"/>
      <c r="L337" s="42"/>
      <c r="M337" s="43"/>
    </row>
    <row r="338" spans="1:13" ht="27" customHeight="1">
      <c r="A338" s="16" t="s">
        <v>13</v>
      </c>
      <c r="B338" s="30" t="s">
        <v>384</v>
      </c>
      <c r="C338" s="30" t="s">
        <v>433</v>
      </c>
      <c r="D338" s="44">
        <v>2377.768</v>
      </c>
      <c r="E338" s="27">
        <v>2377.768</v>
      </c>
      <c r="F338" s="27">
        <f t="shared" si="11"/>
        <v>0</v>
      </c>
      <c r="G338" s="27">
        <f t="shared" si="12"/>
        <v>0</v>
      </c>
      <c r="H338" s="29">
        <v>1</v>
      </c>
      <c r="I338" s="41"/>
      <c r="J338" s="41"/>
      <c r="K338" s="42"/>
      <c r="L338" s="42"/>
      <c r="M338" s="43"/>
    </row>
    <row r="339" spans="1:13" ht="27" customHeight="1">
      <c r="A339" s="16" t="s">
        <v>13</v>
      </c>
      <c r="B339" s="30" t="s">
        <v>386</v>
      </c>
      <c r="C339" s="30" t="s">
        <v>434</v>
      </c>
      <c r="D339" s="44">
        <v>2475.1334999999999</v>
      </c>
      <c r="E339" s="27">
        <v>2475.1334999999999</v>
      </c>
      <c r="F339" s="27">
        <f t="shared" si="11"/>
        <v>0</v>
      </c>
      <c r="G339" s="27">
        <f t="shared" si="12"/>
        <v>0</v>
      </c>
      <c r="H339" s="29">
        <v>1</v>
      </c>
      <c r="I339" s="41"/>
      <c r="J339" s="41"/>
      <c r="K339" s="42"/>
      <c r="L339" s="42"/>
      <c r="M339" s="43"/>
    </row>
    <row r="340" spans="1:13" ht="27" customHeight="1">
      <c r="A340" s="16" t="s">
        <v>13</v>
      </c>
      <c r="B340" s="30" t="s">
        <v>384</v>
      </c>
      <c r="C340" s="30" t="s">
        <v>393</v>
      </c>
      <c r="D340" s="27">
        <v>1542.4745</v>
      </c>
      <c r="E340" s="27">
        <v>1542.4745</v>
      </c>
      <c r="F340" s="27">
        <f t="shared" si="11"/>
        <v>0</v>
      </c>
      <c r="G340" s="27">
        <f t="shared" si="12"/>
        <v>0</v>
      </c>
      <c r="H340" s="29">
        <v>1</v>
      </c>
      <c r="I340" s="41"/>
      <c r="J340" s="41"/>
      <c r="K340" s="42"/>
      <c r="L340" s="42"/>
      <c r="M340" s="43"/>
    </row>
    <row r="341" spans="1:13" ht="27" customHeight="1">
      <c r="A341" s="16" t="s">
        <v>13</v>
      </c>
      <c r="B341" s="30" t="s">
        <v>384</v>
      </c>
      <c r="C341" s="30" t="s">
        <v>435</v>
      </c>
      <c r="D341" s="27">
        <v>2459.7600000000002</v>
      </c>
      <c r="E341" s="27">
        <v>2459.7600000000002</v>
      </c>
      <c r="F341" s="27">
        <f t="shared" si="11"/>
        <v>0</v>
      </c>
      <c r="G341" s="27">
        <f t="shared" si="12"/>
        <v>0</v>
      </c>
      <c r="H341" s="29">
        <v>1</v>
      </c>
      <c r="I341" s="41"/>
      <c r="J341" s="41"/>
      <c r="K341" s="42"/>
      <c r="L341" s="42"/>
      <c r="M341" s="43"/>
    </row>
    <row r="342" spans="1:13" ht="27" customHeight="1">
      <c r="A342" s="16" t="s">
        <v>13</v>
      </c>
      <c r="B342" s="30" t="s">
        <v>384</v>
      </c>
      <c r="C342" s="30" t="s">
        <v>426</v>
      </c>
      <c r="D342" s="27">
        <v>1521.9765</v>
      </c>
      <c r="E342" s="27">
        <v>1521.9765</v>
      </c>
      <c r="F342" s="27">
        <f t="shared" si="11"/>
        <v>0</v>
      </c>
      <c r="G342" s="27">
        <f t="shared" si="12"/>
        <v>0</v>
      </c>
      <c r="H342" s="29">
        <v>1</v>
      </c>
      <c r="I342" s="41"/>
      <c r="J342" s="41"/>
      <c r="K342" s="42"/>
      <c r="L342" s="42"/>
      <c r="M342" s="43"/>
    </row>
    <row r="343" spans="1:13" ht="27" customHeight="1">
      <c r="A343" s="5" t="s">
        <v>45</v>
      </c>
      <c r="B343" s="30" t="s">
        <v>392</v>
      </c>
      <c r="C343" s="30" t="s">
        <v>437</v>
      </c>
      <c r="D343" s="27">
        <v>1773.077</v>
      </c>
      <c r="E343" s="27">
        <v>1773.077</v>
      </c>
      <c r="F343" s="27">
        <f t="shared" si="11"/>
        <v>0</v>
      </c>
      <c r="G343" s="27">
        <f t="shared" si="12"/>
        <v>0</v>
      </c>
      <c r="H343" s="29">
        <v>1</v>
      </c>
      <c r="I343" s="41"/>
      <c r="J343" s="41"/>
      <c r="K343" s="42"/>
      <c r="L343" s="42"/>
      <c r="M343" s="43"/>
    </row>
    <row r="344" spans="1:13" ht="27" customHeight="1">
      <c r="A344" s="5" t="s">
        <v>45</v>
      </c>
      <c r="B344" s="30" t="s">
        <v>392</v>
      </c>
      <c r="C344" s="30" t="s">
        <v>438</v>
      </c>
      <c r="D344" s="27">
        <v>2521.2540000000004</v>
      </c>
      <c r="E344" s="27">
        <v>2521.2540000000004</v>
      </c>
      <c r="F344" s="27">
        <f t="shared" si="11"/>
        <v>0</v>
      </c>
      <c r="G344" s="27">
        <f t="shared" si="12"/>
        <v>0</v>
      </c>
      <c r="H344" s="29">
        <v>1</v>
      </c>
      <c r="I344" s="41"/>
      <c r="J344" s="41"/>
      <c r="K344" s="42"/>
      <c r="L344" s="42"/>
      <c r="M344" s="43"/>
    </row>
    <row r="345" spans="1:13" ht="27" customHeight="1">
      <c r="A345" s="5" t="s">
        <v>45</v>
      </c>
      <c r="B345" s="30" t="s">
        <v>392</v>
      </c>
      <c r="C345" s="30" t="s">
        <v>440</v>
      </c>
      <c r="D345" s="27">
        <v>1081.2695000000001</v>
      </c>
      <c r="E345" s="27">
        <v>1081.2695000000001</v>
      </c>
      <c r="F345" s="27">
        <f t="shared" si="11"/>
        <v>0</v>
      </c>
      <c r="G345" s="27">
        <f t="shared" si="12"/>
        <v>0</v>
      </c>
      <c r="H345" s="29">
        <v>1</v>
      </c>
      <c r="I345" s="41"/>
      <c r="J345" s="41"/>
      <c r="K345" s="42"/>
      <c r="L345" s="42"/>
      <c r="M345" s="43"/>
    </row>
    <row r="346" spans="1:13" ht="27" customHeight="1">
      <c r="A346" s="5" t="s">
        <v>45</v>
      </c>
      <c r="B346" s="30" t="s">
        <v>392</v>
      </c>
      <c r="C346" s="30" t="s">
        <v>439</v>
      </c>
      <c r="D346" s="27">
        <v>1086.394</v>
      </c>
      <c r="E346" s="27">
        <v>1086.394</v>
      </c>
      <c r="F346" s="27">
        <f t="shared" si="11"/>
        <v>0</v>
      </c>
      <c r="G346" s="27">
        <f t="shared" si="12"/>
        <v>0</v>
      </c>
      <c r="H346" s="29">
        <v>1</v>
      </c>
      <c r="I346" s="41"/>
      <c r="J346" s="41"/>
      <c r="K346" s="42"/>
      <c r="L346" s="42"/>
      <c r="M346" s="43"/>
    </row>
    <row r="347" spans="1:13" ht="27" customHeight="1">
      <c r="A347" s="16" t="s">
        <v>30</v>
      </c>
      <c r="B347" s="30" t="s">
        <v>389</v>
      </c>
      <c r="C347" s="30" t="s">
        <v>441</v>
      </c>
      <c r="D347" s="27">
        <v>2423.8885</v>
      </c>
      <c r="E347" s="27">
        <v>2423.8885</v>
      </c>
      <c r="F347" s="27">
        <f t="shared" si="11"/>
        <v>0</v>
      </c>
      <c r="G347" s="27">
        <f t="shared" si="12"/>
        <v>0</v>
      </c>
      <c r="H347" s="29">
        <v>1</v>
      </c>
      <c r="I347" s="41"/>
      <c r="J347" s="41"/>
      <c r="K347" s="42"/>
      <c r="L347" s="42"/>
      <c r="M347" s="43"/>
    </row>
    <row r="348" spans="1:13" ht="27" customHeight="1">
      <c r="A348" s="16" t="s">
        <v>30</v>
      </c>
      <c r="B348" s="30" t="s">
        <v>391</v>
      </c>
      <c r="C348" s="30" t="s">
        <v>442</v>
      </c>
      <c r="D348" s="27">
        <v>2362.3945000000003</v>
      </c>
      <c r="E348" s="27">
        <v>2362.3945000000003</v>
      </c>
      <c r="F348" s="27">
        <f t="shared" si="11"/>
        <v>0</v>
      </c>
      <c r="G348" s="27">
        <f t="shared" si="12"/>
        <v>0</v>
      </c>
      <c r="H348" s="29">
        <v>1</v>
      </c>
      <c r="I348" s="41"/>
      <c r="J348" s="41"/>
      <c r="K348" s="42"/>
      <c r="L348" s="42"/>
      <c r="M348" s="43"/>
    </row>
    <row r="349" spans="1:13" ht="27" customHeight="1">
      <c r="A349" s="16" t="s">
        <v>30</v>
      </c>
      <c r="B349" s="30" t="s">
        <v>389</v>
      </c>
      <c r="C349" s="30" t="s">
        <v>443</v>
      </c>
      <c r="D349" s="27">
        <v>2413.6395000000002</v>
      </c>
      <c r="E349" s="27">
        <v>2413.6395000000002</v>
      </c>
      <c r="F349" s="27">
        <f t="shared" si="11"/>
        <v>0</v>
      </c>
      <c r="G349" s="27">
        <f t="shared" si="12"/>
        <v>0</v>
      </c>
      <c r="H349" s="29">
        <v>1</v>
      </c>
      <c r="I349" s="41"/>
      <c r="J349" s="41"/>
      <c r="K349" s="42"/>
      <c r="L349" s="42"/>
      <c r="M349" s="43"/>
    </row>
    <row r="350" spans="1:13" ht="27" customHeight="1">
      <c r="A350" s="16" t="s">
        <v>30</v>
      </c>
      <c r="B350" s="30" t="s">
        <v>389</v>
      </c>
      <c r="C350" s="30" t="s">
        <v>444</v>
      </c>
      <c r="D350" s="27">
        <v>968.53050000000007</v>
      </c>
      <c r="E350" s="27">
        <v>968.53050000000007</v>
      </c>
      <c r="F350" s="27">
        <f t="shared" si="11"/>
        <v>0</v>
      </c>
      <c r="G350" s="27">
        <f t="shared" si="12"/>
        <v>0</v>
      </c>
      <c r="H350" s="29">
        <v>1</v>
      </c>
      <c r="I350" s="41"/>
      <c r="J350" s="41"/>
      <c r="K350" s="42"/>
      <c r="L350" s="42"/>
      <c r="M350" s="43"/>
    </row>
    <row r="351" spans="1:13" ht="27" customHeight="1">
      <c r="A351" s="16" t="s">
        <v>30</v>
      </c>
      <c r="B351" s="30" t="s">
        <v>391</v>
      </c>
      <c r="C351" s="30" t="s">
        <v>445</v>
      </c>
      <c r="D351" s="27">
        <v>2434.1375000000003</v>
      </c>
      <c r="E351" s="27">
        <v>2434.1375000000003</v>
      </c>
      <c r="F351" s="27">
        <f t="shared" si="11"/>
        <v>0</v>
      </c>
      <c r="G351" s="27">
        <f t="shared" si="12"/>
        <v>0</v>
      </c>
      <c r="H351" s="29">
        <v>1</v>
      </c>
      <c r="I351" s="41"/>
      <c r="J351" s="41"/>
      <c r="K351" s="42"/>
      <c r="L351" s="42"/>
      <c r="M351" s="43"/>
    </row>
    <row r="352" spans="1:13" ht="27" customHeight="1">
      <c r="A352" s="16" t="s">
        <v>30</v>
      </c>
      <c r="B352" s="30" t="s">
        <v>391</v>
      </c>
      <c r="C352" s="30" t="s">
        <v>446</v>
      </c>
      <c r="D352" s="27">
        <v>830.1690000000001</v>
      </c>
      <c r="E352" s="27">
        <v>830.1690000000001</v>
      </c>
      <c r="F352" s="27">
        <f t="shared" si="11"/>
        <v>0</v>
      </c>
      <c r="G352" s="27">
        <f t="shared" si="12"/>
        <v>0</v>
      </c>
      <c r="H352" s="29">
        <v>1</v>
      </c>
      <c r="I352" s="41"/>
      <c r="J352" s="41"/>
      <c r="K352" s="42"/>
      <c r="L352" s="42"/>
      <c r="M352" s="43"/>
    </row>
    <row r="353" spans="1:13" ht="27" customHeight="1">
      <c r="A353" s="16" t="s">
        <v>30</v>
      </c>
      <c r="B353" s="30" t="s">
        <v>389</v>
      </c>
      <c r="C353" s="30" t="s">
        <v>447</v>
      </c>
      <c r="D353" s="27">
        <v>2495.6315</v>
      </c>
      <c r="E353" s="27">
        <v>2495.6315</v>
      </c>
      <c r="F353" s="27">
        <f t="shared" si="11"/>
        <v>0</v>
      </c>
      <c r="G353" s="27">
        <f t="shared" si="12"/>
        <v>0</v>
      </c>
      <c r="H353" s="29">
        <v>1</v>
      </c>
      <c r="I353" s="41"/>
      <c r="J353" s="41"/>
      <c r="K353" s="42"/>
      <c r="L353" s="42"/>
      <c r="M353" s="43"/>
    </row>
    <row r="354" spans="1:13" ht="27" customHeight="1">
      <c r="A354" s="16" t="s">
        <v>30</v>
      </c>
      <c r="B354" s="30" t="s">
        <v>391</v>
      </c>
      <c r="C354" s="30" t="s">
        <v>448</v>
      </c>
      <c r="D354" s="27">
        <v>1716.7075</v>
      </c>
      <c r="E354" s="27">
        <v>1716.7075</v>
      </c>
      <c r="F354" s="27">
        <f t="shared" si="11"/>
        <v>0</v>
      </c>
      <c r="G354" s="27">
        <f t="shared" si="12"/>
        <v>0</v>
      </c>
      <c r="H354" s="29">
        <v>1</v>
      </c>
      <c r="I354" s="41"/>
      <c r="J354" s="41"/>
      <c r="K354" s="42"/>
      <c r="L354" s="42"/>
      <c r="M354" s="43"/>
    </row>
    <row r="355" spans="1:13" ht="27" customHeight="1">
      <c r="A355" s="16" t="s">
        <v>30</v>
      </c>
      <c r="B355" s="30" t="s">
        <v>391</v>
      </c>
      <c r="C355" s="30" t="s">
        <v>449</v>
      </c>
      <c r="D355" s="27">
        <v>2531.5030000000002</v>
      </c>
      <c r="E355" s="27">
        <v>2531.5030000000002</v>
      </c>
      <c r="F355" s="27">
        <f t="shared" si="11"/>
        <v>0</v>
      </c>
      <c r="G355" s="27">
        <f t="shared" si="12"/>
        <v>0</v>
      </c>
      <c r="H355" s="29">
        <v>1</v>
      </c>
      <c r="I355" s="41"/>
      <c r="J355" s="41"/>
      <c r="K355" s="42"/>
      <c r="L355" s="42"/>
      <c r="M355" s="43"/>
    </row>
    <row r="356" spans="1:13" ht="27" customHeight="1">
      <c r="A356" s="16" t="s">
        <v>30</v>
      </c>
      <c r="B356" s="30" t="s">
        <v>389</v>
      </c>
      <c r="C356" s="30" t="s">
        <v>450</v>
      </c>
      <c r="D356" s="27">
        <v>650.81150000000002</v>
      </c>
      <c r="E356" s="27">
        <v>650.81150000000002</v>
      </c>
      <c r="F356" s="27">
        <f t="shared" si="11"/>
        <v>0</v>
      </c>
      <c r="G356" s="27">
        <f t="shared" si="12"/>
        <v>0</v>
      </c>
      <c r="H356" s="29">
        <v>1</v>
      </c>
      <c r="I356" s="41"/>
      <c r="J356" s="41"/>
      <c r="K356" s="42"/>
      <c r="L356" s="42"/>
      <c r="M356" s="43"/>
    </row>
    <row r="357" spans="1:13" ht="27" customHeight="1">
      <c r="A357" s="16" t="s">
        <v>30</v>
      </c>
      <c r="B357" s="30" t="s">
        <v>390</v>
      </c>
      <c r="C357" s="30" t="s">
        <v>451</v>
      </c>
      <c r="D357" s="27">
        <v>732.80349999999999</v>
      </c>
      <c r="E357" s="27">
        <v>732.80349999999999</v>
      </c>
      <c r="F357" s="27">
        <f t="shared" si="11"/>
        <v>0</v>
      </c>
      <c r="G357" s="27">
        <f t="shared" si="12"/>
        <v>0</v>
      </c>
      <c r="H357" s="29">
        <v>1</v>
      </c>
      <c r="I357" s="41"/>
      <c r="J357" s="41"/>
      <c r="K357" s="42"/>
      <c r="L357" s="42"/>
      <c r="M357" s="43"/>
    </row>
    <row r="358" spans="1:13" ht="27" customHeight="1">
      <c r="A358" s="16" t="s">
        <v>30</v>
      </c>
      <c r="B358" s="30" t="s">
        <v>391</v>
      </c>
      <c r="C358" s="30" t="s">
        <v>452</v>
      </c>
      <c r="D358" s="27">
        <v>2485.3825000000002</v>
      </c>
      <c r="E358" s="27">
        <v>2485.3825000000002</v>
      </c>
      <c r="F358" s="27">
        <f t="shared" si="11"/>
        <v>0</v>
      </c>
      <c r="G358" s="27">
        <f t="shared" si="12"/>
        <v>0</v>
      </c>
      <c r="H358" s="29">
        <v>1</v>
      </c>
      <c r="I358" s="41"/>
      <c r="J358" s="41"/>
      <c r="K358" s="42"/>
      <c r="L358" s="42"/>
      <c r="M358" s="43"/>
    </row>
    <row r="359" spans="1:13" ht="27" customHeight="1">
      <c r="A359" s="16" t="s">
        <v>30</v>
      </c>
      <c r="B359" s="30" t="s">
        <v>390</v>
      </c>
      <c r="C359" s="30" t="s">
        <v>453</v>
      </c>
      <c r="D359" s="27">
        <v>2536.6275000000001</v>
      </c>
      <c r="E359" s="27">
        <v>2536.6275000000001</v>
      </c>
      <c r="F359" s="27">
        <f t="shared" si="11"/>
        <v>0</v>
      </c>
      <c r="G359" s="27">
        <f t="shared" si="12"/>
        <v>0</v>
      </c>
      <c r="H359" s="29">
        <v>1</v>
      </c>
      <c r="I359" s="41"/>
      <c r="J359" s="41"/>
      <c r="K359" s="42"/>
      <c r="L359" s="42"/>
      <c r="M359" s="43"/>
    </row>
    <row r="360" spans="1:13" ht="27" customHeight="1">
      <c r="A360" s="16" t="s">
        <v>30</v>
      </c>
      <c r="B360" s="30" t="s">
        <v>389</v>
      </c>
      <c r="C360" s="30" t="s">
        <v>454</v>
      </c>
      <c r="D360" s="27">
        <v>2408.5150000000003</v>
      </c>
      <c r="E360" s="27">
        <v>2408.5150000000003</v>
      </c>
      <c r="F360" s="27">
        <f t="shared" si="11"/>
        <v>0</v>
      </c>
      <c r="G360" s="27">
        <f t="shared" si="12"/>
        <v>0</v>
      </c>
      <c r="H360" s="29">
        <v>1</v>
      </c>
      <c r="I360" s="41"/>
      <c r="J360" s="41"/>
      <c r="K360" s="42"/>
      <c r="L360" s="42"/>
      <c r="M360" s="43"/>
    </row>
    <row r="361" spans="1:13" ht="27" customHeight="1">
      <c r="A361" s="16" t="s">
        <v>30</v>
      </c>
      <c r="B361" s="30" t="s">
        <v>391</v>
      </c>
      <c r="C361" s="30" t="s">
        <v>456</v>
      </c>
      <c r="D361" s="27">
        <v>2511.0050000000001</v>
      </c>
      <c r="E361" s="27">
        <v>2511.0050000000001</v>
      </c>
      <c r="F361" s="27">
        <f t="shared" si="11"/>
        <v>0</v>
      </c>
      <c r="G361" s="27">
        <f t="shared" si="12"/>
        <v>0</v>
      </c>
      <c r="H361" s="29">
        <v>1</v>
      </c>
      <c r="I361" s="41"/>
      <c r="J361" s="41"/>
      <c r="K361" s="42"/>
      <c r="L361" s="42"/>
      <c r="M361" s="43"/>
    </row>
    <row r="362" spans="1:13" ht="27" customHeight="1">
      <c r="A362" s="16" t="s">
        <v>30</v>
      </c>
      <c r="B362" s="30" t="s">
        <v>391</v>
      </c>
      <c r="C362" s="30" t="s">
        <v>455</v>
      </c>
      <c r="D362" s="27">
        <v>2500.7560000000003</v>
      </c>
      <c r="E362" s="27">
        <v>2500.7560000000003</v>
      </c>
      <c r="F362" s="27">
        <f t="shared" si="11"/>
        <v>0</v>
      </c>
      <c r="G362" s="27">
        <f t="shared" si="12"/>
        <v>0</v>
      </c>
      <c r="H362" s="29">
        <v>1</v>
      </c>
      <c r="I362" s="41"/>
      <c r="J362" s="41"/>
      <c r="K362" s="42"/>
      <c r="L362" s="42"/>
      <c r="M362" s="43"/>
    </row>
  </sheetData>
  <autoFilter ref="A2:N362" xr:uid="{61D96D13-89A6-4041-BE52-5030655F6B8E}"/>
  <mergeCells count="1">
    <mergeCell ref="A1:M1"/>
  </mergeCells>
  <conditionalFormatting sqref="C363:C1048576 C1:C298">
    <cfRule type="duplicateValues" dxfId="8" priority="3"/>
  </conditionalFormatting>
  <conditionalFormatting sqref="C299:C362">
    <cfRule type="duplicateValues" dxfId="7" priority="5"/>
  </conditionalFormatting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012026</vt:lpstr>
      <vt:lpstr>022026</vt:lpstr>
      <vt:lpstr>032026</vt:lpstr>
      <vt:lpstr>042026</vt:lpstr>
      <vt:lpstr>052026</vt:lpstr>
      <vt:lpstr>062026</vt:lpstr>
      <vt:lpstr>072026</vt:lpstr>
      <vt:lpstr>082026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Дилшодбек</cp:lastModifiedBy>
  <dcterms:created xsi:type="dcterms:W3CDTF">2026-09-14T12:31:58Z</dcterms:created>
  <dcterms:modified xsi:type="dcterms:W3CDTF">2026-09-21T08:56:03Z</dcterms:modified>
</cp:coreProperties>
</file>